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Chad/"/>
    </mc:Choice>
  </mc:AlternateContent>
  <xr:revisionPtr revIDLastSave="0" documentId="13_ncr:1_{BBB1B89D-AFD3-544D-A541-5ECEEE7ECEAE}" xr6:coauthVersionLast="47" xr6:coauthVersionMax="47" xr10:uidLastSave="{00000000-0000-0000-0000-000000000000}"/>
  <bookViews>
    <workbookView xWindow="3840" yWindow="2840" windowWidth="23260" windowHeight="12580" tabRatio="836" xr2:uid="{00000000-000D-0000-FFFF-FFFF00000000}"/>
  </bookViews>
  <sheets>
    <sheet name="tcd_admpop_adm1_2021" sheetId="55" r:id="rId1"/>
    <sheet name="tcd_admpop_2019" sheetId="35" state="hidden" r:id="rId2"/>
    <sheet name="Sheet1" sheetId="43" state="hidden" r:id="rId3"/>
    <sheet name="Sheet2" sheetId="44" state="hidden" r:id="rId4"/>
  </sheets>
  <definedNames>
    <definedName name="_xlnm._FilterDatabase" localSheetId="1" hidden="1">tcd_admpop_2019!$A$1:$BL$71</definedName>
    <definedName name="_xlnm._FilterDatabase" localSheetId="0" hidden="1">tcd_admpop_adm1_2021!$A$1:$BF$71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2" i="35" l="1"/>
  <c r="M72" i="35"/>
  <c r="N72" i="35"/>
  <c r="O72" i="35"/>
  <c r="P72" i="35"/>
  <c r="Q72" i="35"/>
  <c r="R72" i="35"/>
  <c r="S72" i="35"/>
  <c r="T72" i="35"/>
  <c r="U72" i="35"/>
  <c r="V72" i="35"/>
  <c r="W72" i="35"/>
  <c r="X72" i="35"/>
  <c r="Y72" i="35"/>
  <c r="Z72" i="35"/>
  <c r="AA72" i="35"/>
  <c r="AB72" i="35"/>
  <c r="AC72" i="35"/>
  <c r="AD72" i="35"/>
  <c r="AE72" i="35"/>
  <c r="AF72" i="35"/>
  <c r="AG72" i="35"/>
  <c r="AH72" i="35"/>
  <c r="AI72" i="35"/>
  <c r="AJ72" i="35"/>
  <c r="AK72" i="35"/>
  <c r="AL72" i="35"/>
  <c r="AM72" i="35"/>
  <c r="AN72" i="35"/>
  <c r="AO72" i="35"/>
  <c r="AP72" i="35"/>
  <c r="AQ72" i="35"/>
  <c r="AR72" i="35"/>
  <c r="AS72" i="35"/>
  <c r="AT72" i="35"/>
  <c r="AU72" i="35"/>
  <c r="AV72" i="35"/>
  <c r="AW72" i="35"/>
  <c r="AX72" i="35"/>
  <c r="AY72" i="35"/>
  <c r="AZ72" i="35"/>
  <c r="BA72" i="35"/>
  <c r="BB72" i="35"/>
  <c r="BC72" i="35"/>
  <c r="BD72" i="35"/>
  <c r="BE72" i="35"/>
  <c r="BF72" i="35"/>
  <c r="BG72" i="35"/>
  <c r="BH72" i="35"/>
  <c r="BI72" i="35"/>
  <c r="BJ72" i="35"/>
  <c r="BK72" i="35"/>
  <c r="BL72" i="35"/>
  <c r="K72" i="3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Tableau6" description="Connexion à la requête « Tableau6 » dans le classeur." type="5" refreshedVersion="6" background="1" saveData="1">
    <dbPr connection="Provider=Microsoft.Mashup.OleDb.1;Data Source=$Workbook$;Location=Tableau6;Extended Properties=&quot;&quot;" command="SELECT * FROM [Tableau6]"/>
  </connection>
  <connection id="2" xr16:uid="{00000000-0015-0000-FFFF-FFFF01000000}" keepAlive="1" name="Requête - Tableau6 (2)" description="Connexion à la requête « Tableau6 (2) » dans le classeur." type="5" refreshedVersion="6" background="1" saveData="1">
    <dbPr connection="Provider=Microsoft.Mashup.OleDb.1;Data Source=$Workbook$;Location=&quot;Tableau6 (2)&quot;;Extended Properties=&quot;&quot;" command="SELECT * FROM [Tableau6 (2)]"/>
  </connection>
  <connection id="3" xr16:uid="{00000000-0015-0000-FFFF-FFFF02000000}" keepAlive="1" name="Requête - Tableau8" description="Connexion à la requête « Tableau8 » dans le classeur." type="5" refreshedVersion="6" background="1" saveData="1">
    <dbPr connection="Provider=Microsoft.Mashup.OleDb.1;Data Source=$Workbook$;Location=Tableau8;Extended Properties=&quot;&quot;" command="SELECT * FROM [Tableau8]"/>
  </connection>
</connections>
</file>

<file path=xl/sharedStrings.xml><?xml version="1.0" encoding="utf-8"?>
<sst xmlns="http://schemas.openxmlformats.org/spreadsheetml/2006/main" count="1000" uniqueCount="384">
  <si>
    <t>admin2Name_fr</t>
  </si>
  <si>
    <t>admin2Pcode</t>
  </si>
  <si>
    <t>admin2RefName</t>
  </si>
  <si>
    <t>admin1Name_fr</t>
  </si>
  <si>
    <t>admin1Pcode</t>
  </si>
  <si>
    <t>Batha Ouest</t>
  </si>
  <si>
    <t>TD0101</t>
  </si>
  <si>
    <t>Batha</t>
  </si>
  <si>
    <t>TD01</t>
  </si>
  <si>
    <t>TD</t>
  </si>
  <si>
    <t>Batha Est</t>
  </si>
  <si>
    <t>TD0102</t>
  </si>
  <si>
    <t>Fitri</t>
  </si>
  <si>
    <t>TD0103</t>
  </si>
  <si>
    <t>Borkou</t>
  </si>
  <si>
    <t>TD0201</t>
  </si>
  <si>
    <t>TD02</t>
  </si>
  <si>
    <t>Baguirmi</t>
  </si>
  <si>
    <t>TD0301</t>
  </si>
  <si>
    <t>Chari-Baguirmi</t>
  </si>
  <si>
    <t>TD03</t>
  </si>
  <si>
    <t>Chari</t>
  </si>
  <si>
    <t>TD0302</t>
  </si>
  <si>
    <t>Loug-Chari</t>
  </si>
  <si>
    <t>TD0303</t>
  </si>
  <si>
    <t>TD0401</t>
  </si>
  <si>
    <t>Guera</t>
  </si>
  <si>
    <t>TD04</t>
  </si>
  <si>
    <t>Abtouyour</t>
  </si>
  <si>
    <t>TD0402</t>
  </si>
  <si>
    <t>Barh-Signaka</t>
  </si>
  <si>
    <t>TD0403</t>
  </si>
  <si>
    <t>TD0404</t>
  </si>
  <si>
    <t>Mangalme</t>
  </si>
  <si>
    <t>Dagana</t>
  </si>
  <si>
    <t>TD0501</t>
  </si>
  <si>
    <t>TD05</t>
  </si>
  <si>
    <t>Dababa</t>
  </si>
  <si>
    <t>TD0502</t>
  </si>
  <si>
    <t>Haraze-Al-Biar</t>
  </si>
  <si>
    <t>TD0503</t>
  </si>
  <si>
    <t>Kanem</t>
  </si>
  <si>
    <t>TD0601</t>
  </si>
  <si>
    <t>TD06</t>
  </si>
  <si>
    <t>Nord Kanem</t>
  </si>
  <si>
    <t>TD0602</t>
  </si>
  <si>
    <t>Wadi Bissam</t>
  </si>
  <si>
    <t>TD0603</t>
  </si>
  <si>
    <t>Wadi-Bissam</t>
  </si>
  <si>
    <t>Mamdi</t>
  </si>
  <si>
    <t>TD0701</t>
  </si>
  <si>
    <t>Lac</t>
  </si>
  <si>
    <t>TD07</t>
  </si>
  <si>
    <t>Wayi</t>
  </si>
  <si>
    <t>TD0702</t>
  </si>
  <si>
    <t>Lac Wey</t>
  </si>
  <si>
    <t>TD0801</t>
  </si>
  <si>
    <t>Logone Occidental</t>
  </si>
  <si>
    <t>TD08</t>
  </si>
  <si>
    <t>TD0802</t>
  </si>
  <si>
    <t>Dodje</t>
  </si>
  <si>
    <t>TD0803</t>
  </si>
  <si>
    <t>Gueni</t>
  </si>
  <si>
    <t>Ngourkosso</t>
  </si>
  <si>
    <t>TD0804</t>
  </si>
  <si>
    <t>TD0901</t>
  </si>
  <si>
    <t>La Pende</t>
  </si>
  <si>
    <t>Logone Oriental</t>
  </si>
  <si>
    <t>TD09</t>
  </si>
  <si>
    <t>Kouh Est</t>
  </si>
  <si>
    <t>TD0902</t>
  </si>
  <si>
    <t>Kouh Ouest</t>
  </si>
  <si>
    <t>TD0903</t>
  </si>
  <si>
    <t>La Nya</t>
  </si>
  <si>
    <t>TD0904</t>
  </si>
  <si>
    <t>TD0905</t>
  </si>
  <si>
    <t>La Nya Pende</t>
  </si>
  <si>
    <t>Monts de Lam</t>
  </si>
  <si>
    <t>TD0906</t>
  </si>
  <si>
    <t>Mandoul Oriental</t>
  </si>
  <si>
    <t>TD1001</t>
  </si>
  <si>
    <t>Mandoul</t>
  </si>
  <si>
    <t>TD10</t>
  </si>
  <si>
    <t>Barh-Sara</t>
  </si>
  <si>
    <t>TD1002</t>
  </si>
  <si>
    <t>Mandoul Occidental</t>
  </si>
  <si>
    <t>TD1003</t>
  </si>
  <si>
    <t>Mayo-Boneye</t>
  </si>
  <si>
    <t>TD1101</t>
  </si>
  <si>
    <t>Mayo-Kebbi Est</t>
  </si>
  <si>
    <t>TD11</t>
  </si>
  <si>
    <t>Kabbia</t>
  </si>
  <si>
    <t>TD1102</t>
  </si>
  <si>
    <t>TD1103</t>
  </si>
  <si>
    <t>Mayo-Lemie</t>
  </si>
  <si>
    <t>Mont Illi</t>
  </si>
  <si>
    <t>TD1104</t>
  </si>
  <si>
    <t>TD1202</t>
  </si>
  <si>
    <t>Lac Lere</t>
  </si>
  <si>
    <t>Mayo-Kebbi Ouest</t>
  </si>
  <si>
    <t>TD12</t>
  </si>
  <si>
    <t>Mayo-Binder</t>
  </si>
  <si>
    <t>TD1203</t>
  </si>
  <si>
    <t>Grande Sido</t>
  </si>
  <si>
    <t>TD1302</t>
  </si>
  <si>
    <t>Moyen-Chari</t>
  </si>
  <si>
    <t>TD13</t>
  </si>
  <si>
    <t>Lac Iro</t>
  </si>
  <si>
    <t>TD1303</t>
  </si>
  <si>
    <t>Ouara</t>
  </si>
  <si>
    <t>TD1401</t>
  </si>
  <si>
    <t>TD14</t>
  </si>
  <si>
    <t>Abdi</t>
  </si>
  <si>
    <t>TD1402</t>
  </si>
  <si>
    <t>Assoungha</t>
  </si>
  <si>
    <t>TD1403</t>
  </si>
  <si>
    <t>Bahr-Azoum</t>
  </si>
  <si>
    <t>TD1501</t>
  </si>
  <si>
    <t>Salamat</t>
  </si>
  <si>
    <t>TD15</t>
  </si>
  <si>
    <t>TD1502</t>
  </si>
  <si>
    <t>Aboudeia</t>
  </si>
  <si>
    <t>Haraze-Mangueigne</t>
  </si>
  <si>
    <t>TD1503</t>
  </si>
  <si>
    <t>TD1601</t>
  </si>
  <si>
    <t>Tandjile Est</t>
  </si>
  <si>
    <t>TD16</t>
  </si>
  <si>
    <t>Biltine</t>
  </si>
  <si>
    <t>TD1701</t>
  </si>
  <si>
    <t>Wadi Fira</t>
  </si>
  <si>
    <t>TD17</t>
  </si>
  <si>
    <t>Dar-Tama</t>
  </si>
  <si>
    <t>TD1702</t>
  </si>
  <si>
    <t>TD1703</t>
  </si>
  <si>
    <t>Kobe</t>
  </si>
  <si>
    <t>TD1801</t>
  </si>
  <si>
    <t>NDjamena</t>
  </si>
  <si>
    <t>N'Djamena</t>
  </si>
  <si>
    <t>TD18</t>
  </si>
  <si>
    <t>Barh-El-Gazel Sud</t>
  </si>
  <si>
    <t>TD1901</t>
  </si>
  <si>
    <t>Barh-El-Gazel</t>
  </si>
  <si>
    <t>TD19</t>
  </si>
  <si>
    <t>Barh-El-Gazel Ouest</t>
  </si>
  <si>
    <t>TD1903</t>
  </si>
  <si>
    <t>Am-Djarass</t>
  </si>
  <si>
    <t>TD2001</t>
  </si>
  <si>
    <t>Ennedi Est</t>
  </si>
  <si>
    <t>TD20</t>
  </si>
  <si>
    <t>Wadi Hawar</t>
  </si>
  <si>
    <t>TD2002</t>
  </si>
  <si>
    <t>Kimiti</t>
  </si>
  <si>
    <t>TD2101</t>
  </si>
  <si>
    <t>Sila</t>
  </si>
  <si>
    <t>TD21</t>
  </si>
  <si>
    <t>Djourf Al Ahmar</t>
  </si>
  <si>
    <t>TD2102</t>
  </si>
  <si>
    <t>Tibesti Est</t>
  </si>
  <si>
    <t>TD2201</t>
  </si>
  <si>
    <t>Tibesti</t>
  </si>
  <si>
    <t>TD22</t>
  </si>
  <si>
    <t>Tibesti Ouest</t>
  </si>
  <si>
    <t>TD2202</t>
  </si>
  <si>
    <t>Fada</t>
  </si>
  <si>
    <t>TD2301</t>
  </si>
  <si>
    <t>Ennedi Ouest</t>
  </si>
  <si>
    <t>TD23</t>
  </si>
  <si>
    <t>Mourtcha</t>
  </si>
  <si>
    <t>TD2303</t>
  </si>
  <si>
    <t>TD1301</t>
  </si>
  <si>
    <t>Bahr-Koh</t>
  </si>
  <si>
    <t>Tandjile Ouest</t>
  </si>
  <si>
    <t>TD1602</t>
  </si>
  <si>
    <t>TD1603</t>
  </si>
  <si>
    <t>Tandjile Centre</t>
  </si>
  <si>
    <t>Borkou Yala</t>
  </si>
  <si>
    <t>TD0202</t>
  </si>
  <si>
    <t>Barh-El-Gazel Nord</t>
  </si>
  <si>
    <t>TD1902</t>
  </si>
  <si>
    <t>TD1704</t>
  </si>
  <si>
    <t>Megri</t>
  </si>
  <si>
    <t>Mayo-Dallah</t>
  </si>
  <si>
    <t>TD1201</t>
  </si>
  <si>
    <t>Fouli</t>
  </si>
  <si>
    <t>TD0704</t>
  </si>
  <si>
    <t>Kaya</t>
  </si>
  <si>
    <t>TD0703</t>
  </si>
  <si>
    <t>Guéra</t>
  </si>
  <si>
    <t>Mangalmé</t>
  </si>
  <si>
    <t>Dodjé</t>
  </si>
  <si>
    <t>Guéni</t>
  </si>
  <si>
    <t>La Pendé</t>
  </si>
  <si>
    <t>La Nya Pendé</t>
  </si>
  <si>
    <t>Mayo-Lemié</t>
  </si>
  <si>
    <t>Lac Léré</t>
  </si>
  <si>
    <t>Aboudéia</t>
  </si>
  <si>
    <t>Tandjilé Est</t>
  </si>
  <si>
    <t>Kobé</t>
  </si>
  <si>
    <t>N'Djaména</t>
  </si>
  <si>
    <t>Tandjilé Centre</t>
  </si>
  <si>
    <t>Mégri</t>
  </si>
  <si>
    <t>Hadjer-Lamis</t>
  </si>
  <si>
    <t>Ouaddaï</t>
  </si>
  <si>
    <t>Tandjilé</t>
  </si>
  <si>
    <t>admin2Name_MAJ</t>
  </si>
  <si>
    <t>admin2AltName1_fr</t>
  </si>
  <si>
    <t>admin2AltName2_fr</t>
  </si>
  <si>
    <t>admin0Name_fr</t>
  </si>
  <si>
    <t>admin0Pcode</t>
  </si>
  <si>
    <t>BATHA OUEST</t>
  </si>
  <si>
    <t>&lt;Null&gt;</t>
  </si>
  <si>
    <t>Tchad</t>
  </si>
  <si>
    <t>BATHA EST</t>
  </si>
  <si>
    <t>FITRI</t>
  </si>
  <si>
    <t>BORKOU</t>
  </si>
  <si>
    <t>BAGUIRMI</t>
  </si>
  <si>
    <t>CHARI</t>
  </si>
  <si>
    <t>LOUG-CHARI</t>
  </si>
  <si>
    <t>GUERA</t>
  </si>
  <si>
    <t>ABTOUYOUR</t>
  </si>
  <si>
    <t>BARH-SIGNAKA</t>
  </si>
  <si>
    <t>MANGALME</t>
  </si>
  <si>
    <t>DAGANA</t>
  </si>
  <si>
    <t>DABABA</t>
  </si>
  <si>
    <t>HARAZE-AL-BIAR</t>
  </si>
  <si>
    <t>KANEM</t>
  </si>
  <si>
    <t>NORD KANEM</t>
  </si>
  <si>
    <t>WADI-BISSAM</t>
  </si>
  <si>
    <t>MAMDI</t>
  </si>
  <si>
    <t>WAYI</t>
  </si>
  <si>
    <t>LAC WEY</t>
  </si>
  <si>
    <t>DODJE</t>
  </si>
  <si>
    <t>GUENI</t>
  </si>
  <si>
    <t>NGOURKOSSO</t>
  </si>
  <si>
    <t>LA PENDE</t>
  </si>
  <si>
    <t>KOUH EST</t>
  </si>
  <si>
    <t>KOUH OUEST</t>
  </si>
  <si>
    <t>LA NYA</t>
  </si>
  <si>
    <t>LA NYA PENDE</t>
  </si>
  <si>
    <t>MONTS DE LAM</t>
  </si>
  <si>
    <t>MANDOUL ORIENTAL</t>
  </si>
  <si>
    <t>BARH-SARA</t>
  </si>
  <si>
    <t>MANDOUL OCCIDENTAL</t>
  </si>
  <si>
    <t>MAYO-BONEYE</t>
  </si>
  <si>
    <t>KABBIA</t>
  </si>
  <si>
    <t>MAYO-LEMIE</t>
  </si>
  <si>
    <t>MONT ILLI</t>
  </si>
  <si>
    <t>LAC LERE</t>
  </si>
  <si>
    <t>MAYO-BINDER</t>
  </si>
  <si>
    <t>GRANDE SIDO</t>
  </si>
  <si>
    <t>LAC IRO</t>
  </si>
  <si>
    <t>OUARA</t>
  </si>
  <si>
    <t>ABDI</t>
  </si>
  <si>
    <t>ASSOUNGHA</t>
  </si>
  <si>
    <t>BAHR-AZOUM</t>
  </si>
  <si>
    <t>ABOUDEIA</t>
  </si>
  <si>
    <t>HARAZE-MANGUEIGNE</t>
  </si>
  <si>
    <t>TANDJILE EST</t>
  </si>
  <si>
    <t>BILTINE</t>
  </si>
  <si>
    <t>DAR-TAMA</t>
  </si>
  <si>
    <t>KOBE</t>
  </si>
  <si>
    <t>N'DJAMENA</t>
  </si>
  <si>
    <t>BARH-EL-GAZEL SUD</t>
  </si>
  <si>
    <t>BARH-EL-GAZEL OUEST</t>
  </si>
  <si>
    <t>AM-DJARASS</t>
  </si>
  <si>
    <t>WADI HAWAR</t>
  </si>
  <si>
    <t>KIMITI</t>
  </si>
  <si>
    <t>DJOURF AL AHMAR</t>
  </si>
  <si>
    <t>TIBESTI EST</t>
  </si>
  <si>
    <t>TIBESTI OUEST</t>
  </si>
  <si>
    <t>FADA</t>
  </si>
  <si>
    <t>MOURTCHA</t>
  </si>
  <si>
    <t>Bahr-Köh</t>
  </si>
  <si>
    <t>BAHR-KOH</t>
  </si>
  <si>
    <t>TANDJILE OUEST</t>
  </si>
  <si>
    <t>TANDJILE CENTRE</t>
  </si>
  <si>
    <t>BORKOU YALA</t>
  </si>
  <si>
    <t>BARH-EL-GAZEL NORD</t>
  </si>
  <si>
    <t>MEGRI</t>
  </si>
  <si>
    <t>MAYO-DALLAH</t>
  </si>
  <si>
    <t>FOULI</t>
  </si>
  <si>
    <t>KAYA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</si>
  <si>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</si>
  <si>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</si>
  <si>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</si>
  <si>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</si>
  <si>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</si>
  <si>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</si>
  <si>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</si>
  <si>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</si>
  <si>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</si>
  <si>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</si>
  <si>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</si>
  <si>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</si>
  <si>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</si>
  <si>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</si>
  <si>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</si>
  <si>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</si>
  <si>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</si>
  <si>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</si>
  <si>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</si>
  <si>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</si>
  <si>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</si>
  <si>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</si>
  <si>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</si>
  <si>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</si>
  <si>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</si>
  <si>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</si>
  <si>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</si>
  <si>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</si>
  <si>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</si>
  <si>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</si>
  <si>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</si>
  <si>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</si>
  <si>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</si>
  <si>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</si>
  <si>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</si>
  <si>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</si>
  <si>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</si>
  <si>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</si>
  <si>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</si>
  <si>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</si>
  <si>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</si>
  <si>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T_50_54</t>
  </si>
  <si>
    <t>T_55_59</t>
  </si>
  <si>
    <t>T_60_64</t>
  </si>
  <si>
    <t>T_65_69</t>
  </si>
  <si>
    <t>T_70_74</t>
  </si>
  <si>
    <t>T_75_79</t>
  </si>
  <si>
    <t>T_80plus</t>
  </si>
  <si>
    <t>T_45_49</t>
  </si>
  <si>
    <t>F</t>
  </si>
  <si>
    <t>M</t>
  </si>
  <si>
    <t>T</t>
  </si>
  <si>
    <t>F_45_49</t>
  </si>
  <si>
    <t>M_45_49</t>
  </si>
  <si>
    <t>Row Labels</t>
  </si>
  <si>
    <t>Grand Total</t>
  </si>
  <si>
    <t>Sum of M</t>
  </si>
  <si>
    <t>Sum of F</t>
  </si>
  <si>
    <t>Sum of F_00_04</t>
  </si>
  <si>
    <t>Sum of F_05_09</t>
  </si>
  <si>
    <t>Sum of F_10_14</t>
  </si>
  <si>
    <t>Sum of F_15_19</t>
  </si>
  <si>
    <t>Sum of F_20_24</t>
  </si>
  <si>
    <t>Sum of F_25_29</t>
  </si>
  <si>
    <t>Sum of F_30_34</t>
  </si>
  <si>
    <t>Sum of F_35_39</t>
  </si>
  <si>
    <t>Sum of F_40_44</t>
  </si>
  <si>
    <t>Sum of F_45_49</t>
  </si>
  <si>
    <t>Sum of F_50_54</t>
  </si>
  <si>
    <t>Sum of F_55_59</t>
  </si>
  <si>
    <t>Sum of F_60_64</t>
  </si>
  <si>
    <t>Sum of F_65_69</t>
  </si>
  <si>
    <t>Sum of F_70_74</t>
  </si>
  <si>
    <t>Sum of F_75_79</t>
  </si>
  <si>
    <t>Sum of F_80plus</t>
  </si>
  <si>
    <t>Sum of M_00_04</t>
  </si>
  <si>
    <t>Sum of M_05_09</t>
  </si>
  <si>
    <t>Sum of M_10_14</t>
  </si>
  <si>
    <t>Sum of M_15_19</t>
  </si>
  <si>
    <t>Sum of M_20_24</t>
  </si>
  <si>
    <t>Sum of M_25_29</t>
  </si>
  <si>
    <t>Sum of M_30_34</t>
  </si>
  <si>
    <t>Sum of M_35_39</t>
  </si>
  <si>
    <t>Sum of M_40_44</t>
  </si>
  <si>
    <t>Sum of M_45_49</t>
  </si>
  <si>
    <t>Sum of M_50_54</t>
  </si>
  <si>
    <t>Sum of M_55_59</t>
  </si>
  <si>
    <t>Sum of M_60_64</t>
  </si>
  <si>
    <t>Sum of M_65_69</t>
  </si>
  <si>
    <t>Sum of M_70_74</t>
  </si>
  <si>
    <t>Sum of M_75_79</t>
  </si>
  <si>
    <t>Sum of M_80plus</t>
  </si>
  <si>
    <t>ADM0_PCODE</t>
  </si>
  <si>
    <t>ADM1_PCODE</t>
  </si>
  <si>
    <t>M_TL</t>
  </si>
  <si>
    <t>F_TL</t>
  </si>
  <si>
    <t>T_TL</t>
  </si>
  <si>
    <t>M_80PLUS</t>
  </si>
  <si>
    <t>F_80PLUS</t>
  </si>
  <si>
    <t>T_80PLUS</t>
  </si>
  <si>
    <t>ADM0_FR</t>
  </si>
  <si>
    <t>ADM1_FR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</si>
</sst>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_);_(* \(#,##0\);_(* &quot;-&quot;??_);_(@_)"/>
  </numFmts>
  <fonts count="2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b/>
      <u/>
      <sz val="11"/>
      <color theme="1"/>
      <name val="맑은 고딕"/>
      <family val="2"/>
      <scheme val="minor"/>
    </font>
    <font>
      <sz val="8"/>
      <color theme="1"/>
      <name val="맑은 고딕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2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176" fontId="0" fillId="0" borderId="0" xfId="42" applyNumberFormat="1" applyFont="1" applyFill="1" applyBorder="1" applyAlignment="1">
      <alignment horizontal="right"/>
    </xf>
    <xf numFmtId="176" fontId="0" fillId="0" borderId="0" xfId="0" applyNumberFormat="1" applyAlignment="1">
      <alignment horizontal="right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wrapText="1"/>
    </xf>
    <xf numFmtId="0" fontId="20" fillId="0" borderId="0" xfId="0" applyFont="1"/>
    <xf numFmtId="3" fontId="21" fillId="0" borderId="0" xfId="0" applyNumberFormat="1" applyFont="1"/>
    <xf numFmtId="3" fontId="0" fillId="0" borderId="0" xfId="0" applyNumberFormat="1"/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" xfId="42" builtinId="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Normal 2" xfId="43" xr:uid="{77E1C83F-9E70-408F-9B49-76E42304AAFE}"/>
    <cellStyle name="Normal 3" xfId="44" xr:uid="{E25A18A0-30EC-4D91-AA07-F80BDCB5F3AD}"/>
  </cellStyles>
  <dxfs count="130"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176" formatCode="_(* #,##0_);_(* \(#,##0\);_(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Han" refreshedDate="44330.408400694447" createdVersion="7" refreshedVersion="7" minRefreshableVersion="3" recordCount="70" xr:uid="{6FFAD3FE-C90E-43E3-87D0-8D8A73638030}">
  <cacheSource type="worksheet">
    <worksheetSource name="Table13"/>
  </cacheSource>
  <cacheFields count="64">
    <cacheField name="admin2Name_fr" numFmtId="0">
      <sharedItems/>
    </cacheField>
    <cacheField name="admin2Pcode" numFmtId="0">
      <sharedItems/>
    </cacheField>
    <cacheField name="admin2RefName" numFmtId="0">
      <sharedItems/>
    </cacheField>
    <cacheField name="admin2Name_MAJ" numFmtId="0">
      <sharedItems/>
    </cacheField>
    <cacheField name="admin2AltName1_fr" numFmtId="0">
      <sharedItems/>
    </cacheField>
    <cacheField name="admin2AltName2_fr" numFmtId="0">
      <sharedItems/>
    </cacheField>
    <cacheField name="admin1Name_fr" numFmtId="0">
      <sharedItems count="23">
        <s v="Batha"/>
        <s v="Borkou"/>
        <s v="Chari-Baguirmi"/>
        <s v="Guéra"/>
        <s v="Hadjer-Lamis"/>
        <s v="Kanem"/>
        <s v="Lac"/>
        <s v="Logone Occidental"/>
        <s v="Logone Oriental"/>
        <s v="Mandoul"/>
        <s v="Mayo-Kebbi Est"/>
        <s v="Mayo-Kebbi Ouest"/>
        <s v="Moyen-Chari"/>
        <s v="Ouaddaï"/>
        <s v="Salamat"/>
        <s v="Tandjilé"/>
        <s v="Wadi Fira"/>
        <s v="N'Djamena"/>
        <s v="Barh-El-Gazel"/>
        <s v="Ennedi Est"/>
        <s v="Sila"/>
        <s v="Tibesti"/>
        <s v="Ennedi Ouest"/>
      </sharedItems>
    </cacheField>
    <cacheField name="admin1Pcode" numFmtId="0">
      <sharedItems/>
    </cacheField>
    <cacheField name="admin0Name_fr" numFmtId="0">
      <sharedItems/>
    </cacheField>
    <cacheField name="admin0Pcode" numFmtId="0">
      <sharedItems/>
    </cacheField>
    <cacheField name="F" numFmtId="176">
      <sharedItems containsSemiMixedTypes="0" containsString="0" containsNumber="1" containsInteger="1" minValue="8071" maxValue="821121"/>
    </cacheField>
    <cacheField name="M" numFmtId="176">
      <sharedItems containsSemiMixedTypes="0" containsString="0" containsNumber="1" containsInteger="1" minValue="8857" maxValue="817268"/>
    </cacheField>
    <cacheField name="T" numFmtId="176">
      <sharedItems containsSemiMixedTypes="0" containsString="0" containsNumber="1" containsInteger="1" minValue="16929" maxValue="1638389"/>
    </cacheField>
    <cacheField name="F_00_04" numFmtId="176">
      <sharedItems containsSemiMixedTypes="0" containsString="0" containsNumber="1" containsInteger="1" minValue="1648" maxValue="158183"/>
    </cacheField>
    <cacheField name="F_05_09" numFmtId="176">
      <sharedItems containsSemiMixedTypes="0" containsString="0" containsNumber="1" containsInteger="1" minValue="1386" maxValue="129692"/>
    </cacheField>
    <cacheField name="F_10_14" numFmtId="176">
      <sharedItems containsSemiMixedTypes="0" containsString="0" containsNumber="1" containsInteger="1" minValue="760" maxValue="106818"/>
    </cacheField>
    <cacheField name="F_15_19" numFmtId="176">
      <sharedItems containsSemiMixedTypes="0" containsString="0" containsNumber="1" containsInteger="1" minValue="714" maxValue="95046"/>
    </cacheField>
    <cacheField name="F_20_24" numFmtId="176">
      <sharedItems containsSemiMixedTypes="0" containsString="0" containsNumber="1" containsInteger="1" minValue="710" maxValue="69688"/>
    </cacheField>
    <cacheField name="F_25_29" numFmtId="176">
      <sharedItems containsSemiMixedTypes="0" containsString="0" containsNumber="1" containsInteger="1" minValue="625" maxValue="53629"/>
    </cacheField>
    <cacheField name="F_30_34" numFmtId="176">
      <sharedItems containsSemiMixedTypes="0" containsString="0" containsNumber="1" containsInteger="1" minValue="496" maxValue="48087"/>
    </cacheField>
    <cacheField name="F_35_39" numFmtId="176">
      <sharedItems containsSemiMixedTypes="0" containsString="0" containsNumber="1" containsInteger="1" minValue="405" maxValue="40822"/>
    </cacheField>
    <cacheField name="F_40_44" numFmtId="176">
      <sharedItems containsSemiMixedTypes="0" containsString="0" containsNumber="1" containsInteger="1" minValue="340" maxValue="31853"/>
    </cacheField>
    <cacheField name="F_45_49" numFmtId="176">
      <sharedItems containsSemiMixedTypes="0" containsString="0" containsNumber="1" containsInteger="1" minValue="283" maxValue="25176"/>
    </cacheField>
    <cacheField name="F_50_54" numFmtId="176">
      <sharedItems containsSemiMixedTypes="0" containsString="0" containsNumber="1" containsInteger="1" minValue="224" maxValue="19174"/>
    </cacheField>
    <cacheField name="F_55_59" numFmtId="176">
      <sharedItems containsSemiMixedTypes="0" containsString="0" containsNumber="1" containsInteger="1" minValue="172" maxValue="14373"/>
    </cacheField>
    <cacheField name="F_60_64" numFmtId="176">
      <sharedItems containsSemiMixedTypes="0" containsString="0" containsNumber="1" containsInteger="1" minValue="126" maxValue="10287"/>
    </cacheField>
    <cacheField name="F_65_69" numFmtId="176">
      <sharedItems containsSemiMixedTypes="0" containsString="0" containsNumber="1" containsInteger="1" minValue="85" maxValue="7275"/>
    </cacheField>
    <cacheField name="F_70_74" numFmtId="176">
      <sharedItems containsSemiMixedTypes="0" containsString="0" containsNumber="1" containsInteger="1" minValue="46" maxValue="5119"/>
    </cacheField>
    <cacheField name="F_75_79" numFmtId="176">
      <sharedItems containsSemiMixedTypes="0" containsString="0" containsNumber="1" containsInteger="1" minValue="26" maxValue="3217"/>
    </cacheField>
    <cacheField name="F_80plus" numFmtId="176">
      <sharedItems containsSemiMixedTypes="0" containsString="0" containsNumber="1" containsInteger="1" minValue="25" maxValue="2684"/>
    </cacheField>
    <cacheField name="M_00_04" numFmtId="176">
      <sharedItems containsSemiMixedTypes="0" containsString="0" containsNumber="1" containsInteger="1" minValue="1722" maxValue="170525"/>
    </cacheField>
    <cacheField name="M_05_09" numFmtId="176">
      <sharedItems containsSemiMixedTypes="0" containsString="0" containsNumber="1" containsInteger="1" minValue="1446" maxValue="127309"/>
    </cacheField>
    <cacheField name="M_10_14" numFmtId="176">
      <sharedItems containsSemiMixedTypes="0" containsString="0" containsNumber="1" containsInteger="1" minValue="942" maxValue="111560"/>
    </cacheField>
    <cacheField name="M_15_19" numFmtId="176">
      <sharedItems containsSemiMixedTypes="0" containsString="0" containsNumber="1" containsInteger="1" minValue="874" maxValue="99038"/>
    </cacheField>
    <cacheField name="M_20_24" numFmtId="176">
      <sharedItems containsSemiMixedTypes="0" containsString="0" containsNumber="1" containsInteger="1" minValue="791" maxValue="73002"/>
    </cacheField>
    <cacheField name="M_25_29" numFmtId="176">
      <sharedItems containsSemiMixedTypes="0" containsString="0" containsNumber="1" containsInteger="1" minValue="662" maxValue="53643"/>
    </cacheField>
    <cacheField name="M_30_34" numFmtId="176">
      <sharedItems containsSemiMixedTypes="0" containsString="0" containsNumber="1" containsInteger="1" minValue="503" maxValue="38895"/>
    </cacheField>
    <cacheField name="M_35_39" numFmtId="176">
      <sharedItems containsSemiMixedTypes="0" containsString="0" containsNumber="1" containsInteger="1" minValue="399" maxValue="30233"/>
    </cacheField>
    <cacheField name="M_40_44" numFmtId="176">
      <sharedItems containsSemiMixedTypes="0" containsString="0" containsNumber="1" containsInteger="1" minValue="313" maxValue="26257"/>
    </cacheField>
    <cacheField name="M_45_49" numFmtId="176">
      <sharedItems containsSemiMixedTypes="0" containsString="0" containsNumber="1" containsInteger="1" minValue="268" maxValue="22436"/>
    </cacheField>
    <cacheField name="M_50_54" numFmtId="176">
      <sharedItems containsSemiMixedTypes="0" containsString="0" containsNumber="1" containsInteger="1" minValue="272" maxValue="18753"/>
    </cacheField>
    <cacheField name="M_55_59" numFmtId="176">
      <sharedItems containsSemiMixedTypes="0" containsString="0" containsNumber="1" containsInteger="1" minValue="235" maxValue="15075"/>
    </cacheField>
    <cacheField name="M_60_64" numFmtId="176">
      <sharedItems containsSemiMixedTypes="0" containsString="0" containsNumber="1" containsInteger="1" minValue="155" maxValue="11146"/>
    </cacheField>
    <cacheField name="M_65_69" numFmtId="176">
      <sharedItems containsSemiMixedTypes="0" containsString="0" containsNumber="1" containsInteger="1" minValue="107" maxValue="8028"/>
    </cacheField>
    <cacheField name="M_70_74" numFmtId="176">
      <sharedItems containsSemiMixedTypes="0" containsString="0" containsNumber="1" containsInteger="1" minValue="78" maxValue="5278"/>
    </cacheField>
    <cacheField name="M_75_79" numFmtId="176">
      <sharedItems containsSemiMixedTypes="0" containsString="0" containsNumber="1" containsInteger="1" minValue="49" maxValue="3203"/>
    </cacheField>
    <cacheField name="M_80plus" numFmtId="176">
      <sharedItems containsSemiMixedTypes="0" containsString="0" containsNumber="1" containsInteger="1" minValue="42" maxValue="2886"/>
    </cacheField>
    <cacheField name="T_00_04" numFmtId="176">
      <sharedItems containsSemiMixedTypes="0" containsString="0" containsNumber="1" containsInteger="1" minValue="3371" maxValue="326097"/>
    </cacheField>
    <cacheField name="T_05_09" numFmtId="176">
      <sharedItems containsSemiMixedTypes="0" containsString="0" containsNumber="1" containsInteger="1" minValue="2832" maxValue="267145"/>
    </cacheField>
    <cacheField name="T_10_14" numFmtId="176">
      <sharedItems containsSemiMixedTypes="0" containsString="0" containsNumber="1" containsInteger="1" minValue="1702" maxValue="216697"/>
    </cacheField>
    <cacheField name="T_15_19" numFmtId="176">
      <sharedItems containsSemiMixedTypes="0" containsString="0" containsNumber="1" containsInteger="1" minValue="1588" maxValue="192593"/>
    </cacheField>
    <cacheField name="T_20_24" numFmtId="176">
      <sharedItems containsSemiMixedTypes="0" containsString="0" containsNumber="1" containsInteger="1" minValue="1502" maxValue="141589"/>
    </cacheField>
    <cacheField name="T_25_29" numFmtId="176">
      <sharedItems containsSemiMixedTypes="0" containsString="0" containsNumber="1" containsInteger="1" minValue="1287" maxValue="106483"/>
    </cacheField>
    <cacheField name="T_30_34" numFmtId="176">
      <sharedItems containsSemiMixedTypes="0" containsString="0" containsNumber="1" containsInteger="1" minValue="999" maxValue="86485"/>
    </cacheField>
    <cacheField name="T_35_39" numFmtId="176">
      <sharedItems containsSemiMixedTypes="0" containsString="0" containsNumber="1" containsInteger="1" minValue="805" maxValue="70697"/>
    </cacheField>
    <cacheField name="T_40_44" numFmtId="176">
      <sharedItems containsSemiMixedTypes="0" containsString="0" containsNumber="1" containsInteger="1" minValue="653" maxValue="57770"/>
    </cacheField>
    <cacheField name="T_45_49" numFmtId="176">
      <sharedItems containsSemiMixedTypes="0" containsString="0" containsNumber="1" containsInteger="1" minValue="549" maxValue="47304"/>
    </cacheField>
    <cacheField name="T_50_54" numFmtId="176">
      <sharedItems containsSemiMixedTypes="0" containsString="0" containsNumber="1" containsInteger="1" minValue="496" maxValue="37654"/>
    </cacheField>
    <cacheField name="T_55_59" numFmtId="176">
      <sharedItems containsSemiMixedTypes="0" containsString="0" containsNumber="1" containsInteger="1" minValue="406" maxValue="29221"/>
    </cacheField>
    <cacheField name="T_60_64" numFmtId="176">
      <sharedItems containsSemiMixedTypes="0" containsString="0" containsNumber="1" containsInteger="1" minValue="281" maxValue="21261"/>
    </cacheField>
    <cacheField name="T_65_69" numFmtId="176">
      <sharedItems containsSemiMixedTypes="0" containsString="0" containsNumber="1" containsInteger="1" minValue="191" maxValue="15178"/>
    </cacheField>
    <cacheField name="T_70_74" numFmtId="176">
      <sharedItems containsSemiMixedTypes="0" containsString="0" containsNumber="1" containsInteger="1" minValue="125" maxValue="10319"/>
    </cacheField>
    <cacheField name="T_75_79" numFmtId="176">
      <sharedItems containsSemiMixedTypes="0" containsString="0" containsNumber="1" containsInteger="1" minValue="75" maxValue="6373"/>
    </cacheField>
    <cacheField name="T_80plus" numFmtId="176">
      <sharedItems containsSemiMixedTypes="0" containsString="0" containsNumber="1" containsInteger="1" minValue="67" maxValue="55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Batha Ouest"/>
    <s v="TD0101"/>
    <s v="Batha Ouest"/>
    <s v="BATHA OUEST"/>
    <s v="&lt;Null&gt;"/>
    <s v="&lt;Null&gt;"/>
    <x v="0"/>
    <s v="TD01"/>
    <s v="Tchad"/>
    <s v="TD"/>
    <n v="146382"/>
    <n v="140931"/>
    <n v="287313"/>
    <n v="26070"/>
    <n v="21415"/>
    <n v="24795"/>
    <n v="18680"/>
    <n v="11356"/>
    <n v="8356"/>
    <n v="7832"/>
    <n v="6834"/>
    <n v="5489"/>
    <n v="4423"/>
    <n v="3394"/>
    <n v="2548"/>
    <n v="1765"/>
    <n v="1245"/>
    <n v="930"/>
    <n v="619"/>
    <n v="632"/>
    <n v="27236"/>
    <n v="22337"/>
    <n v="25390"/>
    <n v="18945"/>
    <n v="11209"/>
    <n v="7492"/>
    <n v="4995"/>
    <n v="3873"/>
    <n v="4074"/>
    <n v="3811"/>
    <n v="3231"/>
    <n v="2624"/>
    <n v="1871"/>
    <n v="1375"/>
    <n v="1067"/>
    <n v="714"/>
    <n v="688"/>
    <n v="53307"/>
    <n v="43752"/>
    <n v="50185"/>
    <n v="37624"/>
    <n v="22564"/>
    <n v="15848"/>
    <n v="12826"/>
    <n v="10709"/>
    <n v="9562"/>
    <n v="8234"/>
    <n v="6625"/>
    <n v="5172"/>
    <n v="3636"/>
    <n v="2620"/>
    <n v="1997"/>
    <n v="1334"/>
    <n v="1319"/>
  </r>
  <r>
    <s v="Batha Est"/>
    <s v="TD0102"/>
    <s v="Batha Est"/>
    <s v="BATHA EST"/>
    <s v="&lt;Null&gt;"/>
    <s v="&lt;Null&gt;"/>
    <x v="0"/>
    <s v="TD01"/>
    <s v="Tchad"/>
    <s v="TD"/>
    <n v="133524"/>
    <n v="128552"/>
    <n v="262075"/>
    <n v="23781"/>
    <n v="19534"/>
    <n v="22617"/>
    <n v="17039"/>
    <n v="10358"/>
    <n v="7623"/>
    <n v="7143"/>
    <n v="6235"/>
    <n v="5006"/>
    <n v="4035"/>
    <n v="3095"/>
    <n v="2323"/>
    <n v="1610"/>
    <n v="1136"/>
    <n v="849"/>
    <n v="565"/>
    <n v="576"/>
    <n v="24843"/>
    <n v="20375"/>
    <n v="23159"/>
    <n v="17281"/>
    <n v="10224"/>
    <n v="6833"/>
    <n v="4556"/>
    <n v="3533"/>
    <n v="3717"/>
    <n v="3477"/>
    <n v="2947"/>
    <n v="2393"/>
    <n v="1706"/>
    <n v="1254"/>
    <n v="973"/>
    <n v="651"/>
    <n v="628"/>
    <n v="48624"/>
    <n v="39909"/>
    <n v="45776"/>
    <n v="34319"/>
    <n v="20581"/>
    <n v="14456"/>
    <n v="11699"/>
    <n v="9767"/>
    <n v="8723"/>
    <n v="7510"/>
    <n v="6043"/>
    <n v="4717"/>
    <n v="3316"/>
    <n v="2389"/>
    <n v="1821"/>
    <n v="1216"/>
    <n v="1203"/>
  </r>
  <r>
    <s v="Fitri"/>
    <s v="TD0103"/>
    <s v="Fitri"/>
    <s v="FITRI"/>
    <s v="&lt;Null&gt;"/>
    <s v="&lt;Null&gt;"/>
    <x v="0"/>
    <s v="TD01"/>
    <s v="Tchad"/>
    <s v="TD"/>
    <n v="81739"/>
    <n v="78696"/>
    <n v="160435"/>
    <n v="14558"/>
    <n v="11958"/>
    <n v="13846"/>
    <n v="10431"/>
    <n v="6341"/>
    <n v="4666"/>
    <n v="4373"/>
    <n v="3816"/>
    <n v="3064"/>
    <n v="2470"/>
    <n v="1895"/>
    <n v="1422"/>
    <n v="986"/>
    <n v="696"/>
    <n v="520"/>
    <n v="346"/>
    <n v="353"/>
    <n v="15209"/>
    <n v="12473"/>
    <n v="14177"/>
    <n v="10579"/>
    <n v="6259"/>
    <n v="4184"/>
    <n v="2789"/>
    <n v="2163"/>
    <n v="2275"/>
    <n v="2128"/>
    <n v="1804"/>
    <n v="1465"/>
    <n v="1044"/>
    <n v="768"/>
    <n v="596"/>
    <n v="399"/>
    <n v="384"/>
    <n v="29767"/>
    <n v="24432"/>
    <n v="28023"/>
    <n v="21010"/>
    <n v="12600"/>
    <n v="8850"/>
    <n v="7162"/>
    <n v="5979"/>
    <n v="5339"/>
    <n v="4597"/>
    <n v="3699"/>
    <n v="2887"/>
    <n v="2030"/>
    <n v="1463"/>
    <n v="1115"/>
    <n v="745"/>
    <n v="737"/>
  </r>
  <r>
    <s v="Borkou"/>
    <s v="TD0201"/>
    <s v="Borkou"/>
    <s v="BORKOU"/>
    <s v="&lt;Null&gt;"/>
    <s v="&lt;Null&gt;"/>
    <x v="1"/>
    <s v="TD02"/>
    <s v="Tchad"/>
    <s v="TD"/>
    <n v="49515"/>
    <n v="54301"/>
    <n v="103816"/>
    <n v="9864"/>
    <n v="8356"/>
    <n v="5037"/>
    <n v="4852"/>
    <n v="4208"/>
    <n v="3475"/>
    <n v="2992"/>
    <n v="2553"/>
    <n v="2171"/>
    <n v="1807"/>
    <n v="1418"/>
    <n v="1059"/>
    <n v="682"/>
    <n v="439"/>
    <n v="294"/>
    <n v="177"/>
    <n v="131"/>
    <n v="10305"/>
    <n v="8715"/>
    <n v="6178"/>
    <n v="5939"/>
    <n v="4962"/>
    <n v="3936"/>
    <n v="3086"/>
    <n v="2456"/>
    <n v="1837"/>
    <n v="1522"/>
    <n v="1542"/>
    <n v="1336"/>
    <n v="914"/>
    <n v="637"/>
    <n v="461"/>
    <n v="283"/>
    <n v="192"/>
    <n v="20168"/>
    <n v="17072"/>
    <n v="11215"/>
    <n v="10791"/>
    <n v="9171"/>
    <n v="7411"/>
    <n v="6078"/>
    <n v="5009"/>
    <n v="4008"/>
    <n v="3328"/>
    <n v="2960"/>
    <n v="2394"/>
    <n v="1595"/>
    <n v="1076"/>
    <n v="755"/>
    <n v="461"/>
    <n v="323"/>
  </r>
  <r>
    <s v="Borkou Yala"/>
    <s v="TD0202"/>
    <s v="Borkou Yala"/>
    <s v="BORKOU YALA"/>
    <s v="&lt;Null&gt;"/>
    <s v="&lt;Null&gt;"/>
    <x v="1"/>
    <s v="TD02"/>
    <s v="Tchad"/>
    <s v="TD"/>
    <n v="18263"/>
    <n v="20024"/>
    <n v="38287"/>
    <n v="3637"/>
    <n v="3082"/>
    <n v="1857"/>
    <n v="1789"/>
    <n v="1553"/>
    <n v="1282"/>
    <n v="1103"/>
    <n v="942"/>
    <n v="801"/>
    <n v="667"/>
    <n v="523"/>
    <n v="391"/>
    <n v="251"/>
    <n v="163"/>
    <n v="109"/>
    <n v="66"/>
    <n v="48"/>
    <n v="3800"/>
    <n v="3215"/>
    <n v="2278"/>
    <n v="2191"/>
    <n v="1830"/>
    <n v="1451"/>
    <n v="1138"/>
    <n v="905"/>
    <n v="677"/>
    <n v="561"/>
    <n v="569"/>
    <n v="493"/>
    <n v="336"/>
    <n v="235"/>
    <n v="170"/>
    <n v="105"/>
    <n v="71"/>
    <n v="7438"/>
    <n v="6296"/>
    <n v="4135"/>
    <n v="3980"/>
    <n v="3382"/>
    <n v="2733"/>
    <n v="2241"/>
    <n v="1847"/>
    <n v="1478"/>
    <n v="1228"/>
    <n v="1092"/>
    <n v="883"/>
    <n v="589"/>
    <n v="397"/>
    <n v="279"/>
    <n v="170"/>
    <n v="119"/>
  </r>
  <r>
    <s v="Baguirmi"/>
    <s v="TD0301"/>
    <s v="Baguirmi"/>
    <s v="BAGUIRMI"/>
    <s v="&lt;Null&gt;"/>
    <s v="&lt;Null&gt;"/>
    <x v="2"/>
    <s v="TD03"/>
    <s v="Tchad"/>
    <s v="TD"/>
    <n v="158057"/>
    <n v="157225"/>
    <n v="315282"/>
    <n v="30347"/>
    <n v="24643"/>
    <n v="21160"/>
    <n v="18825"/>
    <n v="13543"/>
    <n v="10270"/>
    <n v="9133"/>
    <n v="7712"/>
    <n v="5998"/>
    <n v="4735"/>
    <n v="3627"/>
    <n v="2724"/>
    <n v="1939"/>
    <n v="1360"/>
    <n v="938"/>
    <n v="585"/>
    <n v="517"/>
    <n v="31705"/>
    <n v="25705"/>
    <n v="21563"/>
    <n v="19068"/>
    <n v="13360"/>
    <n v="9509"/>
    <n v="6994"/>
    <n v="5573"/>
    <n v="5078"/>
    <n v="4491"/>
    <n v="3835"/>
    <n v="3170"/>
    <n v="2462"/>
    <n v="1856"/>
    <n v="1298"/>
    <n v="819"/>
    <n v="739"/>
    <n v="62053"/>
    <n v="50348"/>
    <n v="42723"/>
    <n v="37892"/>
    <n v="26904"/>
    <n v="19780"/>
    <n v="16127"/>
    <n v="13286"/>
    <n v="11076"/>
    <n v="9227"/>
    <n v="7462"/>
    <n v="5894"/>
    <n v="4401"/>
    <n v="3217"/>
    <n v="2237"/>
    <n v="1405"/>
    <n v="1255"/>
  </r>
  <r>
    <s v="Chari"/>
    <s v="TD0302"/>
    <s v="Chari"/>
    <s v="CHARI"/>
    <s v="&lt;Null&gt;"/>
    <s v="&lt;Null&gt;"/>
    <x v="2"/>
    <s v="TD03"/>
    <s v="Tchad"/>
    <s v="TD"/>
    <n v="137848"/>
    <n v="137121"/>
    <n v="274969"/>
    <n v="26467"/>
    <n v="21492"/>
    <n v="18454"/>
    <n v="16417"/>
    <n v="11812"/>
    <n v="8957"/>
    <n v="7965"/>
    <n v="6726"/>
    <n v="5231"/>
    <n v="4130"/>
    <n v="3163"/>
    <n v="2376"/>
    <n v="1691"/>
    <n v="1186"/>
    <n v="819"/>
    <n v="510"/>
    <n v="451"/>
    <n v="27651"/>
    <n v="22417"/>
    <n v="18807"/>
    <n v="16629"/>
    <n v="11652"/>
    <n v="8294"/>
    <n v="6100"/>
    <n v="4861"/>
    <n v="4429"/>
    <n v="3917"/>
    <n v="3344"/>
    <n v="2765"/>
    <n v="2147"/>
    <n v="1619"/>
    <n v="1132"/>
    <n v="714"/>
    <n v="644"/>
    <n v="54118"/>
    <n v="43909"/>
    <n v="37260"/>
    <n v="33046"/>
    <n v="23464"/>
    <n v="17250"/>
    <n v="14064"/>
    <n v="11587"/>
    <n v="9660"/>
    <n v="8047"/>
    <n v="6508"/>
    <n v="5140"/>
    <n v="3838"/>
    <n v="2805"/>
    <n v="1951"/>
    <n v="1224"/>
    <n v="1095"/>
  </r>
  <r>
    <s v="Loug-Chari"/>
    <s v="TD0303"/>
    <s v="Loug-Chari"/>
    <s v="LOUG-CHARI"/>
    <s v="&lt;Null&gt;"/>
    <s v="&lt;Null&gt;"/>
    <x v="2"/>
    <s v="TD03"/>
    <s v="Tchad"/>
    <s v="TD"/>
    <n v="140029"/>
    <n v="139292"/>
    <n v="279321"/>
    <n v="26886"/>
    <n v="21833"/>
    <n v="18746"/>
    <n v="16678"/>
    <n v="11999"/>
    <n v="9098"/>
    <n v="8091"/>
    <n v="6833"/>
    <n v="5314"/>
    <n v="4195"/>
    <n v="3213"/>
    <n v="2413"/>
    <n v="1717"/>
    <n v="1205"/>
    <n v="831"/>
    <n v="519"/>
    <n v="458"/>
    <n v="28089"/>
    <n v="22772"/>
    <n v="19104"/>
    <n v="16893"/>
    <n v="11836"/>
    <n v="8424"/>
    <n v="6196"/>
    <n v="4938"/>
    <n v="4499"/>
    <n v="3979"/>
    <n v="3398"/>
    <n v="2808"/>
    <n v="2181"/>
    <n v="1644"/>
    <n v="1150"/>
    <n v="725"/>
    <n v="654"/>
    <n v="54976"/>
    <n v="44605"/>
    <n v="37850"/>
    <n v="33570"/>
    <n v="23835"/>
    <n v="17523"/>
    <n v="14287"/>
    <n v="11770"/>
    <n v="9812"/>
    <n v="8174"/>
    <n v="6611"/>
    <n v="5222"/>
    <n v="3899"/>
    <n v="2850"/>
    <n v="1982"/>
    <n v="1244"/>
    <n v="1112"/>
  </r>
  <r>
    <s v="Guéra"/>
    <s v="TD0401"/>
    <s v="Guera"/>
    <s v="GUERA"/>
    <s v="&lt;Null&gt;"/>
    <s v="&lt;Null&gt;"/>
    <x v="3"/>
    <s v="TD04"/>
    <s v="Tchad"/>
    <s v="TD"/>
    <n v="106899"/>
    <n v="102668"/>
    <n v="209567"/>
    <n v="12534"/>
    <n v="10737"/>
    <n v="41151"/>
    <n v="15604"/>
    <n v="4385"/>
    <n v="4552"/>
    <n v="3816"/>
    <n v="3256"/>
    <n v="2770"/>
    <n v="2304"/>
    <n v="1808"/>
    <n v="1351"/>
    <n v="871"/>
    <n v="561"/>
    <n v="376"/>
    <n v="226"/>
    <n v="597"/>
    <n v="13095"/>
    <n v="11200"/>
    <n v="37622"/>
    <n v="14971"/>
    <n v="4743"/>
    <n v="4547"/>
    <n v="3484"/>
    <n v="2773"/>
    <n v="2073"/>
    <n v="1717"/>
    <n v="1742"/>
    <n v="1507"/>
    <n v="1031"/>
    <n v="719"/>
    <n v="521"/>
    <n v="320"/>
    <n v="602"/>
    <n v="25628"/>
    <n v="21938"/>
    <n v="78773"/>
    <n v="30575"/>
    <n v="9128"/>
    <n v="9100"/>
    <n v="7301"/>
    <n v="6029"/>
    <n v="4843"/>
    <n v="4021"/>
    <n v="3550"/>
    <n v="2858"/>
    <n v="1901"/>
    <n v="1279"/>
    <n v="896"/>
    <n v="546"/>
    <n v="1200"/>
  </r>
  <r>
    <s v="Abtouyour"/>
    <s v="TD0402"/>
    <s v="Abtouyour"/>
    <s v="ABTOUYOUR"/>
    <s v="&lt;Null&gt;"/>
    <s v="&lt;Null&gt;"/>
    <x v="3"/>
    <s v="TD04"/>
    <s v="Tchad"/>
    <s v="TD"/>
    <n v="103791"/>
    <n v="99683"/>
    <n v="203474"/>
    <n v="12170"/>
    <n v="10426"/>
    <n v="39955"/>
    <n v="15151"/>
    <n v="4258"/>
    <n v="4420"/>
    <n v="3705"/>
    <n v="3161"/>
    <n v="2689"/>
    <n v="2237"/>
    <n v="1755"/>
    <n v="1312"/>
    <n v="845"/>
    <n v="544"/>
    <n v="364"/>
    <n v="219"/>
    <n v="580"/>
    <n v="12714"/>
    <n v="10874"/>
    <n v="36529"/>
    <n v="14535"/>
    <n v="4605"/>
    <n v="4415"/>
    <n v="3383"/>
    <n v="2693"/>
    <n v="2014"/>
    <n v="1667"/>
    <n v="1691"/>
    <n v="1464"/>
    <n v="1001"/>
    <n v="698"/>
    <n v="505"/>
    <n v="311"/>
    <n v="584"/>
    <n v="24883"/>
    <n v="21300"/>
    <n v="76482"/>
    <n v="29686"/>
    <n v="8863"/>
    <n v="8836"/>
    <n v="7089"/>
    <n v="5854"/>
    <n v="4702"/>
    <n v="3904"/>
    <n v="3447"/>
    <n v="2775"/>
    <n v="1846"/>
    <n v="1242"/>
    <n v="869"/>
    <n v="531"/>
    <n v="1165"/>
  </r>
  <r>
    <s v="Barh-Signaka"/>
    <s v="TD0403"/>
    <s v="Barh-Signaka"/>
    <s v="BARH-SIGNAKA"/>
    <s v="&lt;Null&gt;"/>
    <s v="&lt;Null&gt;"/>
    <x v="3"/>
    <s v="TD04"/>
    <s v="Tchad"/>
    <s v="TD"/>
    <n v="64203"/>
    <n v="61662"/>
    <n v="125865"/>
    <n v="7528"/>
    <n v="6449"/>
    <n v="24715"/>
    <n v="9372"/>
    <n v="2634"/>
    <n v="2734"/>
    <n v="2293"/>
    <n v="1955"/>
    <n v="1664"/>
    <n v="1384"/>
    <n v="1086"/>
    <n v="811"/>
    <n v="523"/>
    <n v="336"/>
    <n v="225"/>
    <n v="136"/>
    <n v="359"/>
    <n v="7864"/>
    <n v="6726"/>
    <n v="22596"/>
    <n v="8991"/>
    <n v="2848"/>
    <n v="2731"/>
    <n v="2093"/>
    <n v="1666"/>
    <n v="1245"/>
    <n v="1031"/>
    <n v="1046"/>
    <n v="905"/>
    <n v="619"/>
    <n v="432"/>
    <n v="313"/>
    <n v="192"/>
    <n v="361"/>
    <n v="15392"/>
    <n v="13176"/>
    <n v="47311"/>
    <n v="18363"/>
    <n v="5482"/>
    <n v="5466"/>
    <n v="4384"/>
    <n v="3621"/>
    <n v="2909"/>
    <n v="2415"/>
    <n v="2132"/>
    <n v="1717"/>
    <n v="1141"/>
    <n v="769"/>
    <n v="538"/>
    <n v="328"/>
    <n v="720"/>
  </r>
  <r>
    <s v="Mangalmé"/>
    <s v="TD0404"/>
    <s v="Mangalme"/>
    <s v="MANGALME"/>
    <s v="&lt;Null&gt;"/>
    <s v="&lt;Null&gt;"/>
    <x v="3"/>
    <s v="TD04"/>
    <s v="Tchad"/>
    <s v="TD"/>
    <n v="58830"/>
    <n v="56504"/>
    <n v="115334"/>
    <n v="6898"/>
    <n v="5909"/>
    <n v="22648"/>
    <n v="8588"/>
    <n v="2414"/>
    <n v="2506"/>
    <n v="2100"/>
    <n v="1791"/>
    <n v="1524"/>
    <n v="1268"/>
    <n v="995"/>
    <n v="743"/>
    <n v="478"/>
    <n v="309"/>
    <n v="207"/>
    <n v="125"/>
    <n v="328"/>
    <n v="7207"/>
    <n v="6165"/>
    <n v="20706"/>
    <n v="8239"/>
    <n v="2611"/>
    <n v="2502"/>
    <n v="1918"/>
    <n v="1526"/>
    <n v="1141"/>
    <n v="945"/>
    <n v="959"/>
    <n v="829"/>
    <n v="567"/>
    <n v="395"/>
    <n v="287"/>
    <n v="176"/>
    <n v="331"/>
    <n v="14104"/>
    <n v="12074"/>
    <n v="43354"/>
    <n v="16827"/>
    <n v="5023"/>
    <n v="5008"/>
    <n v="4018"/>
    <n v="3318"/>
    <n v="2665"/>
    <n v="2213"/>
    <n v="1954"/>
    <n v="1573"/>
    <n v="1046"/>
    <n v="704"/>
    <n v="493"/>
    <n v="300"/>
    <n v="661"/>
  </r>
  <r>
    <s v="Dagana"/>
    <s v="TD0501"/>
    <s v="Dagana"/>
    <s v="DAGANA"/>
    <s v="&lt;Null&gt;"/>
    <s v="&lt;Null&gt;"/>
    <x v="4"/>
    <s v="TD05"/>
    <s v="Tchad"/>
    <s v="TD"/>
    <n v="140155"/>
    <n v="140958"/>
    <n v="281113"/>
    <n v="26708"/>
    <n v="21833"/>
    <n v="18639"/>
    <n v="16929"/>
    <n v="12062"/>
    <n v="9014"/>
    <n v="8087"/>
    <n v="6858"/>
    <n v="5353"/>
    <n v="4227"/>
    <n v="3204"/>
    <n v="2395"/>
    <n v="1709"/>
    <n v="1211"/>
    <n v="855"/>
    <n v="549"/>
    <n v="523"/>
    <n v="27902"/>
    <n v="22773"/>
    <n v="19205"/>
    <n v="17506"/>
    <n v="12402"/>
    <n v="8744"/>
    <n v="6168"/>
    <n v="4826"/>
    <n v="4560"/>
    <n v="4097"/>
    <n v="3504"/>
    <n v="2883"/>
    <n v="2173"/>
    <n v="1622"/>
    <n v="1175"/>
    <n v="752"/>
    <n v="666"/>
    <n v="54610"/>
    <n v="44605"/>
    <n v="37844"/>
    <n v="34434"/>
    <n v="24464"/>
    <n v="17758"/>
    <n v="14254"/>
    <n v="11684"/>
    <n v="9913"/>
    <n v="8324"/>
    <n v="6709"/>
    <n v="5278"/>
    <n v="3882"/>
    <n v="2833"/>
    <n v="2030"/>
    <n v="1302"/>
    <n v="1188"/>
  </r>
  <r>
    <s v="Dababa"/>
    <s v="TD0502"/>
    <s v="Dababa"/>
    <s v="DABABA"/>
    <s v="&lt;Null&gt;"/>
    <s v="&lt;Null&gt;"/>
    <x v="4"/>
    <s v="TD05"/>
    <s v="Tchad"/>
    <s v="TD"/>
    <n v="169985"/>
    <n v="170964"/>
    <n v="340949"/>
    <n v="32393"/>
    <n v="26480"/>
    <n v="22607"/>
    <n v="20531"/>
    <n v="14629"/>
    <n v="10933"/>
    <n v="9808"/>
    <n v="8318"/>
    <n v="6492"/>
    <n v="5126"/>
    <n v="3886"/>
    <n v="2905"/>
    <n v="2073"/>
    <n v="1468"/>
    <n v="1036"/>
    <n v="666"/>
    <n v="634"/>
    <n v="33841"/>
    <n v="27621"/>
    <n v="23293"/>
    <n v="21232"/>
    <n v="15043"/>
    <n v="10606"/>
    <n v="7481"/>
    <n v="5853"/>
    <n v="5532"/>
    <n v="4969"/>
    <n v="4250"/>
    <n v="3496"/>
    <n v="2636"/>
    <n v="1967"/>
    <n v="1425"/>
    <n v="913"/>
    <n v="808"/>
    <n v="66234"/>
    <n v="54099"/>
    <n v="45899"/>
    <n v="41763"/>
    <n v="29671"/>
    <n v="21537"/>
    <n v="17289"/>
    <n v="14171"/>
    <n v="12024"/>
    <n v="10096"/>
    <n v="8137"/>
    <n v="6401"/>
    <n v="4709"/>
    <n v="3437"/>
    <n v="2462"/>
    <n v="1578"/>
    <n v="1442"/>
  </r>
  <r>
    <s v="Haraze-Al-Biar"/>
    <s v="TD0503"/>
    <s v="Haraze-Al-Biar"/>
    <s v="HARAZE-AL-BIAR"/>
    <s v="&lt;Null&gt;"/>
    <s v="&lt;Null&gt;"/>
    <x v="4"/>
    <s v="TD05"/>
    <s v="Tchad"/>
    <s v="TD"/>
    <n v="111671"/>
    <n v="112312"/>
    <n v="223984"/>
    <n v="21280"/>
    <n v="17396"/>
    <n v="14851"/>
    <n v="13488"/>
    <n v="9610"/>
    <n v="7182"/>
    <n v="6443"/>
    <n v="5465"/>
    <n v="4265"/>
    <n v="3368"/>
    <n v="2553"/>
    <n v="1909"/>
    <n v="1361"/>
    <n v="965"/>
    <n v="681"/>
    <n v="437"/>
    <n v="417"/>
    <n v="22231"/>
    <n v="18145"/>
    <n v="15302"/>
    <n v="13948"/>
    <n v="9882"/>
    <n v="6967"/>
    <n v="4914"/>
    <n v="3845"/>
    <n v="3634"/>
    <n v="3265"/>
    <n v="2792"/>
    <n v="2297"/>
    <n v="1732"/>
    <n v="1292"/>
    <n v="936"/>
    <n v="599"/>
    <n v="531"/>
    <n v="43511"/>
    <n v="35540"/>
    <n v="30153"/>
    <n v="27435"/>
    <n v="19492"/>
    <n v="14149"/>
    <n v="11358"/>
    <n v="9309"/>
    <n v="7898"/>
    <n v="6633"/>
    <n v="5346"/>
    <n v="4205"/>
    <n v="3093"/>
    <n v="2258"/>
    <n v="1618"/>
    <n v="1037"/>
    <n v="947"/>
  </r>
  <r>
    <s v="Kanem"/>
    <s v="TD0601"/>
    <s v="Kanem"/>
    <s v="KANEM"/>
    <s v="&lt;Null&gt;"/>
    <s v="&lt;Null&gt;"/>
    <x v="5"/>
    <s v="TD06"/>
    <s v="Tchad"/>
    <s v="TD"/>
    <n v="119076"/>
    <n v="116487"/>
    <n v="235563"/>
    <n v="23350"/>
    <n v="19311"/>
    <n v="13046"/>
    <n v="12470"/>
    <n v="10441"/>
    <n v="8380"/>
    <n v="6736"/>
    <n v="5612"/>
    <n v="5042"/>
    <n v="4294"/>
    <n v="3270"/>
    <n v="2454"/>
    <n v="1745"/>
    <n v="1214"/>
    <n v="817"/>
    <n v="497"/>
    <n v="396"/>
    <n v="24395"/>
    <n v="20142"/>
    <n v="14091"/>
    <n v="13550"/>
    <n v="10856"/>
    <n v="7941"/>
    <n v="4811"/>
    <n v="3358"/>
    <n v="3181"/>
    <n v="2961"/>
    <n v="2869"/>
    <n v="2520"/>
    <n v="1907"/>
    <n v="1457"/>
    <n v="1143"/>
    <n v="747"/>
    <n v="560"/>
    <n v="47745"/>
    <n v="39453"/>
    <n v="27137"/>
    <n v="26020"/>
    <n v="21298"/>
    <n v="16321"/>
    <n v="11547"/>
    <n v="8970"/>
    <n v="8221"/>
    <n v="7254"/>
    <n v="6139"/>
    <n v="4974"/>
    <n v="3652"/>
    <n v="2671"/>
    <n v="1960"/>
    <n v="1245"/>
    <n v="956"/>
  </r>
  <r>
    <s v="Nord Kanem"/>
    <s v="TD0602"/>
    <s v="Nord Kanem"/>
    <s v="NORD KANEM"/>
    <s v="&lt;Null&gt;"/>
    <s v="&lt;Null&gt;"/>
    <x v="5"/>
    <s v="TD06"/>
    <s v="Tchad"/>
    <s v="TD"/>
    <n v="70715"/>
    <n v="69178"/>
    <n v="139893"/>
    <n v="13866"/>
    <n v="11468"/>
    <n v="7748"/>
    <n v="7406"/>
    <n v="6201"/>
    <n v="4977"/>
    <n v="4001"/>
    <n v="3333"/>
    <n v="2994"/>
    <n v="2550"/>
    <n v="1942"/>
    <n v="1457"/>
    <n v="1036"/>
    <n v="721"/>
    <n v="485"/>
    <n v="295"/>
    <n v="236"/>
    <n v="14487"/>
    <n v="11962"/>
    <n v="8368"/>
    <n v="8047"/>
    <n v="6447"/>
    <n v="4716"/>
    <n v="2857"/>
    <n v="1994"/>
    <n v="1889"/>
    <n v="1759"/>
    <n v="1703"/>
    <n v="1497"/>
    <n v="1133"/>
    <n v="865"/>
    <n v="679"/>
    <n v="443"/>
    <n v="332"/>
    <n v="28354"/>
    <n v="23430"/>
    <n v="16116"/>
    <n v="15452"/>
    <n v="12648"/>
    <n v="9692"/>
    <n v="6857"/>
    <n v="5327"/>
    <n v="4882"/>
    <n v="4308"/>
    <n v="3646"/>
    <n v="2954"/>
    <n v="2169"/>
    <n v="1587"/>
    <n v="1165"/>
    <n v="739"/>
    <n v="568"/>
  </r>
  <r>
    <s v="Wadi Bissam"/>
    <s v="TD0603"/>
    <s v="Wadi-Bissam"/>
    <s v="WADI-BISSAM"/>
    <s v="&lt;Null&gt;"/>
    <s v="&lt;Null&gt;"/>
    <x v="5"/>
    <s v="TD06"/>
    <s v="Tchad"/>
    <s v="TD"/>
    <n v="69378"/>
    <n v="67870"/>
    <n v="137248"/>
    <n v="13605"/>
    <n v="11251"/>
    <n v="7601"/>
    <n v="7266"/>
    <n v="6083"/>
    <n v="4882"/>
    <n v="3924"/>
    <n v="3270"/>
    <n v="2938"/>
    <n v="2501"/>
    <n v="1906"/>
    <n v="1429"/>
    <n v="1017"/>
    <n v="707"/>
    <n v="476"/>
    <n v="290"/>
    <n v="232"/>
    <n v="14213"/>
    <n v="11735"/>
    <n v="8210"/>
    <n v="7894"/>
    <n v="6325"/>
    <n v="4626"/>
    <n v="2803"/>
    <n v="1956"/>
    <n v="1853"/>
    <n v="1726"/>
    <n v="1671"/>
    <n v="1468"/>
    <n v="1111"/>
    <n v="849"/>
    <n v="667"/>
    <n v="435"/>
    <n v="326"/>
    <n v="27818"/>
    <n v="22987"/>
    <n v="15811"/>
    <n v="15160"/>
    <n v="12408"/>
    <n v="9509"/>
    <n v="6727"/>
    <n v="5226"/>
    <n v="4790"/>
    <n v="4227"/>
    <n v="3577"/>
    <n v="2898"/>
    <n v="2128"/>
    <n v="1556"/>
    <n v="1142"/>
    <n v="725"/>
    <n v="558"/>
  </r>
  <r>
    <s v="Mamdi"/>
    <s v="TD0701"/>
    <s v="Mamdi"/>
    <s v="MAMDI"/>
    <s v="&lt;Null&gt;"/>
    <s v="&lt;Null&gt;"/>
    <x v="6"/>
    <s v="TD07"/>
    <s v="Tchad"/>
    <s v="TD"/>
    <n v="84486"/>
    <n v="85927"/>
    <n v="170413"/>
    <n v="16433"/>
    <n v="13493"/>
    <n v="10601"/>
    <n v="9712"/>
    <n v="7237"/>
    <n v="5564"/>
    <n v="4978"/>
    <n v="4234"/>
    <n v="3358"/>
    <n v="2667"/>
    <n v="1998"/>
    <n v="1475"/>
    <n v="1049"/>
    <n v="721"/>
    <n v="459"/>
    <n v="271"/>
    <n v="237"/>
    <n v="17167"/>
    <n v="14073"/>
    <n v="11460"/>
    <n v="10515"/>
    <n v="7532"/>
    <n v="5301"/>
    <n v="3620"/>
    <n v="2808"/>
    <n v="2748"/>
    <n v="2540"/>
    <n v="2286"/>
    <n v="1916"/>
    <n v="1402"/>
    <n v="1021"/>
    <n v="729"/>
    <n v="453"/>
    <n v="356"/>
    <n v="33600"/>
    <n v="27566"/>
    <n v="22061"/>
    <n v="20228"/>
    <n v="14769"/>
    <n v="10864"/>
    <n v="8598"/>
    <n v="7042"/>
    <n v="6106"/>
    <n v="5207"/>
    <n v="4285"/>
    <n v="3390"/>
    <n v="2451"/>
    <n v="1742"/>
    <n v="1186"/>
    <n v="723"/>
    <n v="593"/>
  </r>
  <r>
    <s v="Wayi"/>
    <s v="TD0702"/>
    <s v="Wayi"/>
    <s v="WAYI"/>
    <s v="&lt;Null&gt;"/>
    <s v="&lt;Null&gt;"/>
    <x v="6"/>
    <s v="TD07"/>
    <s v="Tchad"/>
    <s v="TD"/>
    <n v="158398"/>
    <n v="161108"/>
    <n v="319506"/>
    <n v="30809"/>
    <n v="25296"/>
    <n v="19878"/>
    <n v="18211"/>
    <n v="13568"/>
    <n v="10431"/>
    <n v="9334"/>
    <n v="7940"/>
    <n v="6294"/>
    <n v="5000"/>
    <n v="3745"/>
    <n v="2764"/>
    <n v="1966"/>
    <n v="1352"/>
    <n v="859"/>
    <n v="507"/>
    <n v="443"/>
    <n v="32187"/>
    <n v="26386"/>
    <n v="21486"/>
    <n v="19715"/>
    <n v="14122"/>
    <n v="9939"/>
    <n v="6788"/>
    <n v="5265"/>
    <n v="5153"/>
    <n v="4762"/>
    <n v="4288"/>
    <n v="3591"/>
    <n v="2629"/>
    <n v="1914"/>
    <n v="1365"/>
    <n v="850"/>
    <n v="668"/>
    <n v="62996"/>
    <n v="51682"/>
    <n v="41363"/>
    <n v="37925"/>
    <n v="27690"/>
    <n v="20369"/>
    <n v="16121"/>
    <n v="13204"/>
    <n v="11447"/>
    <n v="9762"/>
    <n v="8033"/>
    <n v="6356"/>
    <n v="4595"/>
    <n v="3266"/>
    <n v="2226"/>
    <n v="1357"/>
    <n v="1111"/>
  </r>
  <r>
    <s v="Kaya"/>
    <s v="TD0703"/>
    <s v="Kaya"/>
    <s v="KAYA"/>
    <s v="&lt;Null&gt;"/>
    <s v="&lt;Null&gt;"/>
    <x v="6"/>
    <s v="TD07"/>
    <s v="Tchad"/>
    <s v="TD"/>
    <n v="29230"/>
    <n v="29726"/>
    <n v="58956"/>
    <n v="5685"/>
    <n v="4667"/>
    <n v="3668"/>
    <n v="3361"/>
    <n v="2503"/>
    <n v="1925"/>
    <n v="1722"/>
    <n v="1465"/>
    <n v="1162"/>
    <n v="923"/>
    <n v="691"/>
    <n v="510"/>
    <n v="363"/>
    <n v="249"/>
    <n v="158"/>
    <n v="94"/>
    <n v="81"/>
    <n v="5939"/>
    <n v="4869"/>
    <n v="3965"/>
    <n v="3637"/>
    <n v="2605"/>
    <n v="1834"/>
    <n v="1252"/>
    <n v="971"/>
    <n v="951"/>
    <n v="879"/>
    <n v="791"/>
    <n v="663"/>
    <n v="485"/>
    <n v="353"/>
    <n v="252"/>
    <n v="156"/>
    <n v="123"/>
    <n v="11624"/>
    <n v="9537"/>
    <n v="7633"/>
    <n v="6998"/>
    <n v="5110"/>
    <n v="3759"/>
    <n v="2975"/>
    <n v="2437"/>
    <n v="2112"/>
    <n v="1802"/>
    <n v="1483"/>
    <n v="1173"/>
    <n v="848"/>
    <n v="603"/>
    <n v="411"/>
    <n v="250"/>
    <n v="205"/>
  </r>
  <r>
    <s v="Fouli"/>
    <s v="TD0704"/>
    <s v="Fouli"/>
    <s v="FOULI"/>
    <s v="&lt;Null&gt;"/>
    <s v="&lt;Null&gt;"/>
    <x v="6"/>
    <s v="TD07"/>
    <s v="Tchad"/>
    <s v="TD"/>
    <n v="53685"/>
    <n v="54605"/>
    <n v="108290"/>
    <n v="10442"/>
    <n v="8574"/>
    <n v="6737"/>
    <n v="6172"/>
    <n v="4598"/>
    <n v="3536"/>
    <n v="3163"/>
    <n v="2691"/>
    <n v="2133"/>
    <n v="1695"/>
    <n v="1270"/>
    <n v="936"/>
    <n v="667"/>
    <n v="458"/>
    <n v="291"/>
    <n v="172"/>
    <n v="150"/>
    <n v="10909"/>
    <n v="8944"/>
    <n v="7282"/>
    <n v="6682"/>
    <n v="4787"/>
    <n v="3369"/>
    <n v="2301"/>
    <n v="1784"/>
    <n v="1746"/>
    <n v="1614"/>
    <n v="1453"/>
    <n v="1217"/>
    <n v="891"/>
    <n v="648"/>
    <n v="463"/>
    <n v="288"/>
    <n v="226"/>
    <n v="21352"/>
    <n v="17517"/>
    <n v="14020"/>
    <n v="12854"/>
    <n v="9385"/>
    <n v="6903"/>
    <n v="5464"/>
    <n v="4475"/>
    <n v="3880"/>
    <n v="3308"/>
    <n v="2723"/>
    <n v="2155"/>
    <n v="1558"/>
    <n v="1107"/>
    <n v="754"/>
    <n v="460"/>
    <n v="377"/>
  </r>
  <r>
    <s v="Lac Wey"/>
    <s v="TD0801"/>
    <s v="Lac Wey"/>
    <s v="LAC WEY"/>
    <s v="&lt;Null&gt;"/>
    <s v="&lt;Null&gt;"/>
    <x v="7"/>
    <s v="TD08"/>
    <s v="Tchad"/>
    <s v="TD"/>
    <n v="258228"/>
    <n v="252916"/>
    <n v="511144"/>
    <n v="49920"/>
    <n v="40907"/>
    <n v="34459"/>
    <n v="29261"/>
    <n v="21770"/>
    <n v="17244"/>
    <n v="15422"/>
    <n v="12953"/>
    <n v="9597"/>
    <n v="7426"/>
    <n v="5932"/>
    <n v="4582"/>
    <n v="3355"/>
    <n v="2359"/>
    <n v="1521"/>
    <n v="888"/>
    <n v="632"/>
    <n v="52151"/>
    <n v="42668"/>
    <n v="34128"/>
    <n v="28723"/>
    <n v="21639"/>
    <n v="16808"/>
    <n v="13390"/>
    <n v="10732"/>
    <n v="8333"/>
    <n v="6636"/>
    <n v="5359"/>
    <n v="4229"/>
    <n v="3260"/>
    <n v="2323"/>
    <n v="1304"/>
    <n v="691"/>
    <n v="541"/>
    <n v="102071"/>
    <n v="83575"/>
    <n v="68587"/>
    <n v="57984"/>
    <n v="43410"/>
    <n v="34051"/>
    <n v="28812"/>
    <n v="23685"/>
    <n v="17930"/>
    <n v="14062"/>
    <n v="11291"/>
    <n v="8811"/>
    <n v="6615"/>
    <n v="4683"/>
    <n v="2826"/>
    <n v="1579"/>
    <n v="1173"/>
  </r>
  <r>
    <s v="Dodjé"/>
    <s v="TD0802"/>
    <s v="Dodje"/>
    <s v="DODJE"/>
    <s v="&lt;Null&gt;"/>
    <s v="&lt;Null&gt;"/>
    <x v="7"/>
    <s v="TD08"/>
    <s v="Tchad"/>
    <s v="TD"/>
    <n v="82855"/>
    <n v="81150"/>
    <n v="164005"/>
    <n v="16017"/>
    <n v="13126"/>
    <n v="11056"/>
    <n v="9388"/>
    <n v="6985"/>
    <n v="5533"/>
    <n v="4948"/>
    <n v="4156"/>
    <n v="3080"/>
    <n v="2383"/>
    <n v="1904"/>
    <n v="1470"/>
    <n v="1076"/>
    <n v="757"/>
    <n v="488"/>
    <n v="285"/>
    <n v="203"/>
    <n v="16733"/>
    <n v="13690"/>
    <n v="10950"/>
    <n v="9215"/>
    <n v="6944"/>
    <n v="5393"/>
    <n v="4296"/>
    <n v="3444"/>
    <n v="2673"/>
    <n v="2129"/>
    <n v="1719"/>
    <n v="1357"/>
    <n v="1045"/>
    <n v="745"/>
    <n v="419"/>
    <n v="222"/>
    <n v="174"/>
    <n v="32750"/>
    <n v="26815"/>
    <n v="22007"/>
    <n v="18604"/>
    <n v="13928"/>
    <n v="10926"/>
    <n v="9244"/>
    <n v="7599"/>
    <n v="5753"/>
    <n v="4512"/>
    <n v="3623"/>
    <n v="2827"/>
    <n v="2123"/>
    <n v="1502"/>
    <n v="907"/>
    <n v="507"/>
    <n v="377"/>
  </r>
  <r>
    <s v="Guéni"/>
    <s v="TD0803"/>
    <s v="Gueni"/>
    <s v="GUENI"/>
    <s v="&lt;Null&gt;"/>
    <s v="&lt;Null&gt;"/>
    <x v="7"/>
    <s v="TD08"/>
    <s v="Tchad"/>
    <s v="TD"/>
    <n v="71675"/>
    <n v="70203"/>
    <n v="141878"/>
    <n v="13856"/>
    <n v="11355"/>
    <n v="9565"/>
    <n v="8122"/>
    <n v="6043"/>
    <n v="4786"/>
    <n v="4281"/>
    <n v="3595"/>
    <n v="2664"/>
    <n v="2061"/>
    <n v="1646"/>
    <n v="1272"/>
    <n v="931"/>
    <n v="654"/>
    <n v="422"/>
    <n v="247"/>
    <n v="175"/>
    <n v="14476"/>
    <n v="11843"/>
    <n v="9473"/>
    <n v="7972"/>
    <n v="6006"/>
    <n v="4665"/>
    <n v="3717"/>
    <n v="2979"/>
    <n v="2313"/>
    <n v="1842"/>
    <n v="1488"/>
    <n v="1174"/>
    <n v="904"/>
    <n v="645"/>
    <n v="362"/>
    <n v="192"/>
    <n v="150"/>
    <n v="28332"/>
    <n v="23198"/>
    <n v="19038"/>
    <n v="16094"/>
    <n v="12049"/>
    <n v="9451"/>
    <n v="7997"/>
    <n v="6574"/>
    <n v="4977"/>
    <n v="3903"/>
    <n v="3134"/>
    <n v="2446"/>
    <n v="1837"/>
    <n v="1300"/>
    <n v="784"/>
    <n v="438"/>
    <n v="325"/>
  </r>
  <r>
    <s v="Ngourkosso"/>
    <s v="TD0804"/>
    <s v="Ngourkosso"/>
    <s v="NGOURKOSSO"/>
    <s v="&lt;Null&gt;"/>
    <s v="&lt;Null&gt;"/>
    <x v="7"/>
    <s v="TD08"/>
    <s v="Tchad"/>
    <s v="TD"/>
    <n v="123988"/>
    <n v="121438"/>
    <n v="245426"/>
    <n v="23969"/>
    <n v="19642"/>
    <n v="16546"/>
    <n v="14050"/>
    <n v="10453"/>
    <n v="8279"/>
    <n v="7404"/>
    <n v="6219"/>
    <n v="4608"/>
    <n v="3565"/>
    <n v="2848"/>
    <n v="2200"/>
    <n v="1611"/>
    <n v="1133"/>
    <n v="731"/>
    <n v="426"/>
    <n v="304"/>
    <n v="25041"/>
    <n v="20488"/>
    <n v="16386"/>
    <n v="13791"/>
    <n v="10391"/>
    <n v="8070"/>
    <n v="6429"/>
    <n v="5153"/>
    <n v="4001"/>
    <n v="3187"/>
    <n v="2573"/>
    <n v="2030"/>
    <n v="1565"/>
    <n v="1115"/>
    <n v="626"/>
    <n v="332"/>
    <n v="259"/>
    <n v="49011"/>
    <n v="40130"/>
    <n v="32933"/>
    <n v="27841"/>
    <n v="20844"/>
    <n v="16350"/>
    <n v="13835"/>
    <n v="11372"/>
    <n v="8609"/>
    <n v="6752"/>
    <n v="5422"/>
    <n v="4230"/>
    <n v="3176"/>
    <n v="2248"/>
    <n v="1356"/>
    <n v="758"/>
    <n v="563"/>
  </r>
  <r>
    <s v="La Pendé"/>
    <s v="TD0901"/>
    <s v="La Pende"/>
    <s v="LA PENDE"/>
    <s v="&lt;Null&gt;"/>
    <s v="&lt;Null&gt;"/>
    <x v="8"/>
    <s v="TD09"/>
    <s v="Tchad"/>
    <s v="TD"/>
    <n v="124139"/>
    <n v="121854"/>
    <n v="245993"/>
    <n v="23673"/>
    <n v="19557"/>
    <n v="17265"/>
    <n v="14670"/>
    <n v="10188"/>
    <n v="7775"/>
    <n v="7366"/>
    <n v="6369"/>
    <n v="4839"/>
    <n v="3742"/>
    <n v="2775"/>
    <n v="2038"/>
    <n v="1467"/>
    <n v="1024"/>
    <n v="681"/>
    <n v="407"/>
    <n v="301"/>
    <n v="24730"/>
    <n v="20399"/>
    <n v="17233"/>
    <n v="14599"/>
    <n v="10368"/>
    <n v="7661"/>
    <n v="5912"/>
    <n v="4767"/>
    <n v="4120"/>
    <n v="3461"/>
    <n v="2742"/>
    <n v="2114"/>
    <n v="1525"/>
    <n v="1044"/>
    <n v="597"/>
    <n v="320"/>
    <n v="260"/>
    <n v="48403"/>
    <n v="39955"/>
    <n v="34498"/>
    <n v="29269"/>
    <n v="20556"/>
    <n v="15436"/>
    <n v="13279"/>
    <n v="11138"/>
    <n v="8960"/>
    <n v="7204"/>
    <n v="5517"/>
    <n v="4152"/>
    <n v="2991"/>
    <n v="2068"/>
    <n v="1278"/>
    <n v="727"/>
    <n v="562"/>
  </r>
  <r>
    <s v="Kouh Est"/>
    <s v="TD0902"/>
    <s v="Kouh Est"/>
    <s v="KOUH EST"/>
    <s v="&lt;Null&gt;"/>
    <s v="&lt;Null&gt;"/>
    <x v="8"/>
    <s v="TD09"/>
    <s v="Tchad"/>
    <s v="TD"/>
    <n v="78411"/>
    <n v="76968"/>
    <n v="155379"/>
    <n v="14952"/>
    <n v="12353"/>
    <n v="10905"/>
    <n v="9266"/>
    <n v="6435"/>
    <n v="4911"/>
    <n v="4653"/>
    <n v="4023"/>
    <n v="3057"/>
    <n v="2364"/>
    <n v="1753"/>
    <n v="1287"/>
    <n v="926"/>
    <n v="647"/>
    <n v="430"/>
    <n v="257"/>
    <n v="190"/>
    <n v="15621"/>
    <n v="12885"/>
    <n v="10885"/>
    <n v="9222"/>
    <n v="6548"/>
    <n v="4839"/>
    <n v="3734"/>
    <n v="3012"/>
    <n v="2602"/>
    <n v="2187"/>
    <n v="1732"/>
    <n v="1335"/>
    <n v="963"/>
    <n v="660"/>
    <n v="377"/>
    <n v="203"/>
    <n v="165"/>
    <n v="30573"/>
    <n v="25238"/>
    <n v="21791"/>
    <n v="18488"/>
    <n v="12984"/>
    <n v="9750"/>
    <n v="8387"/>
    <n v="7035"/>
    <n v="5659"/>
    <n v="4550"/>
    <n v="3485"/>
    <n v="2622"/>
    <n v="1889"/>
    <n v="1307"/>
    <n v="807"/>
    <n v="459"/>
    <n v="355"/>
  </r>
  <r>
    <s v="Kouh Ouest"/>
    <s v="TD0903"/>
    <s v="Kouh Ouest"/>
    <s v="KOUH OUEST"/>
    <s v="&lt;Null&gt;"/>
    <s v="&lt;Null&gt;"/>
    <x v="8"/>
    <s v="TD09"/>
    <s v="Tchad"/>
    <s v="TD"/>
    <n v="38306"/>
    <n v="37602"/>
    <n v="75907"/>
    <n v="7305"/>
    <n v="6035"/>
    <n v="5328"/>
    <n v="4527"/>
    <n v="3144"/>
    <n v="2400"/>
    <n v="2273"/>
    <n v="1965"/>
    <n v="1493"/>
    <n v="1155"/>
    <n v="856"/>
    <n v="629"/>
    <n v="453"/>
    <n v="316"/>
    <n v="210"/>
    <n v="126"/>
    <n v="93"/>
    <n v="7632"/>
    <n v="6295"/>
    <n v="5318"/>
    <n v="4505"/>
    <n v="3199"/>
    <n v="2364"/>
    <n v="1824"/>
    <n v="1471"/>
    <n v="1272"/>
    <n v="1068"/>
    <n v="846"/>
    <n v="652"/>
    <n v="470"/>
    <n v="322"/>
    <n v="184"/>
    <n v="99"/>
    <n v="80"/>
    <n v="14937"/>
    <n v="12330"/>
    <n v="10646"/>
    <n v="9032"/>
    <n v="6344"/>
    <n v="4763"/>
    <n v="4097"/>
    <n v="3437"/>
    <n v="2765"/>
    <n v="2223"/>
    <n v="1703"/>
    <n v="1281"/>
    <n v="923"/>
    <n v="638"/>
    <n v="394"/>
    <n v="224"/>
    <n v="173"/>
  </r>
  <r>
    <s v="La Nya"/>
    <s v="TD0904"/>
    <s v="La Nya"/>
    <s v="LA NYA"/>
    <s v="&lt;Null&gt;"/>
    <s v="&lt;Null&gt;"/>
    <x v="8"/>
    <s v="TD09"/>
    <s v="Tchad"/>
    <s v="TD"/>
    <n v="109038"/>
    <n v="107033"/>
    <n v="216071"/>
    <n v="20792"/>
    <n v="17178"/>
    <n v="15165"/>
    <n v="12886"/>
    <n v="8949"/>
    <n v="6829"/>
    <n v="6471"/>
    <n v="5595"/>
    <n v="4251"/>
    <n v="3288"/>
    <n v="2438"/>
    <n v="1790"/>
    <n v="1288"/>
    <n v="899"/>
    <n v="598"/>
    <n v="357"/>
    <n v="264"/>
    <n v="21723"/>
    <n v="17917"/>
    <n v="15137"/>
    <n v="12823"/>
    <n v="9106"/>
    <n v="6729"/>
    <n v="5193"/>
    <n v="4188"/>
    <n v="3619"/>
    <n v="3041"/>
    <n v="2409"/>
    <n v="1856"/>
    <n v="1340"/>
    <n v="918"/>
    <n v="524"/>
    <n v="281"/>
    <n v="228"/>
    <n v="42515"/>
    <n v="35095"/>
    <n v="30302"/>
    <n v="25709"/>
    <n v="18055"/>
    <n v="13559"/>
    <n v="11664"/>
    <n v="9782"/>
    <n v="7871"/>
    <n v="6327"/>
    <n v="4846"/>
    <n v="3647"/>
    <n v="2628"/>
    <n v="1817"/>
    <n v="1123"/>
    <n v="639"/>
    <n v="493"/>
  </r>
  <r>
    <s v="La Nya Pendé"/>
    <s v="TD0905"/>
    <s v="La Nya Pende"/>
    <s v="LA NYA PENDE"/>
    <s v="&lt;Null&gt;"/>
    <s v="&lt;Null&gt;"/>
    <x v="8"/>
    <s v="TD09"/>
    <s v="Tchad"/>
    <s v="TD"/>
    <n v="83625"/>
    <n v="82087"/>
    <n v="165712"/>
    <n v="15947"/>
    <n v="13174"/>
    <n v="11630"/>
    <n v="9882"/>
    <n v="6863"/>
    <n v="5237"/>
    <n v="4963"/>
    <n v="4291"/>
    <n v="3260"/>
    <n v="2521"/>
    <n v="1870"/>
    <n v="1374"/>
    <n v="988"/>
    <n v="689"/>
    <n v="459"/>
    <n v="274"/>
    <n v="203"/>
    <n v="16660"/>
    <n v="13742"/>
    <n v="11609"/>
    <n v="9835"/>
    <n v="6985"/>
    <n v="5160"/>
    <n v="3983"/>
    <n v="3211"/>
    <n v="2775"/>
    <n v="2332"/>
    <n v="1847"/>
    <n v="1423"/>
    <n v="1027"/>
    <n v="704"/>
    <n v="402"/>
    <n v="216"/>
    <n v="176"/>
    <n v="32606"/>
    <n v="26916"/>
    <n v="23239"/>
    <n v="19717"/>
    <n v="13847"/>
    <n v="10399"/>
    <n v="8945"/>
    <n v="7502"/>
    <n v="6036"/>
    <n v="4853"/>
    <n v="3717"/>
    <n v="2797"/>
    <n v="2015"/>
    <n v="1393"/>
    <n v="861"/>
    <n v="490"/>
    <n v="379"/>
  </r>
  <r>
    <s v="Monts de Lam"/>
    <s v="TD0906"/>
    <s v="Monts de Lam"/>
    <s v="MONTS DE LAM"/>
    <s v="&lt;Null&gt;"/>
    <s v="&lt;Null&gt;"/>
    <x v="8"/>
    <s v="TD09"/>
    <s v="Tchad"/>
    <s v="TD"/>
    <n v="169423"/>
    <n v="166306"/>
    <n v="335729"/>
    <n v="32308"/>
    <n v="26691"/>
    <n v="23562"/>
    <n v="20022"/>
    <n v="13904"/>
    <n v="10612"/>
    <n v="10054"/>
    <n v="8693"/>
    <n v="6605"/>
    <n v="5108"/>
    <n v="3788"/>
    <n v="2782"/>
    <n v="2002"/>
    <n v="1397"/>
    <n v="929"/>
    <n v="556"/>
    <n v="411"/>
    <n v="33752"/>
    <n v="27840"/>
    <n v="23520"/>
    <n v="19925"/>
    <n v="14149"/>
    <n v="10455"/>
    <n v="8069"/>
    <n v="6506"/>
    <n v="5623"/>
    <n v="4724"/>
    <n v="3742"/>
    <n v="2884"/>
    <n v="2081"/>
    <n v="1425"/>
    <n v="815"/>
    <n v="437"/>
    <n v="356"/>
    <n v="66059"/>
    <n v="54530"/>
    <n v="47083"/>
    <n v="39947"/>
    <n v="28054"/>
    <n v="21067"/>
    <n v="18123"/>
    <n v="15200"/>
    <n v="12228"/>
    <n v="9832"/>
    <n v="7530"/>
    <n v="5666"/>
    <n v="4083"/>
    <n v="2823"/>
    <n v="1744"/>
    <n v="993"/>
    <n v="767"/>
  </r>
  <r>
    <s v="Mandoul Oriental"/>
    <s v="TD1001"/>
    <s v="Mandoul Oriental"/>
    <s v="MANDOUL ORIENTAL"/>
    <s v="&lt;Null&gt;"/>
    <s v="&lt;Null&gt;"/>
    <x v="9"/>
    <s v="TD10"/>
    <s v="Tchad"/>
    <s v="TD"/>
    <n v="196472"/>
    <n v="193047"/>
    <n v="389519"/>
    <n v="36854"/>
    <n v="30874"/>
    <n v="26443"/>
    <n v="23273"/>
    <n v="15697"/>
    <n v="11602"/>
    <n v="11421"/>
    <n v="10164"/>
    <n v="8126"/>
    <n v="6508"/>
    <n v="4880"/>
    <n v="3626"/>
    <n v="2626"/>
    <n v="1847"/>
    <n v="1248"/>
    <n v="750"/>
    <n v="533"/>
    <n v="38502"/>
    <n v="32204"/>
    <n v="26880"/>
    <n v="23941"/>
    <n v="17104"/>
    <n v="12301"/>
    <n v="9080"/>
    <n v="7167"/>
    <n v="6363"/>
    <n v="5441"/>
    <n v="4390"/>
    <n v="3428"/>
    <n v="2478"/>
    <n v="1715"/>
    <n v="1022"/>
    <n v="569"/>
    <n v="464"/>
    <n v="75356"/>
    <n v="63079"/>
    <n v="53322"/>
    <n v="47214"/>
    <n v="32800"/>
    <n v="23903"/>
    <n v="20501"/>
    <n v="17330"/>
    <n v="14488"/>
    <n v="11949"/>
    <n v="9270"/>
    <n v="7054"/>
    <n v="5103"/>
    <n v="3561"/>
    <n v="2270"/>
    <n v="1319"/>
    <n v="996"/>
  </r>
  <r>
    <s v="Barh-Sara"/>
    <s v="TD1002"/>
    <s v="Barh-Sara"/>
    <s v="BARH-SARA"/>
    <s v="&lt;Null&gt;"/>
    <s v="&lt;Null&gt;"/>
    <x v="9"/>
    <s v="TD10"/>
    <s v="Tchad"/>
    <s v="TD"/>
    <n v="166657"/>
    <n v="163752"/>
    <n v="330409"/>
    <n v="31261"/>
    <n v="26189"/>
    <n v="22431"/>
    <n v="19742"/>
    <n v="13315"/>
    <n v="9841"/>
    <n v="9688"/>
    <n v="8622"/>
    <n v="6892"/>
    <n v="5520"/>
    <n v="4141"/>
    <n v="3076"/>
    <n v="2228"/>
    <n v="1566"/>
    <n v="1059"/>
    <n v="636"/>
    <n v="452"/>
    <n v="32660"/>
    <n v="27317"/>
    <n v="22801"/>
    <n v="20309"/>
    <n v="14507"/>
    <n v="10435"/>
    <n v="7702"/>
    <n v="6079"/>
    <n v="5397"/>
    <n v="4616"/>
    <n v="3724"/>
    <n v="2907"/>
    <n v="2101"/>
    <n v="1455"/>
    <n v="866"/>
    <n v="483"/>
    <n v="393"/>
    <n v="63921"/>
    <n v="53507"/>
    <n v="45232"/>
    <n v="40050"/>
    <n v="27822"/>
    <n v="20276"/>
    <n v="17390"/>
    <n v="14701"/>
    <n v="12290"/>
    <n v="10136"/>
    <n v="7863"/>
    <n v="5983"/>
    <n v="4329"/>
    <n v="3021"/>
    <n v="1925"/>
    <n v="1118"/>
    <n v="846"/>
  </r>
  <r>
    <s v="Mandoul Occidental"/>
    <s v="TD1003"/>
    <s v="Mandoul Occidental"/>
    <s v="MANDOUL OCCIDENTAL"/>
    <s v="&lt;Null&gt;"/>
    <s v="&lt;Null&gt;"/>
    <x v="9"/>
    <s v="TD10"/>
    <s v="Tchad"/>
    <s v="TD"/>
    <n v="118672"/>
    <n v="116604"/>
    <n v="235277"/>
    <n v="22261"/>
    <n v="18649"/>
    <n v="15972"/>
    <n v="14058"/>
    <n v="9481"/>
    <n v="7007"/>
    <n v="6898"/>
    <n v="6139"/>
    <n v="4908"/>
    <n v="3931"/>
    <n v="2948"/>
    <n v="2191"/>
    <n v="1586"/>
    <n v="1115"/>
    <n v="754"/>
    <n v="453"/>
    <n v="322"/>
    <n v="23256"/>
    <n v="19452"/>
    <n v="16236"/>
    <n v="14461"/>
    <n v="10331"/>
    <n v="7430"/>
    <n v="5484"/>
    <n v="4329"/>
    <n v="3843"/>
    <n v="3287"/>
    <n v="2652"/>
    <n v="2070"/>
    <n v="1496"/>
    <n v="1036"/>
    <n v="617"/>
    <n v="344"/>
    <n v="280"/>
    <n v="45516"/>
    <n v="38101"/>
    <n v="32208"/>
    <n v="28518"/>
    <n v="19812"/>
    <n v="14438"/>
    <n v="12383"/>
    <n v="10468"/>
    <n v="8751"/>
    <n v="7218"/>
    <n v="5600"/>
    <n v="4260"/>
    <n v="3083"/>
    <n v="2152"/>
    <n v="1371"/>
    <n v="796"/>
    <n v="602"/>
  </r>
  <r>
    <s v="Mayo-Boneye"/>
    <s v="TD1101"/>
    <s v="Mayo-Boneye"/>
    <s v="MAYO-BONEYE"/>
    <s v="&lt;Null&gt;"/>
    <s v="&lt;Null&gt;"/>
    <x v="10"/>
    <s v="TD11"/>
    <s v="Tchad"/>
    <s v="TD"/>
    <n v="183310"/>
    <n v="176040"/>
    <n v="359350"/>
    <n v="35438"/>
    <n v="28602"/>
    <n v="23004"/>
    <n v="20978"/>
    <n v="16044"/>
    <n v="12455"/>
    <n v="10509"/>
    <n v="8674"/>
    <n v="6785"/>
    <n v="5440"/>
    <n v="4323"/>
    <n v="3404"/>
    <n v="2664"/>
    <n v="1998"/>
    <n v="1407"/>
    <n v="884"/>
    <n v="703"/>
    <n v="37022"/>
    <n v="29834"/>
    <n v="23088"/>
    <n v="20793"/>
    <n v="15742"/>
    <n v="11688"/>
    <n v="8377"/>
    <n v="6373"/>
    <n v="5271"/>
    <n v="4394"/>
    <n v="3669"/>
    <n v="2987"/>
    <n v="2307"/>
    <n v="1737"/>
    <n v="1192"/>
    <n v="772"/>
    <n v="792"/>
    <n v="72461"/>
    <n v="58436"/>
    <n v="46091"/>
    <n v="41772"/>
    <n v="31786"/>
    <n v="24143"/>
    <n v="18885"/>
    <n v="15049"/>
    <n v="12056"/>
    <n v="9834"/>
    <n v="7992"/>
    <n v="6391"/>
    <n v="4972"/>
    <n v="3735"/>
    <n v="2598"/>
    <n v="1655"/>
    <n v="1495"/>
  </r>
  <r>
    <s v="Kabbia"/>
    <s v="TD1102"/>
    <s v="Kabbia"/>
    <s v="KABBIA"/>
    <s v="&lt;Null&gt;"/>
    <s v="&lt;Null&gt;"/>
    <x v="10"/>
    <s v="TD11"/>
    <s v="Tchad"/>
    <s v="TD"/>
    <n v="177769"/>
    <n v="170720"/>
    <n v="348489"/>
    <n v="34367"/>
    <n v="27738"/>
    <n v="22308"/>
    <n v="20344"/>
    <n v="15559"/>
    <n v="12078"/>
    <n v="10191"/>
    <n v="8412"/>
    <n v="6580"/>
    <n v="5276"/>
    <n v="4192"/>
    <n v="3301"/>
    <n v="2584"/>
    <n v="1939"/>
    <n v="1363"/>
    <n v="857"/>
    <n v="681"/>
    <n v="35904"/>
    <n v="28933"/>
    <n v="22389"/>
    <n v="20166"/>
    <n v="15266"/>
    <n v="11335"/>
    <n v="8124"/>
    <n v="6181"/>
    <n v="5112"/>
    <n v="4261"/>
    <n v="3558"/>
    <n v="2897"/>
    <n v="2238"/>
    <n v="1684"/>
    <n v="1156"/>
    <n v="748"/>
    <n v="769"/>
    <n v="70271"/>
    <n v="56670"/>
    <n v="44698"/>
    <n v="40509"/>
    <n v="30825"/>
    <n v="23413"/>
    <n v="18315"/>
    <n v="14594"/>
    <n v="11692"/>
    <n v="9537"/>
    <n v="7750"/>
    <n v="6197"/>
    <n v="4821"/>
    <n v="3622"/>
    <n v="2519"/>
    <n v="1605"/>
    <n v="1450"/>
  </r>
  <r>
    <s v="Mayo-Lemié"/>
    <s v="TD1103"/>
    <s v="Mayo-Lemie"/>
    <s v="MAYO-LEMIE"/>
    <s v="&lt;Null&gt;"/>
    <s v="&lt;Null&gt;"/>
    <x v="10"/>
    <s v="TD11"/>
    <s v="Tchad"/>
    <s v="TD"/>
    <n v="63741"/>
    <n v="61215"/>
    <n v="124955"/>
    <n v="12323"/>
    <n v="9946"/>
    <n v="7999"/>
    <n v="7294"/>
    <n v="5579"/>
    <n v="4331"/>
    <n v="3654"/>
    <n v="3016"/>
    <n v="2359"/>
    <n v="1891"/>
    <n v="1503"/>
    <n v="1183"/>
    <n v="926"/>
    <n v="695"/>
    <n v="489"/>
    <n v="308"/>
    <n v="244"/>
    <n v="12873"/>
    <n v="10374"/>
    <n v="8028"/>
    <n v="7231"/>
    <n v="5474"/>
    <n v="4064"/>
    <n v="2913"/>
    <n v="2216"/>
    <n v="1833"/>
    <n v="1528"/>
    <n v="1276"/>
    <n v="1038"/>
    <n v="803"/>
    <n v="604"/>
    <n v="415"/>
    <n v="269"/>
    <n v="276"/>
    <n v="25196"/>
    <n v="20320"/>
    <n v="16027"/>
    <n v="14525"/>
    <n v="11052"/>
    <n v="8395"/>
    <n v="6567"/>
    <n v="5232"/>
    <n v="4192"/>
    <n v="3419"/>
    <n v="2779"/>
    <n v="2223"/>
    <n v="1729"/>
    <n v="1299"/>
    <n v="903"/>
    <n v="575"/>
    <n v="520"/>
  </r>
  <r>
    <s v="Mont Illi"/>
    <s v="TD1104"/>
    <s v="Mont Illi"/>
    <s v="MONT ILLI"/>
    <s v="&lt;Null&gt;"/>
    <s v="&lt;Null&gt;"/>
    <x v="10"/>
    <s v="TD11"/>
    <s v="Tchad"/>
    <s v="TD"/>
    <n v="177065"/>
    <n v="170041"/>
    <n v="347106"/>
    <n v="34231"/>
    <n v="27628"/>
    <n v="22220"/>
    <n v="20264"/>
    <n v="15497"/>
    <n v="12031"/>
    <n v="10151"/>
    <n v="8379"/>
    <n v="6554"/>
    <n v="5255"/>
    <n v="4176"/>
    <n v="3288"/>
    <n v="2573"/>
    <n v="1930"/>
    <n v="1358"/>
    <n v="853"/>
    <n v="679"/>
    <n v="35762"/>
    <n v="28817"/>
    <n v="22301"/>
    <n v="20086"/>
    <n v="15205"/>
    <n v="11290"/>
    <n v="8092"/>
    <n v="6156"/>
    <n v="5092"/>
    <n v="4243"/>
    <n v="3544"/>
    <n v="2885"/>
    <n v="2229"/>
    <n v="1677"/>
    <n v="1150"/>
    <n v="745"/>
    <n v="766"/>
    <n v="69993"/>
    <n v="56446"/>
    <n v="44521"/>
    <n v="40349"/>
    <n v="30703"/>
    <n v="23321"/>
    <n v="18242"/>
    <n v="14535"/>
    <n v="11646"/>
    <n v="9499"/>
    <n v="7719"/>
    <n v="6173"/>
    <n v="4802"/>
    <n v="3608"/>
    <n v="2509"/>
    <n v="1599"/>
    <n v="1445"/>
  </r>
  <r>
    <s v="Mayo-Dallah"/>
    <s v="TD1201"/>
    <s v="Mayo-Dallah"/>
    <s v="MAYO-DALLAH"/>
    <s v="&lt;Null&gt;"/>
    <s v="&lt;Null&gt;"/>
    <x v="11"/>
    <s v="TD12"/>
    <s v="Tchad"/>
    <s v="TD"/>
    <n v="261131"/>
    <n v="254734"/>
    <n v="515866"/>
    <n v="51382"/>
    <n v="41392"/>
    <n v="33709"/>
    <n v="29992"/>
    <n v="22969"/>
    <n v="18096"/>
    <n v="15692"/>
    <n v="12897"/>
    <n v="9348"/>
    <n v="7087"/>
    <n v="5556"/>
    <n v="4249"/>
    <n v="3081"/>
    <n v="2209"/>
    <n v="1560"/>
    <n v="999"/>
    <n v="914"/>
    <n v="53679"/>
    <n v="43176"/>
    <n v="33554"/>
    <n v="29502"/>
    <n v="23007"/>
    <n v="17667"/>
    <n v="12836"/>
    <n v="9745"/>
    <n v="7669"/>
    <n v="6193"/>
    <n v="5205"/>
    <n v="4169"/>
    <n v="3033"/>
    <n v="2163"/>
    <n v="1394"/>
    <n v="859"/>
    <n v="882"/>
    <n v="105060"/>
    <n v="84567"/>
    <n v="67263"/>
    <n v="59494"/>
    <n v="45975"/>
    <n v="35764"/>
    <n v="28528"/>
    <n v="22641"/>
    <n v="17016"/>
    <n v="13281"/>
    <n v="10761"/>
    <n v="8418"/>
    <n v="6114"/>
    <n v="4371"/>
    <n v="2954"/>
    <n v="1858"/>
    <n v="1796"/>
  </r>
  <r>
    <s v="Lac Léré"/>
    <s v="TD1202"/>
    <s v="Lac Lere"/>
    <s v="LAC LERE"/>
    <s v="&lt;Null&gt;"/>
    <s v="&lt;Null&gt;"/>
    <x v="11"/>
    <s v="TD12"/>
    <s v="Tchad"/>
    <s v="TD"/>
    <n v="136378"/>
    <n v="133039"/>
    <n v="269417"/>
    <n v="26835"/>
    <n v="21618"/>
    <n v="17605"/>
    <n v="15664"/>
    <n v="11996"/>
    <n v="9451"/>
    <n v="8195"/>
    <n v="6736"/>
    <n v="4882"/>
    <n v="3701"/>
    <n v="2902"/>
    <n v="2218"/>
    <n v="1608"/>
    <n v="1153"/>
    <n v="815"/>
    <n v="522"/>
    <n v="477"/>
    <n v="28034"/>
    <n v="22549"/>
    <n v="17524"/>
    <n v="15408"/>
    <n v="12015"/>
    <n v="9227"/>
    <n v="6704"/>
    <n v="5089"/>
    <n v="4005"/>
    <n v="3235"/>
    <n v="2719"/>
    <n v="2177"/>
    <n v="1585"/>
    <n v="1130"/>
    <n v="729"/>
    <n v="449"/>
    <n v="461"/>
    <n v="54869"/>
    <n v="44167"/>
    <n v="35129"/>
    <n v="31072"/>
    <n v="24011"/>
    <n v="18678"/>
    <n v="14898"/>
    <n v="11825"/>
    <n v="8887"/>
    <n v="6936"/>
    <n v="5620"/>
    <n v="4397"/>
    <n v="3193"/>
    <n v="2283"/>
    <n v="1542"/>
    <n v="970"/>
    <n v="937"/>
  </r>
  <r>
    <s v="Mayo-Binder"/>
    <s v="TD1203"/>
    <s v="Mayo-Binder"/>
    <s v="MAYO-BINDER"/>
    <s v="&lt;Null&gt;"/>
    <s v="&lt;Null&gt;"/>
    <x v="11"/>
    <s v="TD12"/>
    <s v="Tchad"/>
    <s v="TD"/>
    <n v="42830"/>
    <n v="41778"/>
    <n v="84608"/>
    <n v="8427"/>
    <n v="6789"/>
    <n v="5529"/>
    <n v="4920"/>
    <n v="3767"/>
    <n v="2968"/>
    <n v="2573"/>
    <n v="2116"/>
    <n v="1533"/>
    <n v="1163"/>
    <n v="912"/>
    <n v="697"/>
    <n v="505"/>
    <n v="362"/>
    <n v="256"/>
    <n v="164"/>
    <n v="150"/>
    <n v="8804"/>
    <n v="7081"/>
    <n v="5503"/>
    <n v="4838"/>
    <n v="3773"/>
    <n v="2898"/>
    <n v="2105"/>
    <n v="1598"/>
    <n v="1257"/>
    <n v="1016"/>
    <n v="854"/>
    <n v="684"/>
    <n v="497"/>
    <n v="355"/>
    <n v="228"/>
    <n v="141"/>
    <n v="145"/>
    <n v="17231"/>
    <n v="13870"/>
    <n v="11032"/>
    <n v="9758"/>
    <n v="7540"/>
    <n v="5865"/>
    <n v="4679"/>
    <n v="3714"/>
    <n v="2791"/>
    <n v="2178"/>
    <n v="1765"/>
    <n v="1381"/>
    <n v="1002"/>
    <n v="717"/>
    <n v="485"/>
    <n v="305"/>
    <n v="294"/>
  </r>
  <r>
    <s v="Bahr-Köh"/>
    <s v="TD1301"/>
    <s v="Bahr-Koh"/>
    <s v="BAHR-KOH"/>
    <s v="&lt;Null&gt;"/>
    <s v="&lt;Null&gt;"/>
    <x v="12"/>
    <s v="TD13"/>
    <s v="Tchad"/>
    <s v="TD"/>
    <n v="235163"/>
    <n v="236056"/>
    <n v="471220"/>
    <n v="45757"/>
    <n v="37788"/>
    <n v="29934"/>
    <n v="26403"/>
    <n v="19913"/>
    <n v="15662"/>
    <n v="13969"/>
    <n v="11862"/>
    <n v="9386"/>
    <n v="7425"/>
    <n v="5501"/>
    <n v="4024"/>
    <n v="2827"/>
    <n v="1951"/>
    <n v="1328"/>
    <n v="809"/>
    <n v="624"/>
    <n v="47804"/>
    <n v="39416"/>
    <n v="30692"/>
    <n v="27163"/>
    <n v="20581"/>
    <n v="15605"/>
    <n v="11872"/>
    <n v="9456"/>
    <n v="7904"/>
    <n v="6678"/>
    <n v="5810"/>
    <n v="4701"/>
    <n v="3324"/>
    <n v="2279"/>
    <n v="1387"/>
    <n v="777"/>
    <n v="607"/>
    <n v="93562"/>
    <n v="77204"/>
    <n v="60625"/>
    <n v="53566"/>
    <n v="40494"/>
    <n v="31268"/>
    <n v="25843"/>
    <n v="21318"/>
    <n v="17290"/>
    <n v="14103"/>
    <n v="11309"/>
    <n v="8726"/>
    <n v="6151"/>
    <n v="4231"/>
    <n v="2714"/>
    <n v="1585"/>
    <n v="1231"/>
  </r>
  <r>
    <s v="Grande Sido"/>
    <s v="TD1302"/>
    <s v="Grande Sido"/>
    <s v="GRANDE SIDO"/>
    <s v="&lt;Null&gt;"/>
    <s v="&lt;Null&gt;"/>
    <x v="12"/>
    <s v="TD13"/>
    <s v="Tchad"/>
    <s v="TD"/>
    <n v="82053"/>
    <n v="82365"/>
    <n v="164418"/>
    <n v="15966"/>
    <n v="13185"/>
    <n v="10444"/>
    <n v="9212"/>
    <n v="6948"/>
    <n v="5465"/>
    <n v="4874"/>
    <n v="4139"/>
    <n v="3275"/>
    <n v="2591"/>
    <n v="1919"/>
    <n v="1405"/>
    <n v="987"/>
    <n v="681"/>
    <n v="463"/>
    <n v="282"/>
    <n v="218"/>
    <n v="16680"/>
    <n v="13753"/>
    <n v="10709"/>
    <n v="9478"/>
    <n v="7181"/>
    <n v="5445"/>
    <n v="4143"/>
    <n v="3300"/>
    <n v="2758"/>
    <n v="2331"/>
    <n v="2027"/>
    <n v="1640"/>
    <n v="1160"/>
    <n v="795"/>
    <n v="484"/>
    <n v="271"/>
    <n v="212"/>
    <n v="32645"/>
    <n v="26937"/>
    <n v="21153"/>
    <n v="18690"/>
    <n v="14129"/>
    <n v="10910"/>
    <n v="9017"/>
    <n v="7438"/>
    <n v="6033"/>
    <n v="4921"/>
    <n v="3946"/>
    <n v="3045"/>
    <n v="2146"/>
    <n v="1477"/>
    <n v="948"/>
    <n v="553"/>
    <n v="429"/>
  </r>
  <r>
    <s v="Lac Iro"/>
    <s v="TD1303"/>
    <s v="Lac Iro"/>
    <s v="LAC IRO"/>
    <s v="&lt;Null&gt;"/>
    <s v="&lt;Null&gt;"/>
    <x v="12"/>
    <s v="TD13"/>
    <s v="Tchad"/>
    <s v="TD"/>
    <n v="133532"/>
    <n v="134040"/>
    <n v="267572"/>
    <n v="25983"/>
    <n v="21457"/>
    <n v="16997"/>
    <n v="14992"/>
    <n v="11307"/>
    <n v="8893"/>
    <n v="7932"/>
    <n v="6736"/>
    <n v="5330"/>
    <n v="4216"/>
    <n v="3123"/>
    <n v="2285"/>
    <n v="1605"/>
    <n v="1108"/>
    <n v="754"/>
    <n v="459"/>
    <n v="354"/>
    <n v="27144"/>
    <n v="22381"/>
    <n v="17428"/>
    <n v="15424"/>
    <n v="11687"/>
    <n v="8862"/>
    <n v="6742"/>
    <n v="5369"/>
    <n v="4488"/>
    <n v="3792"/>
    <n v="3299"/>
    <n v="2669"/>
    <n v="1887"/>
    <n v="1294"/>
    <n v="787"/>
    <n v="441"/>
    <n v="345"/>
    <n v="53127"/>
    <n v="43838"/>
    <n v="34424"/>
    <n v="30416"/>
    <n v="22993"/>
    <n v="17755"/>
    <n v="14674"/>
    <n v="12105"/>
    <n v="9817"/>
    <n v="8008"/>
    <n v="6422"/>
    <n v="4955"/>
    <n v="3492"/>
    <n v="2403"/>
    <n v="1541"/>
    <n v="900"/>
    <n v="699"/>
  </r>
  <r>
    <s v="Ouara"/>
    <s v="TD1401"/>
    <s v="Ouara"/>
    <s v="OUARA"/>
    <s v="&lt;Null&gt;"/>
    <s v="&lt;Null&gt;"/>
    <x v="13"/>
    <s v="TD14"/>
    <s v="Tchad"/>
    <s v="TD"/>
    <n v="254188"/>
    <n v="247061"/>
    <n v="501249"/>
    <n v="48794"/>
    <n v="40695"/>
    <n v="31924"/>
    <n v="29082"/>
    <n v="21002"/>
    <n v="15958"/>
    <n v="14974"/>
    <n v="13077"/>
    <n v="10571"/>
    <n v="8458"/>
    <n v="6240"/>
    <n v="4522"/>
    <n v="2978"/>
    <n v="2052"/>
    <n v="1631"/>
    <n v="1121"/>
    <n v="1110"/>
    <n v="50975"/>
    <n v="42447"/>
    <n v="32591"/>
    <n v="29794"/>
    <n v="21529"/>
    <n v="15215"/>
    <n v="10563"/>
    <n v="8216"/>
    <n v="7919"/>
    <n v="7143"/>
    <n v="6146"/>
    <n v="4940"/>
    <n v="3303"/>
    <n v="2303"/>
    <n v="1749"/>
    <n v="1151"/>
    <n v="1075"/>
    <n v="99769"/>
    <n v="83141"/>
    <n v="64514"/>
    <n v="58875"/>
    <n v="42532"/>
    <n v="31175"/>
    <n v="25537"/>
    <n v="21294"/>
    <n v="18490"/>
    <n v="15601"/>
    <n v="12386"/>
    <n v="9462"/>
    <n v="6280"/>
    <n v="4354"/>
    <n v="3381"/>
    <n v="2272"/>
    <n v="2187"/>
  </r>
  <r>
    <s v="Abdi"/>
    <s v="TD1402"/>
    <s v="Abdi"/>
    <s v="ABDI"/>
    <s v="&lt;Null&gt;"/>
    <s v="&lt;Null&gt;"/>
    <x v="13"/>
    <s v="TD14"/>
    <s v="Tchad"/>
    <s v="TD"/>
    <n v="82666"/>
    <n v="80351"/>
    <n v="163017"/>
    <n v="15869"/>
    <n v="13235"/>
    <n v="10382"/>
    <n v="9457"/>
    <n v="6830"/>
    <n v="5190"/>
    <n v="4870"/>
    <n v="4253"/>
    <n v="3438"/>
    <n v="2750"/>
    <n v="2029"/>
    <n v="1470"/>
    <n v="968"/>
    <n v="667"/>
    <n v="531"/>
    <n v="364"/>
    <n v="361"/>
    <n v="16578"/>
    <n v="13805"/>
    <n v="10598"/>
    <n v="9690"/>
    <n v="7002"/>
    <n v="4948"/>
    <n v="3436"/>
    <n v="2672"/>
    <n v="2576"/>
    <n v="2323"/>
    <n v="1999"/>
    <n v="1607"/>
    <n v="1074"/>
    <n v="749"/>
    <n v="569"/>
    <n v="375"/>
    <n v="350"/>
    <n v="32447"/>
    <n v="27039"/>
    <n v="20981"/>
    <n v="19147"/>
    <n v="13831"/>
    <n v="10138"/>
    <n v="8305"/>
    <n v="6925"/>
    <n v="6013"/>
    <n v="5074"/>
    <n v="4028"/>
    <n v="3078"/>
    <n v="2043"/>
    <n v="1416"/>
    <n v="1100"/>
    <n v="739"/>
    <n v="711"/>
  </r>
  <r>
    <s v="Assoungha"/>
    <s v="TD1403"/>
    <s v="Assoungha"/>
    <s v="ASSOUNGHA"/>
    <s v="&lt;Null&gt;"/>
    <s v="&lt;Null&gt;"/>
    <x v="13"/>
    <s v="TD14"/>
    <s v="Tchad"/>
    <s v="TD"/>
    <n v="220923"/>
    <n v="214731"/>
    <n v="435654"/>
    <n v="42408"/>
    <n v="35369"/>
    <n v="27746"/>
    <n v="25276"/>
    <n v="18254"/>
    <n v="13871"/>
    <n v="13014"/>
    <n v="11366"/>
    <n v="9187"/>
    <n v="7351"/>
    <n v="5424"/>
    <n v="3931"/>
    <n v="2588"/>
    <n v="1783"/>
    <n v="1418"/>
    <n v="973"/>
    <n v="965"/>
    <n v="44304"/>
    <n v="36893"/>
    <n v="28326"/>
    <n v="25895"/>
    <n v="18712"/>
    <n v="13224"/>
    <n v="9180"/>
    <n v="7141"/>
    <n v="6883"/>
    <n v="6209"/>
    <n v="5341"/>
    <n v="4294"/>
    <n v="2871"/>
    <n v="2001"/>
    <n v="1520"/>
    <n v="1001"/>
    <n v="935"/>
    <n v="86712"/>
    <n v="72261"/>
    <n v="56072"/>
    <n v="51170"/>
    <n v="36966"/>
    <n v="27095"/>
    <n v="22195"/>
    <n v="18507"/>
    <n v="16069"/>
    <n v="13560"/>
    <n v="10765"/>
    <n v="8225"/>
    <n v="5459"/>
    <n v="3785"/>
    <n v="2939"/>
    <n v="1975"/>
    <n v="1901"/>
  </r>
  <r>
    <s v="Bahr-Azoum"/>
    <s v="TD1501"/>
    <s v="Bahr-Azoum"/>
    <s v="BAHR-AZOUM"/>
    <s v="&lt;Null&gt;"/>
    <s v="&lt;Null&gt;"/>
    <x v="14"/>
    <s v="TD15"/>
    <s v="Tchad"/>
    <s v="TD"/>
    <n v="141308"/>
    <n v="138092"/>
    <n v="279400"/>
    <n v="27382"/>
    <n v="22706"/>
    <n v="18146"/>
    <n v="16272"/>
    <n v="11716"/>
    <n v="8977"/>
    <n v="8603"/>
    <n v="7457"/>
    <n v="5619"/>
    <n v="4303"/>
    <n v="3128"/>
    <n v="2268"/>
    <n v="1598"/>
    <n v="1142"/>
    <n v="868"/>
    <n v="577"/>
    <n v="544"/>
    <n v="28606"/>
    <n v="23685"/>
    <n v="19075"/>
    <n v="17164"/>
    <n v="11975"/>
    <n v="8290"/>
    <n v="5779"/>
    <n v="4474"/>
    <n v="4239"/>
    <n v="3781"/>
    <n v="3176"/>
    <n v="2556"/>
    <n v="1832"/>
    <n v="1323"/>
    <n v="958"/>
    <n v="613"/>
    <n v="564"/>
    <n v="55988"/>
    <n v="46391"/>
    <n v="37222"/>
    <n v="33436"/>
    <n v="23691"/>
    <n v="17267"/>
    <n v="14382"/>
    <n v="11931"/>
    <n v="9858"/>
    <n v="8085"/>
    <n v="6305"/>
    <n v="4824"/>
    <n v="3431"/>
    <n v="2465"/>
    <n v="1825"/>
    <n v="1191"/>
    <n v="1108"/>
  </r>
  <r>
    <s v="Aboudéia"/>
    <s v="TD1502"/>
    <s v="Aboudeia"/>
    <s v="ABOUDEIA"/>
    <s v="&lt;Null&gt;"/>
    <s v="&lt;Null&gt;"/>
    <x v="14"/>
    <s v="TD15"/>
    <s v="Tchad"/>
    <s v="TD"/>
    <n v="50160"/>
    <n v="49021"/>
    <n v="99182"/>
    <n v="9720"/>
    <n v="8060"/>
    <n v="6441"/>
    <n v="5777"/>
    <n v="4159"/>
    <n v="3187"/>
    <n v="3054"/>
    <n v="2648"/>
    <n v="1994"/>
    <n v="1527"/>
    <n v="1110"/>
    <n v="805"/>
    <n v="567"/>
    <n v="405"/>
    <n v="309"/>
    <n v="205"/>
    <n v="193"/>
    <n v="10155"/>
    <n v="8408"/>
    <n v="6772"/>
    <n v="6093"/>
    <n v="4251"/>
    <n v="2943"/>
    <n v="2052"/>
    <n v="1588"/>
    <n v="1505"/>
    <n v="1343"/>
    <n v="1128"/>
    <n v="908"/>
    <n v="650"/>
    <n v="470"/>
    <n v="340"/>
    <n v="218"/>
    <n v="200"/>
    <n v="19875"/>
    <n v="16468"/>
    <n v="13213"/>
    <n v="11869"/>
    <n v="8410"/>
    <n v="6130"/>
    <n v="5106"/>
    <n v="4235"/>
    <n v="3500"/>
    <n v="2870"/>
    <n v="2238"/>
    <n v="1712"/>
    <n v="1217"/>
    <n v="875"/>
    <n v="648"/>
    <n v="423"/>
    <n v="393"/>
  </r>
  <r>
    <s v="Haraze-Mangueigne"/>
    <s v="TD1503"/>
    <s v="Haraze-Mangueigne"/>
    <s v="HARAZE-MANGUEIGNE"/>
    <s v="&lt;Null&gt;"/>
    <s v="&lt;Null&gt;"/>
    <x v="14"/>
    <s v="TD15"/>
    <s v="Tchad"/>
    <s v="TD"/>
    <n v="42974"/>
    <n v="41996"/>
    <n v="84970"/>
    <n v="8327"/>
    <n v="6905"/>
    <n v="5518"/>
    <n v="4948"/>
    <n v="3563"/>
    <n v="2730"/>
    <n v="2617"/>
    <n v="2268"/>
    <n v="1709"/>
    <n v="1309"/>
    <n v="952"/>
    <n v="689"/>
    <n v="486"/>
    <n v="347"/>
    <n v="264"/>
    <n v="175"/>
    <n v="166"/>
    <n v="8700"/>
    <n v="7203"/>
    <n v="5801"/>
    <n v="5220"/>
    <n v="3643"/>
    <n v="2521"/>
    <n v="1757"/>
    <n v="1360"/>
    <n v="1289"/>
    <n v="1150"/>
    <n v="966"/>
    <n v="777"/>
    <n v="557"/>
    <n v="402"/>
    <n v="291"/>
    <n v="186"/>
    <n v="172"/>
    <n v="17027"/>
    <n v="14109"/>
    <n v="11321"/>
    <n v="10169"/>
    <n v="7205"/>
    <n v="5252"/>
    <n v="4374"/>
    <n v="3628"/>
    <n v="2998"/>
    <n v="2459"/>
    <n v="1917"/>
    <n v="1467"/>
    <n v="1043"/>
    <n v="750"/>
    <n v="556"/>
    <n v="362"/>
    <n v="338"/>
  </r>
  <r>
    <s v="Tandjilé Est"/>
    <s v="TD1601"/>
    <s v="Tandjile Est"/>
    <s v="TANDJILE EST"/>
    <s v="&lt;Null&gt;"/>
    <s v="&lt;Null&gt;"/>
    <x v="15"/>
    <s v="TD16"/>
    <s v="Tchad"/>
    <s v="TD"/>
    <n v="201362"/>
    <n v="192979"/>
    <n v="394340"/>
    <n v="39061"/>
    <n v="31917"/>
    <n v="25593"/>
    <n v="22731"/>
    <n v="17345"/>
    <n v="13626"/>
    <n v="11709"/>
    <n v="9787"/>
    <n v="7786"/>
    <n v="6235"/>
    <n v="4792"/>
    <n v="3622"/>
    <n v="2617"/>
    <n v="1856"/>
    <n v="1305"/>
    <n v="804"/>
    <n v="578"/>
    <n v="40807"/>
    <n v="33291"/>
    <n v="25684"/>
    <n v="22702"/>
    <n v="17457"/>
    <n v="13066"/>
    <n v="8894"/>
    <n v="6596"/>
    <n v="5699"/>
    <n v="4842"/>
    <n v="4002"/>
    <n v="3232"/>
    <n v="2524"/>
    <n v="1849"/>
    <n v="1138"/>
    <n v="652"/>
    <n v="542"/>
    <n v="79868"/>
    <n v="65207"/>
    <n v="51277"/>
    <n v="45434"/>
    <n v="34802"/>
    <n v="26692"/>
    <n v="20603"/>
    <n v="16382"/>
    <n v="13486"/>
    <n v="11078"/>
    <n v="8794"/>
    <n v="6854"/>
    <n v="5141"/>
    <n v="3705"/>
    <n v="2443"/>
    <n v="1456"/>
    <n v="1121"/>
  </r>
  <r>
    <s v="Tandjile Ouest"/>
    <s v="TD1602"/>
    <s v="Tandjile Ouest"/>
    <s v="TANDJILE OUEST"/>
    <s v="&lt;Null&gt;"/>
    <s v="&lt;Null&gt;"/>
    <x v="15"/>
    <s v="TD16"/>
    <s v="Tchad"/>
    <s v="TD"/>
    <n v="252470"/>
    <n v="241960"/>
    <n v="494429"/>
    <n v="48975"/>
    <n v="40017"/>
    <n v="32088"/>
    <n v="28500"/>
    <n v="21748"/>
    <n v="17084"/>
    <n v="14681"/>
    <n v="12270"/>
    <n v="9763"/>
    <n v="7817"/>
    <n v="6008"/>
    <n v="4541"/>
    <n v="3280"/>
    <n v="2328"/>
    <n v="1635"/>
    <n v="1008"/>
    <n v="724"/>
    <n v="51165"/>
    <n v="41740"/>
    <n v="32203"/>
    <n v="28464"/>
    <n v="21887"/>
    <n v="16382"/>
    <n v="11152"/>
    <n v="8270"/>
    <n v="7146"/>
    <n v="6072"/>
    <n v="5017"/>
    <n v="4052"/>
    <n v="3165"/>
    <n v="2318"/>
    <n v="1427"/>
    <n v="818"/>
    <n v="680"/>
    <n v="100139"/>
    <n v="81757"/>
    <n v="64291"/>
    <n v="56966"/>
    <n v="43636"/>
    <n v="33466"/>
    <n v="25832"/>
    <n v="20540"/>
    <n v="16909"/>
    <n v="13890"/>
    <n v="11025"/>
    <n v="8593"/>
    <n v="6445"/>
    <n v="4646"/>
    <n v="3063"/>
    <n v="1826"/>
    <n v="1406"/>
  </r>
  <r>
    <s v="Tandjilé Centre"/>
    <s v="TD1603"/>
    <s v="Tandjile Centre"/>
    <s v="TANDJILE CENTRE"/>
    <s v="&lt;Null&gt;"/>
    <s v="&lt;Null&gt;"/>
    <x v="15"/>
    <s v="TD16"/>
    <s v="Tchad"/>
    <s v="TD"/>
    <n v="69593"/>
    <n v="66697"/>
    <n v="136290"/>
    <n v="13500"/>
    <n v="11031"/>
    <n v="8845"/>
    <n v="7856"/>
    <n v="5995"/>
    <n v="4710"/>
    <n v="4047"/>
    <n v="3382"/>
    <n v="2691"/>
    <n v="2155"/>
    <n v="1657"/>
    <n v="1252"/>
    <n v="904"/>
    <n v="641"/>
    <n v="451"/>
    <n v="278"/>
    <n v="200"/>
    <n v="14104"/>
    <n v="11506"/>
    <n v="8877"/>
    <n v="7847"/>
    <n v="6034"/>
    <n v="4516"/>
    <n v="3074"/>
    <n v="2279"/>
    <n v="1969"/>
    <n v="1674"/>
    <n v="1383"/>
    <n v="1116"/>
    <n v="873"/>
    <n v="639"/>
    <n v="393"/>
    <n v="225"/>
    <n v="187"/>
    <n v="27604"/>
    <n v="22537"/>
    <n v="17722"/>
    <n v="15703"/>
    <n v="12029"/>
    <n v="9225"/>
    <n v="7120"/>
    <n v="5662"/>
    <n v="4661"/>
    <n v="3829"/>
    <n v="3040"/>
    <n v="2369"/>
    <n v="1777"/>
    <n v="1281"/>
    <n v="845"/>
    <n v="503"/>
    <n v="387"/>
  </r>
  <r>
    <s v="Biltine"/>
    <s v="TD1701"/>
    <s v="Biltine"/>
    <s v="BILTINE"/>
    <s v="&lt;Null&gt;"/>
    <s v="&lt;Null&gt;"/>
    <x v="16"/>
    <s v="TD17"/>
    <s v="Tchad"/>
    <s v="TD"/>
    <n v="131339"/>
    <n v="126901"/>
    <n v="258240"/>
    <n v="25633"/>
    <n v="20861"/>
    <n v="15848"/>
    <n v="15191"/>
    <n v="11562"/>
    <n v="8801"/>
    <n v="7537"/>
    <n v="6341"/>
    <n v="5273"/>
    <n v="4283"/>
    <n v="3173"/>
    <n v="2307"/>
    <n v="1505"/>
    <n v="1034"/>
    <n v="834"/>
    <n v="576"/>
    <n v="579"/>
    <n v="26779"/>
    <n v="21761"/>
    <n v="16641"/>
    <n v="15882"/>
    <n v="11778"/>
    <n v="8199"/>
    <n v="5066"/>
    <n v="3596"/>
    <n v="3521"/>
    <n v="3216"/>
    <n v="2792"/>
    <n v="2319"/>
    <n v="1734"/>
    <n v="1309"/>
    <n v="993"/>
    <n v="664"/>
    <n v="653"/>
    <n v="52412"/>
    <n v="42622"/>
    <n v="32489"/>
    <n v="31073"/>
    <n v="23339"/>
    <n v="17001"/>
    <n v="12603"/>
    <n v="9937"/>
    <n v="8795"/>
    <n v="7498"/>
    <n v="5965"/>
    <n v="4625"/>
    <n v="3239"/>
    <n v="2343"/>
    <n v="1828"/>
    <n v="1240"/>
    <n v="1233"/>
  </r>
  <r>
    <s v="Dar-Tama"/>
    <s v="TD1702"/>
    <s v="Dar-Tama"/>
    <s v="DAR-TAMA"/>
    <s v="&lt;Null&gt;"/>
    <s v="&lt;Null&gt;"/>
    <x v="16"/>
    <s v="TD17"/>
    <s v="Tchad"/>
    <s v="TD"/>
    <n v="139366"/>
    <n v="134654"/>
    <n v="274020"/>
    <n v="27199"/>
    <n v="22136"/>
    <n v="16816"/>
    <n v="16119"/>
    <n v="12267"/>
    <n v="9339"/>
    <n v="7997"/>
    <n v="6728"/>
    <n v="5596"/>
    <n v="4545"/>
    <n v="3368"/>
    <n v="2448"/>
    <n v="1598"/>
    <n v="1098"/>
    <n v="886"/>
    <n v="611"/>
    <n v="614"/>
    <n v="28415"/>
    <n v="23090"/>
    <n v="17657"/>
    <n v="16853"/>
    <n v="12498"/>
    <n v="8700"/>
    <n v="5375"/>
    <n v="3815"/>
    <n v="3736"/>
    <n v="3412"/>
    <n v="2962"/>
    <n v="2460"/>
    <n v="1840"/>
    <n v="1389"/>
    <n v="1054"/>
    <n v="704"/>
    <n v="694"/>
    <n v="55615"/>
    <n v="45226"/>
    <n v="34474"/>
    <n v="32972"/>
    <n v="24765"/>
    <n v="18039"/>
    <n v="13374"/>
    <n v="10544"/>
    <n v="9333"/>
    <n v="7957"/>
    <n v="6329"/>
    <n v="4908"/>
    <n v="3437"/>
    <n v="2486"/>
    <n v="1941"/>
    <n v="1316"/>
    <n v="1308"/>
  </r>
  <r>
    <s v="Kobé"/>
    <s v="TD1703"/>
    <s v="Kobe"/>
    <s v="KOBE"/>
    <s v="&lt;Null&gt;"/>
    <s v="&lt;Null&gt;"/>
    <x v="16"/>
    <s v="TD17"/>
    <s v="Tchad"/>
    <s v="TD"/>
    <n v="108562"/>
    <n v="104889"/>
    <n v="213451"/>
    <n v="21188"/>
    <n v="17244"/>
    <n v="13100"/>
    <n v="12557"/>
    <n v="9556"/>
    <n v="7275"/>
    <n v="6229"/>
    <n v="5241"/>
    <n v="4359"/>
    <n v="3540"/>
    <n v="2623"/>
    <n v="1907"/>
    <n v="1245"/>
    <n v="855"/>
    <n v="690"/>
    <n v="476"/>
    <n v="478"/>
    <n v="22134"/>
    <n v="17986"/>
    <n v="13754"/>
    <n v="13128"/>
    <n v="9735"/>
    <n v="6777"/>
    <n v="4187"/>
    <n v="2972"/>
    <n v="2911"/>
    <n v="2658"/>
    <n v="2307"/>
    <n v="1917"/>
    <n v="1432"/>
    <n v="1081"/>
    <n v="821"/>
    <n v="548"/>
    <n v="540"/>
    <n v="43322"/>
    <n v="35230"/>
    <n v="26854"/>
    <n v="25684"/>
    <n v="19291"/>
    <n v="14052"/>
    <n v="10417"/>
    <n v="8213"/>
    <n v="7270"/>
    <n v="6197"/>
    <n v="4930"/>
    <n v="3824"/>
    <n v="2677"/>
    <n v="1937"/>
    <n v="1512"/>
    <n v="1025"/>
    <n v="1019"/>
  </r>
  <r>
    <s v="Mégri"/>
    <s v="TD1704"/>
    <s v="Megri"/>
    <s v="MEGRI"/>
    <s v="&lt;Null&gt;"/>
    <s v="&lt;Null&gt;"/>
    <x v="16"/>
    <s v="TD17"/>
    <s v="Tchad"/>
    <s v="TD"/>
    <n v="15709"/>
    <n v="15180"/>
    <n v="30890"/>
    <n v="3066"/>
    <n v="2495"/>
    <n v="1895"/>
    <n v="1817"/>
    <n v="1383"/>
    <n v="1053"/>
    <n v="901"/>
    <n v="758"/>
    <n v="631"/>
    <n v="512"/>
    <n v="380"/>
    <n v="276"/>
    <n v="180"/>
    <n v="123"/>
    <n v="100"/>
    <n v="69"/>
    <n v="69"/>
    <n v="3203"/>
    <n v="2603"/>
    <n v="1991"/>
    <n v="1899"/>
    <n v="1409"/>
    <n v="981"/>
    <n v="606"/>
    <n v="430"/>
    <n v="421"/>
    <n v="385"/>
    <n v="334"/>
    <n v="278"/>
    <n v="208"/>
    <n v="156"/>
    <n v="118"/>
    <n v="79"/>
    <n v="78"/>
    <n v="6270"/>
    <n v="5099"/>
    <n v="3886"/>
    <n v="3718"/>
    <n v="2792"/>
    <n v="2033"/>
    <n v="1507"/>
    <n v="1188"/>
    <n v="1052"/>
    <n v="897"/>
    <n v="713"/>
    <n v="554"/>
    <n v="388"/>
    <n v="280"/>
    <n v="219"/>
    <n v="148"/>
    <n v="147"/>
  </r>
  <r>
    <s v="N'Djaména"/>
    <s v="TD1801"/>
    <s v="NDjamena"/>
    <s v="N'DJAMENA"/>
    <s v="&lt;Null&gt;"/>
    <s v="&lt;Null&gt;"/>
    <x v="17"/>
    <s v="TD18"/>
    <s v="Tchad"/>
    <s v="TD"/>
    <n v="821121"/>
    <n v="817268"/>
    <n v="1638389"/>
    <n v="158183"/>
    <n v="129692"/>
    <n v="106818"/>
    <n v="95046"/>
    <n v="69688"/>
    <n v="53629"/>
    <n v="48087"/>
    <n v="40822"/>
    <n v="31853"/>
    <n v="25176"/>
    <n v="19174"/>
    <n v="14373"/>
    <n v="10287"/>
    <n v="7275"/>
    <n v="5119"/>
    <n v="3217"/>
    <n v="2684"/>
    <n v="170525"/>
    <n v="127309"/>
    <n v="111560"/>
    <n v="99038"/>
    <n v="73002"/>
    <n v="53643"/>
    <n v="38895"/>
    <n v="30233"/>
    <n v="26257"/>
    <n v="22436"/>
    <n v="18753"/>
    <n v="15075"/>
    <n v="11146"/>
    <n v="8028"/>
    <n v="5278"/>
    <n v="3203"/>
    <n v="2886"/>
    <n v="326097"/>
    <n v="267145"/>
    <n v="216697"/>
    <n v="192593"/>
    <n v="141589"/>
    <n v="106483"/>
    <n v="86485"/>
    <n v="70697"/>
    <n v="57770"/>
    <n v="47304"/>
    <n v="37654"/>
    <n v="29221"/>
    <n v="21261"/>
    <n v="15178"/>
    <n v="10319"/>
    <n v="6373"/>
    <n v="5526"/>
  </r>
  <r>
    <s v="Barh-El-Gazel Sud"/>
    <s v="TD1901"/>
    <s v="Barh-El-Gazel Sud"/>
    <s v="BARH-EL-GAZEL SUD"/>
    <s v="&lt;Null&gt;"/>
    <s v="&lt;Null&gt;"/>
    <x v="18"/>
    <s v="TD19"/>
    <s v="Tchad"/>
    <s v="TD"/>
    <n v="100926"/>
    <n v="110419"/>
    <n v="211345"/>
    <n v="20022"/>
    <n v="16254"/>
    <n v="11181"/>
    <n v="10797"/>
    <n v="9228"/>
    <n v="7410"/>
    <n v="5635"/>
    <n v="4547"/>
    <n v="4077"/>
    <n v="3496"/>
    <n v="2811"/>
    <n v="2130"/>
    <n v="1366"/>
    <n v="867"/>
    <n v="558"/>
    <n v="320"/>
    <n v="227"/>
    <n v="20917"/>
    <n v="16954"/>
    <n v="13506"/>
    <n v="13473"/>
    <n v="11497"/>
    <n v="8802"/>
    <n v="5352"/>
    <n v="3614"/>
    <n v="2969"/>
    <n v="2639"/>
    <n v="2795"/>
    <n v="2520"/>
    <n v="1869"/>
    <n v="1384"/>
    <n v="1003"/>
    <n v="633"/>
    <n v="493"/>
    <n v="40938"/>
    <n v="33209"/>
    <n v="24688"/>
    <n v="24270"/>
    <n v="20725"/>
    <n v="16211"/>
    <n v="10987"/>
    <n v="8162"/>
    <n v="7045"/>
    <n v="6136"/>
    <n v="5606"/>
    <n v="4649"/>
    <n v="3235"/>
    <n v="2251"/>
    <n v="1560"/>
    <n v="953"/>
    <n v="720"/>
  </r>
  <r>
    <s v="Barh-El-Gazel Nord"/>
    <s v="TD1902"/>
    <s v="Barh-El-Gazel Nord"/>
    <s v="BARH-EL-GAZEL NORD"/>
    <s v="&lt;Null&gt;"/>
    <s v="&lt;Null&gt;"/>
    <x v="18"/>
    <s v="TD19"/>
    <s v="Tchad"/>
    <s v="TD"/>
    <n v="38535"/>
    <n v="42159"/>
    <n v="80694"/>
    <n v="7644"/>
    <n v="6206"/>
    <n v="4269"/>
    <n v="4123"/>
    <n v="3523"/>
    <n v="2830"/>
    <n v="2152"/>
    <n v="1736"/>
    <n v="1557"/>
    <n v="1335"/>
    <n v="1073"/>
    <n v="813"/>
    <n v="522"/>
    <n v="331"/>
    <n v="213"/>
    <n v="122"/>
    <n v="86"/>
    <n v="7987"/>
    <n v="6473"/>
    <n v="5157"/>
    <n v="5144"/>
    <n v="4390"/>
    <n v="3361"/>
    <n v="2044"/>
    <n v="1380"/>
    <n v="1133"/>
    <n v="1007"/>
    <n v="1067"/>
    <n v="962"/>
    <n v="713"/>
    <n v="529"/>
    <n v="383"/>
    <n v="242"/>
    <n v="188"/>
    <n v="15631"/>
    <n v="12680"/>
    <n v="9426"/>
    <n v="9267"/>
    <n v="7913"/>
    <n v="6189"/>
    <n v="4195"/>
    <n v="3116"/>
    <n v="2690"/>
    <n v="2343"/>
    <n v="2140"/>
    <n v="1775"/>
    <n v="1235"/>
    <n v="860"/>
    <n v="596"/>
    <n v="364"/>
    <n v="275"/>
  </r>
  <r>
    <s v="Barh-El-Gazel Ouest"/>
    <s v="TD1903"/>
    <s v="Barh-El-Gazel Ouest"/>
    <s v="BARH-EL-GAZEL OUEST"/>
    <s v="&lt;Null&gt;"/>
    <s v="&lt;Null&gt;"/>
    <x v="18"/>
    <s v="TD19"/>
    <s v="Tchad"/>
    <s v="TD"/>
    <n v="44040"/>
    <n v="48184"/>
    <n v="92224"/>
    <n v="8737"/>
    <n v="7093"/>
    <n v="4879"/>
    <n v="4712"/>
    <n v="4026"/>
    <n v="3233"/>
    <n v="2459"/>
    <n v="1984"/>
    <n v="1779"/>
    <n v="1526"/>
    <n v="1227"/>
    <n v="929"/>
    <n v="596"/>
    <n v="379"/>
    <n v="243"/>
    <n v="140"/>
    <n v="99"/>
    <n v="9127"/>
    <n v="7398"/>
    <n v="5894"/>
    <n v="5880"/>
    <n v="5017"/>
    <n v="3840"/>
    <n v="2336"/>
    <n v="1577"/>
    <n v="1295"/>
    <n v="1151"/>
    <n v="1219"/>
    <n v="1099"/>
    <n v="815"/>
    <n v="604"/>
    <n v="438"/>
    <n v="277"/>
    <n v="215"/>
    <n v="17864"/>
    <n v="14491"/>
    <n v="10772"/>
    <n v="10591"/>
    <n v="9044"/>
    <n v="7074"/>
    <n v="4794"/>
    <n v="3561"/>
    <n v="3075"/>
    <n v="2677"/>
    <n v="2446"/>
    <n v="2029"/>
    <n v="1412"/>
    <n v="983"/>
    <n v="681"/>
    <n v="416"/>
    <n v="315"/>
  </r>
  <r>
    <s v="Am-Djarass"/>
    <s v="TD2001"/>
    <s v="Am-Djarass"/>
    <s v="AM-DJARASS"/>
    <s v="&lt;Null&gt;"/>
    <s v="&lt;Null&gt;"/>
    <x v="19"/>
    <s v="TD20"/>
    <s v="Tchad"/>
    <s v="TD"/>
    <n v="56280"/>
    <n v="64118"/>
    <n v="120398"/>
    <n v="11404"/>
    <n v="9570"/>
    <n v="5479"/>
    <n v="5355"/>
    <n v="5065"/>
    <n v="4303"/>
    <n v="3403"/>
    <n v="2776"/>
    <n v="2350"/>
    <n v="1970"/>
    <n v="1654"/>
    <n v="1258"/>
    <n v="725"/>
    <n v="420"/>
    <n v="280"/>
    <n v="163"/>
    <n v="104"/>
    <n v="11914"/>
    <n v="9981"/>
    <n v="6767"/>
    <n v="6931"/>
    <n v="6601"/>
    <n v="5511"/>
    <n v="4048"/>
    <n v="3012"/>
    <n v="1993"/>
    <n v="1525"/>
    <n v="1608"/>
    <n v="1421"/>
    <n v="998"/>
    <n v="715"/>
    <n v="532"/>
    <n v="333"/>
    <n v="227"/>
    <n v="23318"/>
    <n v="19551"/>
    <n v="12246"/>
    <n v="12286"/>
    <n v="11664"/>
    <n v="9814"/>
    <n v="7450"/>
    <n v="5788"/>
    <n v="4343"/>
    <n v="3496"/>
    <n v="3263"/>
    <n v="2679"/>
    <n v="1724"/>
    <n v="1135"/>
    <n v="813"/>
    <n v="497"/>
    <n v="331"/>
  </r>
  <r>
    <s v="Wadi Hawar"/>
    <s v="TD2002"/>
    <s v="Wadi Hawar"/>
    <s v="WADI HAWAR"/>
    <s v="&lt;Null&gt;"/>
    <s v="&lt;Null&gt;"/>
    <x v="19"/>
    <s v="TD20"/>
    <s v="Tchad"/>
    <s v="TD"/>
    <n v="19761"/>
    <n v="22519"/>
    <n v="42280"/>
    <n v="4005"/>
    <n v="3361"/>
    <n v="1924"/>
    <n v="1881"/>
    <n v="1778"/>
    <n v="1512"/>
    <n v="1195"/>
    <n v="974"/>
    <n v="825"/>
    <n v="691"/>
    <n v="581"/>
    <n v="441"/>
    <n v="254"/>
    <n v="147"/>
    <n v="98"/>
    <n v="57"/>
    <n v="37"/>
    <n v="4184"/>
    <n v="3506"/>
    <n v="2377"/>
    <n v="2435"/>
    <n v="2318"/>
    <n v="1935"/>
    <n v="1421"/>
    <n v="1058"/>
    <n v="700"/>
    <n v="536"/>
    <n v="565"/>
    <n v="499"/>
    <n v="351"/>
    <n v="251"/>
    <n v="187"/>
    <n v="117"/>
    <n v="79"/>
    <n v="8190"/>
    <n v="6866"/>
    <n v="4301"/>
    <n v="4316"/>
    <n v="4096"/>
    <n v="3447"/>
    <n v="2617"/>
    <n v="2032"/>
    <n v="1525"/>
    <n v="1228"/>
    <n v="1145"/>
    <n v="940"/>
    <n v="605"/>
    <n v="399"/>
    <n v="285"/>
    <n v="174"/>
    <n v="116"/>
  </r>
  <r>
    <s v="Kimiti"/>
    <s v="TD2101"/>
    <s v="Kimiti"/>
    <s v="KIMITI"/>
    <s v="&lt;Null&gt;"/>
    <s v="&lt;Null&gt;"/>
    <x v="20"/>
    <s v="TD21"/>
    <s v="Tchad"/>
    <s v="TD"/>
    <n v="228830"/>
    <n v="229167"/>
    <n v="457997"/>
    <n v="42984"/>
    <n v="35315"/>
    <n v="30302"/>
    <n v="28952"/>
    <n v="20300"/>
    <n v="14551"/>
    <n v="12442"/>
    <n v="10594"/>
    <n v="9412"/>
    <n v="7812"/>
    <n v="5472"/>
    <n v="3796"/>
    <n v="2388"/>
    <n v="1582"/>
    <n v="1294"/>
    <n v="875"/>
    <n v="758"/>
    <n v="44906"/>
    <n v="36836"/>
    <n v="34897"/>
    <n v="31773"/>
    <n v="21246"/>
    <n v="13899"/>
    <n v="8218"/>
    <n v="5874"/>
    <n v="6604"/>
    <n v="6381"/>
    <n v="5715"/>
    <n v="4658"/>
    <n v="3024"/>
    <n v="2023"/>
    <n v="1443"/>
    <n v="903"/>
    <n v="767"/>
    <n v="87890"/>
    <n v="72152"/>
    <n v="65199"/>
    <n v="60725"/>
    <n v="41546"/>
    <n v="28450"/>
    <n v="20661"/>
    <n v="16469"/>
    <n v="16015"/>
    <n v="14193"/>
    <n v="11187"/>
    <n v="8454"/>
    <n v="5413"/>
    <n v="3604"/>
    <n v="2736"/>
    <n v="1778"/>
    <n v="1526"/>
  </r>
  <r>
    <s v="Djourf Al Ahmar"/>
    <s v="TD2102"/>
    <s v="Djourf Al Ahmar"/>
    <s v="DJOURF AL AHMAR"/>
    <s v="&lt;Null&gt;"/>
    <s v="&lt;Null&gt;"/>
    <x v="20"/>
    <s v="TD21"/>
    <s v="Tchad"/>
    <s v="TD"/>
    <n v="60979"/>
    <n v="61072"/>
    <n v="122050"/>
    <n v="11455"/>
    <n v="9411"/>
    <n v="8075"/>
    <n v="7715"/>
    <n v="5409"/>
    <n v="3877"/>
    <n v="3315"/>
    <n v="2823"/>
    <n v="2508"/>
    <n v="2082"/>
    <n v="1458"/>
    <n v="1011"/>
    <n v="637"/>
    <n v="422"/>
    <n v="345"/>
    <n v="233"/>
    <n v="203"/>
    <n v="11967"/>
    <n v="9816"/>
    <n v="9300"/>
    <n v="8467"/>
    <n v="5662"/>
    <n v="3704"/>
    <n v="2191"/>
    <n v="1565"/>
    <n v="1760"/>
    <n v="1701"/>
    <n v="1523"/>
    <n v="1241"/>
    <n v="806"/>
    <n v="539"/>
    <n v="384"/>
    <n v="241"/>
    <n v="205"/>
    <n v="23421"/>
    <n v="19227"/>
    <n v="17375"/>
    <n v="16183"/>
    <n v="11072"/>
    <n v="7581"/>
    <n v="5506"/>
    <n v="4389"/>
    <n v="4268"/>
    <n v="3783"/>
    <n v="2981"/>
    <n v="2252"/>
    <n v="1443"/>
    <n v="961"/>
    <n v="730"/>
    <n v="474"/>
    <n v="406"/>
  </r>
  <r>
    <s v="Tibesti Est"/>
    <s v="TD2201"/>
    <s v="Tibesti Est"/>
    <s v="TIBESTI EST"/>
    <s v="&lt;Null&gt;"/>
    <s v="&lt;Null&gt;"/>
    <x v="21"/>
    <s v="TD22"/>
    <s v="Tchad"/>
    <s v="TD"/>
    <n v="10466"/>
    <n v="11483"/>
    <n v="21949"/>
    <n v="2137"/>
    <n v="1798"/>
    <n v="987"/>
    <n v="926"/>
    <n v="921"/>
    <n v="811"/>
    <n v="644"/>
    <n v="525"/>
    <n v="441"/>
    <n v="366"/>
    <n v="290"/>
    <n v="222"/>
    <n v="163"/>
    <n v="110"/>
    <n v="60"/>
    <n v="33"/>
    <n v="32"/>
    <n v="2233"/>
    <n v="1875"/>
    <n v="1220"/>
    <n v="1133"/>
    <n v="1026"/>
    <n v="858"/>
    <n v="652"/>
    <n v="518"/>
    <n v="406"/>
    <n v="346"/>
    <n v="352"/>
    <n v="305"/>
    <n v="201"/>
    <n v="138"/>
    <n v="101"/>
    <n v="65"/>
    <n v="56"/>
    <n v="4371"/>
    <n v="3672"/>
    <n v="2207"/>
    <n v="2059"/>
    <n v="1947"/>
    <n v="1668"/>
    <n v="1297"/>
    <n v="1042"/>
    <n v="847"/>
    <n v="713"/>
    <n v="642"/>
    <n v="527"/>
    <n v="363"/>
    <n v="249"/>
    <n v="161"/>
    <n v="97"/>
    <n v="87"/>
  </r>
  <r>
    <s v="Tibesti Ouest"/>
    <s v="TD2202"/>
    <s v="Tibesti Ouest"/>
    <s v="TIBESTI OUEST"/>
    <s v="&lt;Null&gt;"/>
    <s v="&lt;Null&gt;"/>
    <x v="21"/>
    <s v="TD22"/>
    <s v="Tchad"/>
    <s v="TD"/>
    <n v="8071"/>
    <n v="8857"/>
    <n v="16929"/>
    <n v="1648"/>
    <n v="1386"/>
    <n v="760"/>
    <n v="714"/>
    <n v="710"/>
    <n v="625"/>
    <n v="496"/>
    <n v="405"/>
    <n v="340"/>
    <n v="283"/>
    <n v="224"/>
    <n v="172"/>
    <n v="126"/>
    <n v="85"/>
    <n v="46"/>
    <n v="26"/>
    <n v="25"/>
    <n v="1722"/>
    <n v="1446"/>
    <n v="942"/>
    <n v="874"/>
    <n v="791"/>
    <n v="662"/>
    <n v="503"/>
    <n v="399"/>
    <n v="313"/>
    <n v="268"/>
    <n v="272"/>
    <n v="235"/>
    <n v="155"/>
    <n v="107"/>
    <n v="78"/>
    <n v="49"/>
    <n v="42"/>
    <n v="3371"/>
    <n v="2832"/>
    <n v="1702"/>
    <n v="1588"/>
    <n v="1502"/>
    <n v="1287"/>
    <n v="999"/>
    <n v="805"/>
    <n v="653"/>
    <n v="549"/>
    <n v="496"/>
    <n v="406"/>
    <n v="281"/>
    <n v="191"/>
    <n v="125"/>
    <n v="75"/>
    <n v="67"/>
  </r>
  <r>
    <s v="Fada"/>
    <s v="TD2301"/>
    <s v="Fada"/>
    <s v="FADA"/>
    <s v="&lt;Null&gt;"/>
    <s v="&lt;Null&gt;"/>
    <x v="22"/>
    <s v="TD23"/>
    <s v="Tchad"/>
    <s v="TD"/>
    <n v="27923"/>
    <n v="31812"/>
    <n v="59735"/>
    <n v="5658"/>
    <n v="4748"/>
    <n v="2719"/>
    <n v="2657"/>
    <n v="2512"/>
    <n v="2135"/>
    <n v="1689"/>
    <n v="1377"/>
    <n v="1166"/>
    <n v="978"/>
    <n v="821"/>
    <n v="624"/>
    <n v="360"/>
    <n v="209"/>
    <n v="139"/>
    <n v="81"/>
    <n v="52"/>
    <n v="5911"/>
    <n v="4952"/>
    <n v="3358"/>
    <n v="3439"/>
    <n v="3274"/>
    <n v="2735"/>
    <n v="2008"/>
    <n v="1494"/>
    <n v="989"/>
    <n v="757"/>
    <n v="797"/>
    <n v="705"/>
    <n v="495"/>
    <n v="355"/>
    <n v="264"/>
    <n v="166"/>
    <n v="112"/>
    <n v="11570"/>
    <n v="9701"/>
    <n v="6076"/>
    <n v="6096"/>
    <n v="5787"/>
    <n v="4870"/>
    <n v="3696"/>
    <n v="2871"/>
    <n v="2155"/>
    <n v="1734"/>
    <n v="1619"/>
    <n v="1329"/>
    <n v="855"/>
    <n v="563"/>
    <n v="402"/>
    <n v="246"/>
    <n v="165"/>
  </r>
  <r>
    <s v="Mourtcha"/>
    <s v="TD2303"/>
    <s v="Mourtcha"/>
    <s v="MOURTCHA"/>
    <s v="&lt;Null&gt;"/>
    <s v="&lt;Null&gt;"/>
    <x v="22"/>
    <s v="TD23"/>
    <s v="Tchad"/>
    <s v="TD"/>
    <n v="15035"/>
    <n v="17132"/>
    <n v="32168"/>
    <n v="3047"/>
    <n v="2557"/>
    <n v="1463"/>
    <n v="1431"/>
    <n v="1353"/>
    <n v="1149"/>
    <n v="909"/>
    <n v="742"/>
    <n v="628"/>
    <n v="527"/>
    <n v="441"/>
    <n v="336"/>
    <n v="193"/>
    <n v="112"/>
    <n v="75"/>
    <n v="43"/>
    <n v="28"/>
    <n v="3183"/>
    <n v="2667"/>
    <n v="1808"/>
    <n v="1852"/>
    <n v="1764"/>
    <n v="1472"/>
    <n v="1081"/>
    <n v="805"/>
    <n v="533"/>
    <n v="407"/>
    <n v="430"/>
    <n v="380"/>
    <n v="267"/>
    <n v="191"/>
    <n v="142"/>
    <n v="90"/>
    <n v="61"/>
    <n v="6229"/>
    <n v="5223"/>
    <n v="3271"/>
    <n v="3282"/>
    <n v="3117"/>
    <n v="2622"/>
    <n v="1990"/>
    <n v="1547"/>
    <n v="1161"/>
    <n v="934"/>
    <n v="872"/>
    <n v="715"/>
    <n v="460"/>
    <n v="304"/>
    <n v="217"/>
    <n v="133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F4B7F-BE56-4FE1-960B-E47D6F68AD64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7" firstHeaderRow="0" firstDataRow="1" firstDataCol="1"/>
  <pivotFields count="64">
    <pivotField showAll="0"/>
    <pivotField showAll="0"/>
    <pivotField showAll="0"/>
    <pivotField showAll="0"/>
    <pivotField showAll="0"/>
    <pivotField showAll="0"/>
    <pivotField axis="axisRow" showAll="0">
      <items count="24">
        <item x="18"/>
        <item x="0"/>
        <item x="1"/>
        <item x="2"/>
        <item x="19"/>
        <item x="22"/>
        <item x="3"/>
        <item x="4"/>
        <item x="5"/>
        <item x="6"/>
        <item x="7"/>
        <item x="8"/>
        <item x="9"/>
        <item x="10"/>
        <item x="11"/>
        <item x="12"/>
        <item x="17"/>
        <item x="13"/>
        <item x="14"/>
        <item x="20"/>
        <item x="15"/>
        <item x="21"/>
        <item x="16"/>
        <item t="default"/>
      </items>
    </pivotField>
    <pivotField showAll="0"/>
    <pivotField showAll="0"/>
    <pivotField showAll="0"/>
    <pivotField dataField="1" numFmtId="176" showAll="0"/>
    <pivotField dataField="1"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</pivotFields>
  <rowFields count="1">
    <field x="6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" fld="11" baseField="0" baseItem="0"/>
    <dataField name="Sum of F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19347C-92C7-443A-8C9A-10CC6325810D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I27" firstHeaderRow="0" firstDataRow="1" firstDataCol="1"/>
  <pivotFields count="64">
    <pivotField showAll="0"/>
    <pivotField showAll="0"/>
    <pivotField showAll="0"/>
    <pivotField showAll="0"/>
    <pivotField showAll="0"/>
    <pivotField showAll="0"/>
    <pivotField axis="axisRow" showAll="0">
      <items count="24">
        <item x="18"/>
        <item x="0"/>
        <item x="1"/>
        <item x="2"/>
        <item x="19"/>
        <item x="22"/>
        <item x="3"/>
        <item x="4"/>
        <item x="5"/>
        <item x="6"/>
        <item x="7"/>
        <item x="8"/>
        <item x="9"/>
        <item x="10"/>
        <item x="11"/>
        <item x="12"/>
        <item x="17"/>
        <item x="13"/>
        <item x="14"/>
        <item x="20"/>
        <item x="15"/>
        <item x="21"/>
        <item x="16"/>
        <item t="default"/>
      </items>
    </pivotField>
    <pivotField showAll="0"/>
    <pivotField showAll="0"/>
    <pivotField showAll="0"/>
    <pivotField numFmtId="176" showAll="0"/>
    <pivotField numFmtId="176" showAll="0"/>
    <pivotField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dataField="1"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  <pivotField numFmtId="176" showAll="0"/>
  </pivotFields>
  <rowFields count="1">
    <field x="6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3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</colItems>
  <dataFields count="34">
    <dataField name="Sum of F_00_04" fld="13" baseField="0" baseItem="0"/>
    <dataField name="Sum of F_05_09" fld="14" baseField="0" baseItem="0"/>
    <dataField name="Sum of F_10_14" fld="15" baseField="0" baseItem="0"/>
    <dataField name="Sum of F_15_19" fld="16" baseField="0" baseItem="0"/>
    <dataField name="Sum of F_20_24" fld="17" baseField="0" baseItem="0"/>
    <dataField name="Sum of F_25_29" fld="18" baseField="0" baseItem="0"/>
    <dataField name="Sum of F_30_34" fld="19" baseField="0" baseItem="0"/>
    <dataField name="Sum of F_35_39" fld="20" baseField="0" baseItem="0"/>
    <dataField name="Sum of F_40_44" fld="21" baseField="0" baseItem="0"/>
    <dataField name="Sum of F_45_49" fld="22" baseField="0" baseItem="0"/>
    <dataField name="Sum of F_50_54" fld="23" baseField="0" baseItem="0"/>
    <dataField name="Sum of F_55_59" fld="24" baseField="0" baseItem="0"/>
    <dataField name="Sum of F_60_64" fld="25" baseField="0" baseItem="0"/>
    <dataField name="Sum of F_65_69" fld="26" baseField="0" baseItem="0"/>
    <dataField name="Sum of F_70_74" fld="27" baseField="0" baseItem="0"/>
    <dataField name="Sum of F_75_79" fld="28" baseField="0" baseItem="0"/>
    <dataField name="Sum of F_80plus" fld="29" baseField="0" baseItem="0"/>
    <dataField name="Sum of M_00_04" fld="30" baseField="0" baseItem="0"/>
    <dataField name="Sum of M_05_09" fld="31" baseField="0" baseItem="0"/>
    <dataField name="Sum of M_10_14" fld="32" baseField="0" baseItem="0"/>
    <dataField name="Sum of M_15_19" fld="33" baseField="0" baseItem="0"/>
    <dataField name="Sum of M_20_24" fld="34" baseField="0" baseItem="0"/>
    <dataField name="Sum of M_25_29" fld="35" baseField="0" baseItem="0"/>
    <dataField name="Sum of M_30_34" fld="36" baseField="0" baseItem="0"/>
    <dataField name="Sum of M_35_39" fld="37" baseField="0" baseItem="0"/>
    <dataField name="Sum of M_40_44" fld="38" baseField="0" baseItem="0"/>
    <dataField name="Sum of M_45_49" fld="39" baseField="0" baseItem="0"/>
    <dataField name="Sum of M_50_54" fld="40" baseField="0" baseItem="0"/>
    <dataField name="Sum of M_55_59" fld="41" baseField="0" baseItem="0"/>
    <dataField name="Sum of M_60_64" fld="42" baseField="0" baseItem="0"/>
    <dataField name="Sum of M_65_69" fld="43" baseField="0" baseItem="0"/>
    <dataField name="Sum of M_70_74" fld="44" baseField="0" baseItem="0"/>
    <dataField name="Sum of M_75_79" fld="45" baseField="0" baseItem="0"/>
    <dataField name="Sum of M_80plus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L72" totalsRowCount="1" headerRowDxfId="129" dataDxfId="128">
  <autoFilter ref="A1:BL71" xr:uid="{00000000-0009-0000-0100-000001000000}"/>
  <tableColumns count="64">
    <tableColumn id="1" xr3:uid="{00000000-0010-0000-0000-000001000000}" name="admin2Name_fr" dataDxfId="127" totalsRowDxfId="126"/>
    <tableColumn id="2" xr3:uid="{00000000-0010-0000-0000-000002000000}" name="admin2Pcode" dataDxfId="125" totalsRowDxfId="124"/>
    <tableColumn id="3" xr3:uid="{00000000-0010-0000-0000-000003000000}" name="admin2RefName" dataDxfId="123" totalsRowDxfId="122"/>
    <tableColumn id="4" xr3:uid="{00000000-0010-0000-0000-000004000000}" name="admin2Name_MAJ" dataDxfId="121" totalsRowDxfId="120"/>
    <tableColumn id="5" xr3:uid="{00000000-0010-0000-0000-000005000000}" name="admin2AltName1_fr" dataDxfId="119" totalsRowDxfId="118"/>
    <tableColumn id="6" xr3:uid="{00000000-0010-0000-0000-000006000000}" name="admin2AltName2_fr" dataDxfId="117" totalsRowDxfId="116"/>
    <tableColumn id="7" xr3:uid="{00000000-0010-0000-0000-000007000000}" name="admin1Name_fr" dataDxfId="115" totalsRowDxfId="114"/>
    <tableColumn id="8" xr3:uid="{00000000-0010-0000-0000-000008000000}" name="admin1Pcode" dataDxfId="113" totalsRowDxfId="112"/>
    <tableColumn id="9" xr3:uid="{00000000-0010-0000-0000-000009000000}" name="admin0Name_fr" dataDxfId="111" totalsRowDxfId="110"/>
    <tableColumn id="10" xr3:uid="{00000000-0010-0000-0000-00000A000000}" name="admin0Pcode" dataDxfId="109" totalsRowDxfId="108"/>
    <tableColumn id="11" xr3:uid="{00000000-0010-0000-0000-00000B000000}" name="F" totalsRowFunction="sum" dataDxfId="107" totalsRowDxfId="106"/>
    <tableColumn id="12" xr3:uid="{00000000-0010-0000-0000-00000C000000}" name="M" totalsRowFunction="sum" dataDxfId="105" totalsRowDxfId="104"/>
    <tableColumn id="13" xr3:uid="{00000000-0010-0000-0000-00000D000000}" name="T" totalsRowFunction="sum" dataDxfId="103" totalsRowDxfId="102"/>
    <tableColumn id="14" xr3:uid="{00000000-0010-0000-0000-00000E000000}" name="F_00_04" totalsRowFunction="sum" dataDxfId="101" totalsRowDxfId="100"/>
    <tableColumn id="15" xr3:uid="{00000000-0010-0000-0000-00000F000000}" name="F_05_09" totalsRowFunction="sum" dataDxfId="99" totalsRowDxfId="98"/>
    <tableColumn id="16" xr3:uid="{00000000-0010-0000-0000-000010000000}" name="F_10_14" totalsRowFunction="sum" dataDxfId="97" totalsRowDxfId="96"/>
    <tableColumn id="17" xr3:uid="{00000000-0010-0000-0000-000011000000}" name="F_15_19" totalsRowFunction="sum" dataDxfId="95" totalsRowDxfId="94"/>
    <tableColumn id="18" xr3:uid="{00000000-0010-0000-0000-000012000000}" name="F_20_24" totalsRowFunction="sum" dataDxfId="93" totalsRowDxfId="92"/>
    <tableColumn id="19" xr3:uid="{00000000-0010-0000-0000-000013000000}" name="F_25_29" totalsRowFunction="sum" dataDxfId="91" totalsRowDxfId="90"/>
    <tableColumn id="20" xr3:uid="{00000000-0010-0000-0000-000014000000}" name="F_30_34" totalsRowFunction="sum" dataDxfId="89" totalsRowDxfId="88"/>
    <tableColumn id="21" xr3:uid="{00000000-0010-0000-0000-000015000000}" name="F_35_39" totalsRowFunction="sum" dataDxfId="87" totalsRowDxfId="86"/>
    <tableColumn id="22" xr3:uid="{00000000-0010-0000-0000-000016000000}" name="F_40_44" totalsRowFunction="sum" dataDxfId="85" totalsRowDxfId="84"/>
    <tableColumn id="23" xr3:uid="{00000000-0010-0000-0000-000017000000}" name="F_45_49" totalsRowFunction="sum" dataDxfId="83" totalsRowDxfId="82"/>
    <tableColumn id="24" xr3:uid="{00000000-0010-0000-0000-000018000000}" name="F_50_54" totalsRowFunction="sum" dataDxfId="81" totalsRowDxfId="80"/>
    <tableColumn id="25" xr3:uid="{00000000-0010-0000-0000-000019000000}" name="F_55_59" totalsRowFunction="sum" dataDxfId="79" totalsRowDxfId="78"/>
    <tableColumn id="26" xr3:uid="{00000000-0010-0000-0000-00001A000000}" name="F_60_64" totalsRowFunction="sum" dataDxfId="77" totalsRowDxfId="76"/>
    <tableColumn id="27" xr3:uid="{00000000-0010-0000-0000-00001B000000}" name="F_65_69" totalsRowFunction="sum" dataDxfId="75" totalsRowDxfId="74"/>
    <tableColumn id="28" xr3:uid="{00000000-0010-0000-0000-00001C000000}" name="F_70_74" totalsRowFunction="sum" dataDxfId="73" totalsRowDxfId="72"/>
    <tableColumn id="29" xr3:uid="{00000000-0010-0000-0000-00001D000000}" name="F_75_79" totalsRowFunction="sum" dataDxfId="71" totalsRowDxfId="70"/>
    <tableColumn id="30" xr3:uid="{00000000-0010-0000-0000-00001E000000}" name="F_80plus" totalsRowFunction="sum" dataDxfId="69" totalsRowDxfId="68"/>
    <tableColumn id="31" xr3:uid="{00000000-0010-0000-0000-00001F000000}" name="M_00_04" totalsRowFunction="sum" dataDxfId="67" totalsRowDxfId="66"/>
    <tableColumn id="32" xr3:uid="{00000000-0010-0000-0000-000020000000}" name="M_05_09" totalsRowFunction="sum" dataDxfId="65" totalsRowDxfId="64"/>
    <tableColumn id="33" xr3:uid="{00000000-0010-0000-0000-000021000000}" name="M_10_14" totalsRowFunction="sum" dataDxfId="63" totalsRowDxfId="62"/>
    <tableColumn id="34" xr3:uid="{00000000-0010-0000-0000-000022000000}" name="M_15_19" totalsRowFunction="sum" dataDxfId="61" totalsRowDxfId="60"/>
    <tableColumn id="35" xr3:uid="{00000000-0010-0000-0000-000023000000}" name="M_20_24" totalsRowFunction="sum" dataDxfId="59" totalsRowDxfId="58"/>
    <tableColumn id="36" xr3:uid="{00000000-0010-0000-0000-000024000000}" name="M_25_29" totalsRowFunction="sum" dataDxfId="57" totalsRowDxfId="56"/>
    <tableColumn id="37" xr3:uid="{00000000-0010-0000-0000-000025000000}" name="M_30_34" totalsRowFunction="sum" dataDxfId="55" totalsRowDxfId="54"/>
    <tableColumn id="38" xr3:uid="{00000000-0010-0000-0000-000026000000}" name="M_35_39" totalsRowFunction="sum" dataDxfId="53" totalsRowDxfId="52"/>
    <tableColumn id="39" xr3:uid="{00000000-0010-0000-0000-000027000000}" name="M_40_44" totalsRowFunction="sum" dataDxfId="51" totalsRowDxfId="50"/>
    <tableColumn id="40" xr3:uid="{00000000-0010-0000-0000-000028000000}" name="M_45_49" totalsRowFunction="sum" dataDxfId="49" totalsRowDxfId="48"/>
    <tableColumn id="41" xr3:uid="{00000000-0010-0000-0000-000029000000}" name="M_50_54" totalsRowFunction="sum" dataDxfId="47" totalsRowDxfId="46"/>
    <tableColumn id="42" xr3:uid="{00000000-0010-0000-0000-00002A000000}" name="M_55_59" totalsRowFunction="sum" dataDxfId="45" totalsRowDxfId="44"/>
    <tableColumn id="43" xr3:uid="{00000000-0010-0000-0000-00002B000000}" name="M_60_64" totalsRowFunction="sum" dataDxfId="43" totalsRowDxfId="42"/>
    <tableColumn id="44" xr3:uid="{00000000-0010-0000-0000-00002C000000}" name="M_65_69" totalsRowFunction="sum" dataDxfId="41" totalsRowDxfId="40"/>
    <tableColumn id="45" xr3:uid="{00000000-0010-0000-0000-00002D000000}" name="M_70_74" totalsRowFunction="sum" dataDxfId="39" totalsRowDxfId="38"/>
    <tableColumn id="46" xr3:uid="{00000000-0010-0000-0000-00002E000000}" name="M_75_79" totalsRowFunction="sum" dataDxfId="37" totalsRowDxfId="36"/>
    <tableColumn id="47" xr3:uid="{00000000-0010-0000-0000-00002F000000}" name="M_80plus" totalsRowFunction="sum" dataDxfId="35" totalsRowDxfId="34"/>
    <tableColumn id="48" xr3:uid="{00000000-0010-0000-0000-000030000000}" name="T_00_04" totalsRowFunction="sum" dataDxfId="33" totalsRowDxfId="32"/>
    <tableColumn id="49" xr3:uid="{00000000-0010-0000-0000-000031000000}" name="T_05_09" totalsRowFunction="sum" dataDxfId="31" totalsRowDxfId="30"/>
    <tableColumn id="50" xr3:uid="{00000000-0010-0000-0000-000032000000}" name="T_10_14" totalsRowFunction="sum" dataDxfId="29" totalsRowDxfId="28"/>
    <tableColumn id="51" xr3:uid="{00000000-0010-0000-0000-000033000000}" name="T_15_19" totalsRowFunction="sum" dataDxfId="27" totalsRowDxfId="26"/>
    <tableColumn id="52" xr3:uid="{00000000-0010-0000-0000-000034000000}" name="T_20_24" totalsRowFunction="sum" dataDxfId="25" totalsRowDxfId="24"/>
    <tableColumn id="53" xr3:uid="{00000000-0010-0000-0000-000035000000}" name="T_25_29" totalsRowFunction="sum" dataDxfId="23" totalsRowDxfId="22"/>
    <tableColumn id="54" xr3:uid="{00000000-0010-0000-0000-000036000000}" name="T_30_34" totalsRowFunction="sum" dataDxfId="21" totalsRowDxfId="20"/>
    <tableColumn id="55" xr3:uid="{00000000-0010-0000-0000-000037000000}" name="T_35_39" totalsRowFunction="sum" dataDxfId="19" totalsRowDxfId="18"/>
    <tableColumn id="56" xr3:uid="{00000000-0010-0000-0000-000038000000}" name="T_40_44" totalsRowFunction="sum" dataDxfId="17" totalsRowDxfId="16"/>
    <tableColumn id="57" xr3:uid="{00000000-0010-0000-0000-000039000000}" name="T_45_49" totalsRowFunction="sum" dataDxfId="15" totalsRowDxfId="14"/>
    <tableColumn id="58" xr3:uid="{00000000-0010-0000-0000-00003A000000}" name="T_50_54" totalsRowFunction="sum" dataDxfId="13" totalsRowDxfId="12"/>
    <tableColumn id="59" xr3:uid="{00000000-0010-0000-0000-00003B000000}" name="T_55_59" totalsRowFunction="sum" dataDxfId="11" totalsRowDxfId="10"/>
    <tableColumn id="60" xr3:uid="{00000000-0010-0000-0000-00003C000000}" name="T_60_64" totalsRowFunction="sum" dataDxfId="9" totalsRowDxfId="8"/>
    <tableColumn id="61" xr3:uid="{00000000-0010-0000-0000-00003D000000}" name="T_65_69" totalsRowFunction="sum" dataDxfId="7" totalsRowDxfId="6"/>
    <tableColumn id="62" xr3:uid="{00000000-0010-0000-0000-00003E000000}" name="T_70_74" totalsRowFunction="sum" dataDxfId="5" totalsRowDxfId="4"/>
    <tableColumn id="63" xr3:uid="{00000000-0010-0000-0000-00003F000000}" name="T_75_79" totalsRowFunction="sum" dataDxfId="3" totalsRowDxfId="2"/>
    <tableColumn id="64" xr3:uid="{00000000-0010-0000-0000-000040000000}" name="T_80plus" totalsRowFunction="sum" dataDxfId="1" totalsRow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6208-8971-4943-83AE-FCFCE976F595}">
  <dimension ref="A1:BF24"/>
  <sheetViews>
    <sheetView tabSelected="1" zoomScale="85" zoomScaleNormal="85" workbookViewId="0">
      <pane ySplit="1" topLeftCell="A2" activePane="bottomLeft" state="frozen"/>
      <selection pane="bottomLeft" activeCell="C20" sqref="C20"/>
    </sheetView>
  </sheetViews>
  <sheetFormatPr baseColWidth="10" defaultColWidth="8.83203125" defaultRowHeight="17"/>
  <cols>
    <col min="1" max="1" width="13.1640625" bestFit="1" customWidth="1"/>
    <col min="2" max="2" width="13.5" bestFit="1" customWidth="1"/>
    <col min="3" max="3" width="17.6640625" bestFit="1" customWidth="1"/>
    <col min="4" max="4" width="13.5" bestFit="1" customWidth="1"/>
    <col min="5" max="6" width="7.6640625" style="11" bestFit="1" customWidth="1"/>
    <col min="7" max="7" width="9.1640625" style="11" bestFit="1" customWidth="1"/>
    <col min="8" max="23" width="8.1640625" style="11" bestFit="1" customWidth="1"/>
    <col min="24" max="24" width="9.5" style="11" bestFit="1" customWidth="1"/>
    <col min="25" max="40" width="9" style="11" bestFit="1" customWidth="1"/>
    <col min="41" max="41" width="10.5" style="11" bestFit="1" customWidth="1"/>
    <col min="42" max="57" width="8.1640625" style="11" bestFit="1" customWidth="1"/>
    <col min="58" max="58" width="9.5" style="11" bestFit="1" customWidth="1"/>
  </cols>
  <sheetData>
    <row r="1" spans="1:58" s="8" customFormat="1">
      <c r="A1" s="9" t="s">
        <v>382</v>
      </c>
      <c r="B1" s="9" t="s">
        <v>374</v>
      </c>
      <c r="C1" s="9" t="s">
        <v>383</v>
      </c>
      <c r="D1" s="9" t="s">
        <v>375</v>
      </c>
      <c r="E1" s="10" t="s">
        <v>377</v>
      </c>
      <c r="F1" s="10" t="s">
        <v>376</v>
      </c>
      <c r="G1" s="10" t="s">
        <v>378</v>
      </c>
      <c r="H1" s="10" t="s">
        <v>282</v>
      </c>
      <c r="I1" s="10" t="s">
        <v>283</v>
      </c>
      <c r="J1" s="10" t="s">
        <v>284</v>
      </c>
      <c r="K1" s="10" t="s">
        <v>285</v>
      </c>
      <c r="L1" s="10" t="s">
        <v>286</v>
      </c>
      <c r="M1" s="10" t="s">
        <v>287</v>
      </c>
      <c r="N1" s="10" t="s">
        <v>288</v>
      </c>
      <c r="O1" s="10" t="s">
        <v>289</v>
      </c>
      <c r="P1" s="10" t="s">
        <v>290</v>
      </c>
      <c r="Q1" s="10" t="s">
        <v>334</v>
      </c>
      <c r="R1" s="10" t="s">
        <v>291</v>
      </c>
      <c r="S1" s="10" t="s">
        <v>292</v>
      </c>
      <c r="T1" s="10" t="s">
        <v>293</v>
      </c>
      <c r="U1" s="10" t="s">
        <v>294</v>
      </c>
      <c r="V1" s="10" t="s">
        <v>295</v>
      </c>
      <c r="W1" s="10" t="s">
        <v>296</v>
      </c>
      <c r="X1" s="10" t="s">
        <v>380</v>
      </c>
      <c r="Y1" s="10" t="s">
        <v>298</v>
      </c>
      <c r="Z1" s="10" t="s">
        <v>299</v>
      </c>
      <c r="AA1" s="10" t="s">
        <v>300</v>
      </c>
      <c r="AB1" s="10" t="s">
        <v>301</v>
      </c>
      <c r="AC1" s="10" t="s">
        <v>302</v>
      </c>
      <c r="AD1" s="10" t="s">
        <v>303</v>
      </c>
      <c r="AE1" s="10" t="s">
        <v>304</v>
      </c>
      <c r="AF1" s="10" t="s">
        <v>305</v>
      </c>
      <c r="AG1" s="10" t="s">
        <v>306</v>
      </c>
      <c r="AH1" s="10" t="s">
        <v>335</v>
      </c>
      <c r="AI1" s="10" t="s">
        <v>307</v>
      </c>
      <c r="AJ1" s="10" t="s">
        <v>308</v>
      </c>
      <c r="AK1" s="10" t="s">
        <v>309</v>
      </c>
      <c r="AL1" s="10" t="s">
        <v>310</v>
      </c>
      <c r="AM1" s="10" t="s">
        <v>311</v>
      </c>
      <c r="AN1" s="10" t="s">
        <v>312</v>
      </c>
      <c r="AO1" s="10" t="s">
        <v>379</v>
      </c>
      <c r="AP1" s="10" t="s">
        <v>314</v>
      </c>
      <c r="AQ1" s="10" t="s">
        <v>315</v>
      </c>
      <c r="AR1" s="10" t="s">
        <v>316</v>
      </c>
      <c r="AS1" s="10" t="s">
        <v>317</v>
      </c>
      <c r="AT1" s="10" t="s">
        <v>318</v>
      </c>
      <c r="AU1" s="10" t="s">
        <v>319</v>
      </c>
      <c r="AV1" s="10" t="s">
        <v>320</v>
      </c>
      <c r="AW1" s="10" t="s">
        <v>321</v>
      </c>
      <c r="AX1" s="10" t="s">
        <v>322</v>
      </c>
      <c r="AY1" s="10" t="s">
        <v>330</v>
      </c>
      <c r="AZ1" s="10" t="s">
        <v>323</v>
      </c>
      <c r="BA1" s="10" t="s">
        <v>324</v>
      </c>
      <c r="BB1" s="10" t="s">
        <v>325</v>
      </c>
      <c r="BC1" s="10" t="s">
        <v>326</v>
      </c>
      <c r="BD1" s="10" t="s">
        <v>327</v>
      </c>
      <c r="BE1" s="10" t="s">
        <v>328</v>
      </c>
      <c r="BF1" s="10" t="s">
        <v>381</v>
      </c>
    </row>
    <row r="2" spans="1:58">
      <c r="A2" t="s">
        <v>211</v>
      </c>
      <c r="B2" t="s">
        <v>9</v>
      </c>
      <c r="C2" t="s">
        <v>141</v>
      </c>
      <c r="D2" t="s">
        <v>142</v>
      </c>
      <c r="E2" s="11">
        <v>183501</v>
      </c>
      <c r="F2" s="11">
        <v>200762</v>
      </c>
      <c r="G2" s="11">
        <v>384263</v>
      </c>
      <c r="H2" s="11">
        <v>36403</v>
      </c>
      <c r="I2" s="11">
        <v>29553</v>
      </c>
      <c r="J2" s="11">
        <v>20329</v>
      </c>
      <c r="K2" s="11">
        <v>19632</v>
      </c>
      <c r="L2" s="11">
        <v>16777</v>
      </c>
      <c r="M2" s="11">
        <v>13473</v>
      </c>
      <c r="N2" s="11">
        <v>10246</v>
      </c>
      <c r="O2" s="11">
        <v>8267</v>
      </c>
      <c r="P2" s="11">
        <v>7413</v>
      </c>
      <c r="Q2" s="11">
        <v>6357</v>
      </c>
      <c r="R2" s="11">
        <v>5111</v>
      </c>
      <c r="S2" s="11">
        <v>3872</v>
      </c>
      <c r="T2" s="11">
        <v>2484</v>
      </c>
      <c r="U2" s="11">
        <v>1577</v>
      </c>
      <c r="V2" s="11">
        <v>1014</v>
      </c>
      <c r="W2" s="11">
        <v>582</v>
      </c>
      <c r="X2" s="11">
        <v>412</v>
      </c>
      <c r="Y2" s="11">
        <v>38031</v>
      </c>
      <c r="Z2" s="11">
        <v>30825</v>
      </c>
      <c r="AA2" s="11">
        <v>24557</v>
      </c>
      <c r="AB2" s="11">
        <v>24497</v>
      </c>
      <c r="AC2" s="11">
        <v>20904</v>
      </c>
      <c r="AD2" s="11">
        <v>16003</v>
      </c>
      <c r="AE2" s="11">
        <v>9732</v>
      </c>
      <c r="AF2" s="11">
        <v>6571</v>
      </c>
      <c r="AG2" s="11">
        <v>5397</v>
      </c>
      <c r="AH2" s="11">
        <v>4797</v>
      </c>
      <c r="AI2" s="11">
        <v>5081</v>
      </c>
      <c r="AJ2" s="11">
        <v>4581</v>
      </c>
      <c r="AK2" s="11">
        <v>3397</v>
      </c>
      <c r="AL2" s="11">
        <v>2517</v>
      </c>
      <c r="AM2" s="11">
        <v>1824</v>
      </c>
      <c r="AN2" s="11">
        <v>1152</v>
      </c>
      <c r="AO2" s="11">
        <v>896</v>
      </c>
      <c r="AP2" s="11">
        <v>74433</v>
      </c>
      <c r="AQ2" s="11">
        <v>60380</v>
      </c>
      <c r="AR2" s="11">
        <v>44886</v>
      </c>
      <c r="AS2" s="11">
        <v>44128</v>
      </c>
      <c r="AT2" s="11">
        <v>37682</v>
      </c>
      <c r="AU2" s="11">
        <v>29474</v>
      </c>
      <c r="AV2" s="11">
        <v>19976</v>
      </c>
      <c r="AW2" s="11">
        <v>14839</v>
      </c>
      <c r="AX2" s="11">
        <v>12810</v>
      </c>
      <c r="AY2" s="11">
        <v>11156</v>
      </c>
      <c r="AZ2" s="11">
        <v>10192</v>
      </c>
      <c r="BA2" s="11">
        <v>8453</v>
      </c>
      <c r="BB2" s="11">
        <v>5882</v>
      </c>
      <c r="BC2" s="11">
        <v>4094</v>
      </c>
      <c r="BD2" s="11">
        <v>2837</v>
      </c>
      <c r="BE2" s="11">
        <v>1733</v>
      </c>
      <c r="BF2" s="11">
        <v>1310</v>
      </c>
    </row>
    <row r="3" spans="1:58">
      <c r="A3" t="s">
        <v>211</v>
      </c>
      <c r="B3" t="s">
        <v>9</v>
      </c>
      <c r="C3" t="s">
        <v>7</v>
      </c>
      <c r="D3" t="s">
        <v>8</v>
      </c>
      <c r="E3" s="11">
        <v>361645</v>
      </c>
      <c r="F3" s="11">
        <v>348179</v>
      </c>
      <c r="G3" s="11">
        <v>709823</v>
      </c>
      <c r="H3" s="11">
        <v>64409</v>
      </c>
      <c r="I3" s="11">
        <v>52907</v>
      </c>
      <c r="J3" s="11">
        <v>61258</v>
      </c>
      <c r="K3" s="11">
        <v>46150</v>
      </c>
      <c r="L3" s="11">
        <v>28055</v>
      </c>
      <c r="M3" s="11">
        <v>20645</v>
      </c>
      <c r="N3" s="11">
        <v>19348</v>
      </c>
      <c r="O3" s="11">
        <v>16885</v>
      </c>
      <c r="P3" s="11">
        <v>13559</v>
      </c>
      <c r="Q3" s="11">
        <v>10928</v>
      </c>
      <c r="R3" s="11">
        <v>8384</v>
      </c>
      <c r="S3" s="11">
        <v>6293</v>
      </c>
      <c r="T3" s="11">
        <v>4361</v>
      </c>
      <c r="U3" s="11">
        <v>3077</v>
      </c>
      <c r="V3" s="11">
        <v>2299</v>
      </c>
      <c r="W3" s="11">
        <v>1530</v>
      </c>
      <c r="X3" s="11">
        <v>1561</v>
      </c>
      <c r="Y3" s="11">
        <v>67288</v>
      </c>
      <c r="Z3" s="11">
        <v>55185</v>
      </c>
      <c r="AA3" s="11">
        <v>62726</v>
      </c>
      <c r="AB3" s="11">
        <v>46805</v>
      </c>
      <c r="AC3" s="11">
        <v>27692</v>
      </c>
      <c r="AD3" s="11">
        <v>18509</v>
      </c>
      <c r="AE3" s="11">
        <v>12340</v>
      </c>
      <c r="AF3" s="11">
        <v>9569</v>
      </c>
      <c r="AG3" s="11">
        <v>10066</v>
      </c>
      <c r="AH3" s="11">
        <v>9416</v>
      </c>
      <c r="AI3" s="11">
        <v>7982</v>
      </c>
      <c r="AJ3" s="11">
        <v>6482</v>
      </c>
      <c r="AK3" s="11">
        <v>4621</v>
      </c>
      <c r="AL3" s="11">
        <v>3397</v>
      </c>
      <c r="AM3" s="11">
        <v>2636</v>
      </c>
      <c r="AN3" s="11">
        <v>1764</v>
      </c>
      <c r="AO3" s="11">
        <v>1700</v>
      </c>
      <c r="AP3" s="11">
        <v>131698</v>
      </c>
      <c r="AQ3" s="11">
        <v>108093</v>
      </c>
      <c r="AR3" s="11">
        <v>123984</v>
      </c>
      <c r="AS3" s="11">
        <v>92953</v>
      </c>
      <c r="AT3" s="11">
        <v>55745</v>
      </c>
      <c r="AU3" s="11">
        <v>39154</v>
      </c>
      <c r="AV3" s="11">
        <v>31687</v>
      </c>
      <c r="AW3" s="11">
        <v>26455</v>
      </c>
      <c r="AX3" s="11">
        <v>23624</v>
      </c>
      <c r="AY3" s="11">
        <v>20341</v>
      </c>
      <c r="AZ3" s="11">
        <v>16367</v>
      </c>
      <c r="BA3" s="11">
        <v>12776</v>
      </c>
      <c r="BB3" s="11">
        <v>8982</v>
      </c>
      <c r="BC3" s="11">
        <v>6472</v>
      </c>
      <c r="BD3" s="11">
        <v>4933</v>
      </c>
      <c r="BE3" s="11">
        <v>3295</v>
      </c>
      <c r="BF3" s="11">
        <v>3259</v>
      </c>
    </row>
    <row r="4" spans="1:58">
      <c r="A4" t="s">
        <v>211</v>
      </c>
      <c r="B4" t="s">
        <v>9</v>
      </c>
      <c r="C4" t="s">
        <v>14</v>
      </c>
      <c r="D4" t="s">
        <v>16</v>
      </c>
      <c r="E4" s="11">
        <v>67778</v>
      </c>
      <c r="F4" s="11">
        <v>74325</v>
      </c>
      <c r="G4" s="11">
        <v>142103</v>
      </c>
      <c r="H4" s="11">
        <v>13501</v>
      </c>
      <c r="I4" s="11">
        <v>11438</v>
      </c>
      <c r="J4" s="11">
        <v>6894</v>
      </c>
      <c r="K4" s="11">
        <v>6641</v>
      </c>
      <c r="L4" s="11">
        <v>5761</v>
      </c>
      <c r="M4" s="11">
        <v>4757</v>
      </c>
      <c r="N4" s="11">
        <v>4095</v>
      </c>
      <c r="O4" s="11">
        <v>3495</v>
      </c>
      <c r="P4" s="11">
        <v>2972</v>
      </c>
      <c r="Q4" s="11">
        <v>2474</v>
      </c>
      <c r="R4" s="11">
        <v>1941</v>
      </c>
      <c r="S4" s="11">
        <v>1450</v>
      </c>
      <c r="T4" s="11">
        <v>933</v>
      </c>
      <c r="U4" s="11">
        <v>602</v>
      </c>
      <c r="V4" s="11">
        <v>403</v>
      </c>
      <c r="W4" s="11">
        <v>243</v>
      </c>
      <c r="X4" s="11">
        <v>179</v>
      </c>
      <c r="Y4" s="11">
        <v>14105</v>
      </c>
      <c r="Z4" s="11">
        <v>11930</v>
      </c>
      <c r="AA4" s="11">
        <v>8456</v>
      </c>
      <c r="AB4" s="11">
        <v>8130</v>
      </c>
      <c r="AC4" s="11">
        <v>6792</v>
      </c>
      <c r="AD4" s="11">
        <v>5387</v>
      </c>
      <c r="AE4" s="11">
        <v>4224</v>
      </c>
      <c r="AF4" s="11">
        <v>3361</v>
      </c>
      <c r="AG4" s="11">
        <v>2514</v>
      </c>
      <c r="AH4" s="11">
        <v>2083</v>
      </c>
      <c r="AI4" s="11">
        <v>2111</v>
      </c>
      <c r="AJ4" s="11">
        <v>1829</v>
      </c>
      <c r="AK4" s="11">
        <v>1250</v>
      </c>
      <c r="AL4" s="11">
        <v>872</v>
      </c>
      <c r="AM4" s="11">
        <v>631</v>
      </c>
      <c r="AN4" s="11">
        <v>388</v>
      </c>
      <c r="AO4" s="11">
        <v>263</v>
      </c>
      <c r="AP4" s="11">
        <v>27606</v>
      </c>
      <c r="AQ4" s="11">
        <v>23368</v>
      </c>
      <c r="AR4" s="11">
        <v>15350</v>
      </c>
      <c r="AS4" s="11">
        <v>14771</v>
      </c>
      <c r="AT4" s="11">
        <v>12553</v>
      </c>
      <c r="AU4" s="11">
        <v>10144</v>
      </c>
      <c r="AV4" s="11">
        <v>8319</v>
      </c>
      <c r="AW4" s="11">
        <v>6856</v>
      </c>
      <c r="AX4" s="11">
        <v>5486</v>
      </c>
      <c r="AY4" s="11">
        <v>4556</v>
      </c>
      <c r="AZ4" s="11">
        <v>4052</v>
      </c>
      <c r="BA4" s="11">
        <v>3277</v>
      </c>
      <c r="BB4" s="11">
        <v>2184</v>
      </c>
      <c r="BC4" s="11">
        <v>1473</v>
      </c>
      <c r="BD4" s="11">
        <v>1034</v>
      </c>
      <c r="BE4" s="11">
        <v>631</v>
      </c>
      <c r="BF4" s="11">
        <v>442</v>
      </c>
    </row>
    <row r="5" spans="1:58">
      <c r="A5" t="s">
        <v>211</v>
      </c>
      <c r="B5" t="s">
        <v>9</v>
      </c>
      <c r="C5" t="s">
        <v>19</v>
      </c>
      <c r="D5" t="s">
        <v>20</v>
      </c>
      <c r="E5" s="11">
        <v>435934</v>
      </c>
      <c r="F5" s="11">
        <v>433638</v>
      </c>
      <c r="G5" s="11">
        <v>869572</v>
      </c>
      <c r="H5" s="11">
        <v>83700</v>
      </c>
      <c r="I5" s="11">
        <v>67968</v>
      </c>
      <c r="J5" s="11">
        <v>58360</v>
      </c>
      <c r="K5" s="11">
        <v>51920</v>
      </c>
      <c r="L5" s="11">
        <v>37354</v>
      </c>
      <c r="M5" s="11">
        <v>28325</v>
      </c>
      <c r="N5" s="11">
        <v>25189</v>
      </c>
      <c r="O5" s="11">
        <v>21271</v>
      </c>
      <c r="P5" s="11">
        <v>16543</v>
      </c>
      <c r="Q5" s="11">
        <v>13060</v>
      </c>
      <c r="R5" s="11">
        <v>10003</v>
      </c>
      <c r="S5" s="11">
        <v>7513</v>
      </c>
      <c r="T5" s="11">
        <v>5347</v>
      </c>
      <c r="U5" s="11">
        <v>3751</v>
      </c>
      <c r="V5" s="11">
        <v>2588</v>
      </c>
      <c r="W5" s="11">
        <v>1614</v>
      </c>
      <c r="X5" s="11">
        <v>1426</v>
      </c>
      <c r="Y5" s="11">
        <v>87445</v>
      </c>
      <c r="Z5" s="11">
        <v>70894</v>
      </c>
      <c r="AA5" s="11">
        <v>59474</v>
      </c>
      <c r="AB5" s="11">
        <v>52590</v>
      </c>
      <c r="AC5" s="11">
        <v>36848</v>
      </c>
      <c r="AD5" s="11">
        <v>26227</v>
      </c>
      <c r="AE5" s="11">
        <v>19290</v>
      </c>
      <c r="AF5" s="11">
        <v>15372</v>
      </c>
      <c r="AG5" s="11">
        <v>14006</v>
      </c>
      <c r="AH5" s="11">
        <v>12387</v>
      </c>
      <c r="AI5" s="11">
        <v>10577</v>
      </c>
      <c r="AJ5" s="11">
        <v>8743</v>
      </c>
      <c r="AK5" s="11">
        <v>6790</v>
      </c>
      <c r="AL5" s="11">
        <v>5119</v>
      </c>
      <c r="AM5" s="11">
        <v>3580</v>
      </c>
      <c r="AN5" s="11">
        <v>2258</v>
      </c>
      <c r="AO5" s="11">
        <v>2037</v>
      </c>
      <c r="AP5" s="11">
        <v>171147</v>
      </c>
      <c r="AQ5" s="11">
        <v>138862</v>
      </c>
      <c r="AR5" s="11">
        <v>117833</v>
      </c>
      <c r="AS5" s="11">
        <v>104508</v>
      </c>
      <c r="AT5" s="11">
        <v>74203</v>
      </c>
      <c r="AU5" s="11">
        <v>54553</v>
      </c>
      <c r="AV5" s="11">
        <v>44478</v>
      </c>
      <c r="AW5" s="11">
        <v>36643</v>
      </c>
      <c r="AX5" s="11">
        <v>30548</v>
      </c>
      <c r="AY5" s="11">
        <v>25448</v>
      </c>
      <c r="AZ5" s="11">
        <v>20581</v>
      </c>
      <c r="BA5" s="11">
        <v>16256</v>
      </c>
      <c r="BB5" s="11">
        <v>12138</v>
      </c>
      <c r="BC5" s="11">
        <v>8872</v>
      </c>
      <c r="BD5" s="11">
        <v>6170</v>
      </c>
      <c r="BE5" s="11">
        <v>3873</v>
      </c>
      <c r="BF5" s="11">
        <v>3462</v>
      </c>
    </row>
    <row r="6" spans="1:58">
      <c r="A6" t="s">
        <v>211</v>
      </c>
      <c r="B6" t="s">
        <v>9</v>
      </c>
      <c r="C6" t="s">
        <v>147</v>
      </c>
      <c r="D6" t="s">
        <v>148</v>
      </c>
      <c r="E6" s="11">
        <v>76041</v>
      </c>
      <c r="F6" s="11">
        <v>86637</v>
      </c>
      <c r="G6" s="11">
        <v>162678</v>
      </c>
      <c r="H6" s="11">
        <v>15409</v>
      </c>
      <c r="I6" s="11">
        <v>12931</v>
      </c>
      <c r="J6" s="11">
        <v>7403</v>
      </c>
      <c r="K6" s="11">
        <v>7236</v>
      </c>
      <c r="L6" s="11">
        <v>6843</v>
      </c>
      <c r="M6" s="11">
        <v>5815</v>
      </c>
      <c r="N6" s="11">
        <v>4598</v>
      </c>
      <c r="O6" s="11">
        <v>3750</v>
      </c>
      <c r="P6" s="11">
        <v>3175</v>
      </c>
      <c r="Q6" s="11">
        <v>2661</v>
      </c>
      <c r="R6" s="11">
        <v>2235</v>
      </c>
      <c r="S6" s="11">
        <v>1699</v>
      </c>
      <c r="T6" s="11">
        <v>979</v>
      </c>
      <c r="U6" s="11">
        <v>567</v>
      </c>
      <c r="V6" s="11">
        <v>378</v>
      </c>
      <c r="W6" s="11">
        <v>220</v>
      </c>
      <c r="X6" s="11">
        <v>141</v>
      </c>
      <c r="Y6" s="11">
        <v>16098</v>
      </c>
      <c r="Z6" s="11">
        <v>13487</v>
      </c>
      <c r="AA6" s="11">
        <v>9144</v>
      </c>
      <c r="AB6" s="11">
        <v>9366</v>
      </c>
      <c r="AC6" s="11">
        <v>8919</v>
      </c>
      <c r="AD6" s="11">
        <v>7446</v>
      </c>
      <c r="AE6" s="11">
        <v>5469</v>
      </c>
      <c r="AF6" s="11">
        <v>4070</v>
      </c>
      <c r="AG6" s="11">
        <v>2693</v>
      </c>
      <c r="AH6" s="11">
        <v>2061</v>
      </c>
      <c r="AI6" s="11">
        <v>2173</v>
      </c>
      <c r="AJ6" s="11">
        <v>1920</v>
      </c>
      <c r="AK6" s="11">
        <v>1349</v>
      </c>
      <c r="AL6" s="11">
        <v>966</v>
      </c>
      <c r="AM6" s="11">
        <v>719</v>
      </c>
      <c r="AN6" s="11">
        <v>450</v>
      </c>
      <c r="AO6" s="11">
        <v>306</v>
      </c>
      <c r="AP6" s="11">
        <v>31508</v>
      </c>
      <c r="AQ6" s="11">
        <v>26417</v>
      </c>
      <c r="AR6" s="11">
        <v>16547</v>
      </c>
      <c r="AS6" s="11">
        <v>16602</v>
      </c>
      <c r="AT6" s="11">
        <v>15760</v>
      </c>
      <c r="AU6" s="11">
        <v>13261</v>
      </c>
      <c r="AV6" s="11">
        <v>10067</v>
      </c>
      <c r="AW6" s="11">
        <v>7820</v>
      </c>
      <c r="AX6" s="11">
        <v>5868</v>
      </c>
      <c r="AY6" s="11">
        <v>4724</v>
      </c>
      <c r="AZ6" s="11">
        <v>4408</v>
      </c>
      <c r="BA6" s="11">
        <v>3619</v>
      </c>
      <c r="BB6" s="11">
        <v>2329</v>
      </c>
      <c r="BC6" s="11">
        <v>1534</v>
      </c>
      <c r="BD6" s="11">
        <v>1098</v>
      </c>
      <c r="BE6" s="11">
        <v>671</v>
      </c>
      <c r="BF6" s="11">
        <v>447</v>
      </c>
    </row>
    <row r="7" spans="1:58">
      <c r="A7" t="s">
        <v>211</v>
      </c>
      <c r="B7" t="s">
        <v>9</v>
      </c>
      <c r="C7" t="s">
        <v>165</v>
      </c>
      <c r="D7" t="s">
        <v>166</v>
      </c>
      <c r="E7" s="11">
        <v>42958</v>
      </c>
      <c r="F7" s="11">
        <v>48944</v>
      </c>
      <c r="G7" s="11">
        <v>91903</v>
      </c>
      <c r="H7" s="11">
        <v>8705</v>
      </c>
      <c r="I7" s="11">
        <v>7305</v>
      </c>
      <c r="J7" s="11">
        <v>4182</v>
      </c>
      <c r="K7" s="11">
        <v>4088</v>
      </c>
      <c r="L7" s="11">
        <v>3865</v>
      </c>
      <c r="M7" s="11">
        <v>3284</v>
      </c>
      <c r="N7" s="11">
        <v>2598</v>
      </c>
      <c r="O7" s="11">
        <v>2119</v>
      </c>
      <c r="P7" s="11">
        <v>1794</v>
      </c>
      <c r="Q7" s="11">
        <v>1505</v>
      </c>
      <c r="R7" s="11">
        <v>1262</v>
      </c>
      <c r="S7" s="11">
        <v>960</v>
      </c>
      <c r="T7" s="11">
        <v>553</v>
      </c>
      <c r="U7" s="11">
        <v>321</v>
      </c>
      <c r="V7" s="11">
        <v>214</v>
      </c>
      <c r="W7" s="11">
        <v>124</v>
      </c>
      <c r="X7" s="11">
        <v>80</v>
      </c>
      <c r="Y7" s="11">
        <v>9094</v>
      </c>
      <c r="Z7" s="11">
        <v>7619</v>
      </c>
      <c r="AA7" s="11">
        <v>5166</v>
      </c>
      <c r="AB7" s="11">
        <v>5291</v>
      </c>
      <c r="AC7" s="11">
        <v>5038</v>
      </c>
      <c r="AD7" s="11">
        <v>4207</v>
      </c>
      <c r="AE7" s="11">
        <v>3089</v>
      </c>
      <c r="AF7" s="11">
        <v>2299</v>
      </c>
      <c r="AG7" s="11">
        <v>1522</v>
      </c>
      <c r="AH7" s="11">
        <v>1164</v>
      </c>
      <c r="AI7" s="11">
        <v>1227</v>
      </c>
      <c r="AJ7" s="11">
        <v>1085</v>
      </c>
      <c r="AK7" s="11">
        <v>762</v>
      </c>
      <c r="AL7" s="11">
        <v>546</v>
      </c>
      <c r="AM7" s="11">
        <v>406</v>
      </c>
      <c r="AN7" s="11">
        <v>256</v>
      </c>
      <c r="AO7" s="11">
        <v>173</v>
      </c>
      <c r="AP7" s="11">
        <v>17799</v>
      </c>
      <c r="AQ7" s="11">
        <v>14924</v>
      </c>
      <c r="AR7" s="11">
        <v>9347</v>
      </c>
      <c r="AS7" s="11">
        <v>9378</v>
      </c>
      <c r="AT7" s="11">
        <v>8904</v>
      </c>
      <c r="AU7" s="11">
        <v>7492</v>
      </c>
      <c r="AV7" s="11">
        <v>5686</v>
      </c>
      <c r="AW7" s="11">
        <v>4418</v>
      </c>
      <c r="AX7" s="11">
        <v>3316</v>
      </c>
      <c r="AY7" s="11">
        <v>2668</v>
      </c>
      <c r="AZ7" s="11">
        <v>2491</v>
      </c>
      <c r="BA7" s="11">
        <v>2044</v>
      </c>
      <c r="BB7" s="11">
        <v>1315</v>
      </c>
      <c r="BC7" s="11">
        <v>867</v>
      </c>
      <c r="BD7" s="11">
        <v>619</v>
      </c>
      <c r="BE7" s="11">
        <v>379</v>
      </c>
      <c r="BF7" s="11">
        <v>253</v>
      </c>
    </row>
    <row r="8" spans="1:58">
      <c r="A8" t="s">
        <v>211</v>
      </c>
      <c r="B8" t="s">
        <v>9</v>
      </c>
      <c r="C8" t="s">
        <v>187</v>
      </c>
      <c r="D8" t="s">
        <v>27</v>
      </c>
      <c r="E8" s="11">
        <v>333723</v>
      </c>
      <c r="F8" s="11">
        <v>320517</v>
      </c>
      <c r="G8" s="11">
        <v>654240</v>
      </c>
      <c r="H8" s="11">
        <v>39130</v>
      </c>
      <c r="I8" s="11">
        <v>33521</v>
      </c>
      <c r="J8" s="11">
        <v>128469</v>
      </c>
      <c r="K8" s="11">
        <v>48715</v>
      </c>
      <c r="L8" s="11">
        <v>13691</v>
      </c>
      <c r="M8" s="11">
        <v>14212</v>
      </c>
      <c r="N8" s="11">
        <v>11914</v>
      </c>
      <c r="O8" s="11">
        <v>10163</v>
      </c>
      <c r="P8" s="11">
        <v>8647</v>
      </c>
      <c r="Q8" s="11">
        <v>7193</v>
      </c>
      <c r="R8" s="11">
        <v>5644</v>
      </c>
      <c r="S8" s="11">
        <v>4217</v>
      </c>
      <c r="T8" s="11">
        <v>2717</v>
      </c>
      <c r="U8" s="11">
        <v>1750</v>
      </c>
      <c r="V8" s="11">
        <v>1172</v>
      </c>
      <c r="W8" s="11">
        <v>706</v>
      </c>
      <c r="X8" s="11">
        <v>1864</v>
      </c>
      <c r="Y8" s="11">
        <v>40880</v>
      </c>
      <c r="Z8" s="11">
        <v>34965</v>
      </c>
      <c r="AA8" s="11">
        <v>117453</v>
      </c>
      <c r="AB8" s="11">
        <v>46736</v>
      </c>
      <c r="AC8" s="11">
        <v>14807</v>
      </c>
      <c r="AD8" s="11">
        <v>14195</v>
      </c>
      <c r="AE8" s="11">
        <v>10878</v>
      </c>
      <c r="AF8" s="11">
        <v>8658</v>
      </c>
      <c r="AG8" s="11">
        <v>6473</v>
      </c>
      <c r="AH8" s="11">
        <v>5360</v>
      </c>
      <c r="AI8" s="11">
        <v>5438</v>
      </c>
      <c r="AJ8" s="11">
        <v>4705</v>
      </c>
      <c r="AK8" s="11">
        <v>3218</v>
      </c>
      <c r="AL8" s="11">
        <v>2244</v>
      </c>
      <c r="AM8" s="11">
        <v>1626</v>
      </c>
      <c r="AN8" s="11">
        <v>999</v>
      </c>
      <c r="AO8" s="11">
        <v>1878</v>
      </c>
      <c r="AP8" s="11">
        <v>80007</v>
      </c>
      <c r="AQ8" s="11">
        <v>68488</v>
      </c>
      <c r="AR8" s="11">
        <v>245920</v>
      </c>
      <c r="AS8" s="11">
        <v>95451</v>
      </c>
      <c r="AT8" s="11">
        <v>28496</v>
      </c>
      <c r="AU8" s="11">
        <v>28410</v>
      </c>
      <c r="AV8" s="11">
        <v>22792</v>
      </c>
      <c r="AW8" s="11">
        <v>18822</v>
      </c>
      <c r="AX8" s="11">
        <v>15119</v>
      </c>
      <c r="AY8" s="11">
        <v>12553</v>
      </c>
      <c r="AZ8" s="11">
        <v>11083</v>
      </c>
      <c r="BA8" s="11">
        <v>8923</v>
      </c>
      <c r="BB8" s="11">
        <v>5934</v>
      </c>
      <c r="BC8" s="11">
        <v>3994</v>
      </c>
      <c r="BD8" s="11">
        <v>2796</v>
      </c>
      <c r="BE8" s="11">
        <v>1705</v>
      </c>
      <c r="BF8" s="11">
        <v>3746</v>
      </c>
    </row>
    <row r="9" spans="1:58">
      <c r="A9" t="s">
        <v>211</v>
      </c>
      <c r="B9" t="s">
        <v>9</v>
      </c>
      <c r="C9" t="s">
        <v>201</v>
      </c>
      <c r="D9" t="s">
        <v>36</v>
      </c>
      <c r="E9" s="11">
        <v>421811</v>
      </c>
      <c r="F9" s="11">
        <v>424234</v>
      </c>
      <c r="G9" s="11">
        <v>846046</v>
      </c>
      <c r="H9" s="11">
        <v>80381</v>
      </c>
      <c r="I9" s="11">
        <v>65709</v>
      </c>
      <c r="J9" s="11">
        <v>56097</v>
      </c>
      <c r="K9" s="11">
        <v>50948</v>
      </c>
      <c r="L9" s="11">
        <v>36301</v>
      </c>
      <c r="M9" s="11">
        <v>27129</v>
      </c>
      <c r="N9" s="11">
        <v>24338</v>
      </c>
      <c r="O9" s="11">
        <v>20641</v>
      </c>
      <c r="P9" s="11">
        <v>16110</v>
      </c>
      <c r="Q9" s="11">
        <v>12721</v>
      </c>
      <c r="R9" s="11">
        <v>9643</v>
      </c>
      <c r="S9" s="11">
        <v>7209</v>
      </c>
      <c r="T9" s="11">
        <v>5143</v>
      </c>
      <c r="U9" s="11">
        <v>3644</v>
      </c>
      <c r="V9" s="11">
        <v>2572</v>
      </c>
      <c r="W9" s="11">
        <v>1652</v>
      </c>
      <c r="X9" s="11">
        <v>1574</v>
      </c>
      <c r="Y9" s="11">
        <v>83974</v>
      </c>
      <c r="Z9" s="11">
        <v>68539</v>
      </c>
      <c r="AA9" s="11">
        <v>57800</v>
      </c>
      <c r="AB9" s="11">
        <v>52686</v>
      </c>
      <c r="AC9" s="11">
        <v>37327</v>
      </c>
      <c r="AD9" s="11">
        <v>26317</v>
      </c>
      <c r="AE9" s="11">
        <v>18563</v>
      </c>
      <c r="AF9" s="11">
        <v>14524</v>
      </c>
      <c r="AG9" s="11">
        <v>13726</v>
      </c>
      <c r="AH9" s="11">
        <v>12331</v>
      </c>
      <c r="AI9" s="11">
        <v>10546</v>
      </c>
      <c r="AJ9" s="11">
        <v>8676</v>
      </c>
      <c r="AK9" s="11">
        <v>6541</v>
      </c>
      <c r="AL9" s="11">
        <v>4881</v>
      </c>
      <c r="AM9" s="11">
        <v>3536</v>
      </c>
      <c r="AN9" s="11">
        <v>2264</v>
      </c>
      <c r="AO9" s="11">
        <v>2005</v>
      </c>
      <c r="AP9" s="11">
        <v>164355</v>
      </c>
      <c r="AQ9" s="11">
        <v>134244</v>
      </c>
      <c r="AR9" s="11">
        <v>113896</v>
      </c>
      <c r="AS9" s="11">
        <v>103632</v>
      </c>
      <c r="AT9" s="11">
        <v>73627</v>
      </c>
      <c r="AU9" s="11">
        <v>53444</v>
      </c>
      <c r="AV9" s="11">
        <v>42901</v>
      </c>
      <c r="AW9" s="11">
        <v>35164</v>
      </c>
      <c r="AX9" s="11">
        <v>29835</v>
      </c>
      <c r="AY9" s="11">
        <v>25053</v>
      </c>
      <c r="AZ9" s="11">
        <v>20192</v>
      </c>
      <c r="BA9" s="11">
        <v>15884</v>
      </c>
      <c r="BB9" s="11">
        <v>11684</v>
      </c>
      <c r="BC9" s="11">
        <v>8528</v>
      </c>
      <c r="BD9" s="11">
        <v>6110</v>
      </c>
      <c r="BE9" s="11">
        <v>3917</v>
      </c>
      <c r="BF9" s="11">
        <v>3577</v>
      </c>
    </row>
    <row r="10" spans="1:58">
      <c r="A10" t="s">
        <v>211</v>
      </c>
      <c r="B10" t="s">
        <v>9</v>
      </c>
      <c r="C10" t="s">
        <v>41</v>
      </c>
      <c r="D10" t="s">
        <v>43</v>
      </c>
      <c r="E10" s="11">
        <v>259169</v>
      </c>
      <c r="F10" s="11">
        <v>253535</v>
      </c>
      <c r="G10" s="11">
        <v>512704</v>
      </c>
      <c r="H10" s="11">
        <v>50821</v>
      </c>
      <c r="I10" s="11">
        <v>42030</v>
      </c>
      <c r="J10" s="11">
        <v>28395</v>
      </c>
      <c r="K10" s="11">
        <v>27142</v>
      </c>
      <c r="L10" s="11">
        <v>22725</v>
      </c>
      <c r="M10" s="11">
        <v>18239</v>
      </c>
      <c r="N10" s="11">
        <v>14661</v>
      </c>
      <c r="O10" s="11">
        <v>12215</v>
      </c>
      <c r="P10" s="11">
        <v>10974</v>
      </c>
      <c r="Q10" s="11">
        <v>9345</v>
      </c>
      <c r="R10" s="11">
        <v>7118</v>
      </c>
      <c r="S10" s="11">
        <v>5340</v>
      </c>
      <c r="T10" s="11">
        <v>3798</v>
      </c>
      <c r="U10" s="11">
        <v>2642</v>
      </c>
      <c r="V10" s="11">
        <v>1778</v>
      </c>
      <c r="W10" s="11">
        <v>1082</v>
      </c>
      <c r="X10" s="11">
        <v>864</v>
      </c>
      <c r="Y10" s="11">
        <v>53095</v>
      </c>
      <c r="Z10" s="11">
        <v>43839</v>
      </c>
      <c r="AA10" s="11">
        <v>30669</v>
      </c>
      <c r="AB10" s="11">
        <v>29491</v>
      </c>
      <c r="AC10" s="11">
        <v>23628</v>
      </c>
      <c r="AD10" s="11">
        <v>17283</v>
      </c>
      <c r="AE10" s="11">
        <v>10471</v>
      </c>
      <c r="AF10" s="11">
        <v>7308</v>
      </c>
      <c r="AG10" s="11">
        <v>6923</v>
      </c>
      <c r="AH10" s="11">
        <v>6446</v>
      </c>
      <c r="AI10" s="11">
        <v>6243</v>
      </c>
      <c r="AJ10" s="11">
        <v>5485</v>
      </c>
      <c r="AK10" s="11">
        <v>4151</v>
      </c>
      <c r="AL10" s="11">
        <v>3171</v>
      </c>
      <c r="AM10" s="11">
        <v>2489</v>
      </c>
      <c r="AN10" s="11">
        <v>1625</v>
      </c>
      <c r="AO10" s="11">
        <v>1218</v>
      </c>
      <c r="AP10" s="11">
        <v>103917</v>
      </c>
      <c r="AQ10" s="11">
        <v>85870</v>
      </c>
      <c r="AR10" s="11">
        <v>59064</v>
      </c>
      <c r="AS10" s="11">
        <v>56632</v>
      </c>
      <c r="AT10" s="11">
        <v>46354</v>
      </c>
      <c r="AU10" s="11">
        <v>35522</v>
      </c>
      <c r="AV10" s="11">
        <v>25131</v>
      </c>
      <c r="AW10" s="11">
        <v>19523</v>
      </c>
      <c r="AX10" s="11">
        <v>17893</v>
      </c>
      <c r="AY10" s="11">
        <v>15789</v>
      </c>
      <c r="AZ10" s="11">
        <v>13362</v>
      </c>
      <c r="BA10" s="11">
        <v>10826</v>
      </c>
      <c r="BB10" s="11">
        <v>7949</v>
      </c>
      <c r="BC10" s="11">
        <v>5814</v>
      </c>
      <c r="BD10" s="11">
        <v>4267</v>
      </c>
      <c r="BE10" s="11">
        <v>2709</v>
      </c>
      <c r="BF10" s="11">
        <v>2082</v>
      </c>
    </row>
    <row r="11" spans="1:58">
      <c r="A11" t="s">
        <v>211</v>
      </c>
      <c r="B11" t="s">
        <v>9</v>
      </c>
      <c r="C11" t="s">
        <v>51</v>
      </c>
      <c r="D11" t="s">
        <v>52</v>
      </c>
      <c r="E11" s="11">
        <v>325799</v>
      </c>
      <c r="F11" s="11">
        <v>331366</v>
      </c>
      <c r="G11" s="11">
        <v>657165</v>
      </c>
      <c r="H11" s="11">
        <v>63369</v>
      </c>
      <c r="I11" s="11">
        <v>52030</v>
      </c>
      <c r="J11" s="11">
        <v>40884</v>
      </c>
      <c r="K11" s="11">
        <v>37456</v>
      </c>
      <c r="L11" s="11">
        <v>27906</v>
      </c>
      <c r="M11" s="11">
        <v>21456</v>
      </c>
      <c r="N11" s="11">
        <v>19197</v>
      </c>
      <c r="O11" s="11">
        <v>16330</v>
      </c>
      <c r="P11" s="11">
        <v>12947</v>
      </c>
      <c r="Q11" s="11">
        <v>10285</v>
      </c>
      <c r="R11" s="11">
        <v>7704</v>
      </c>
      <c r="S11" s="11">
        <v>5685</v>
      </c>
      <c r="T11" s="11">
        <v>4045</v>
      </c>
      <c r="U11" s="11">
        <v>2780</v>
      </c>
      <c r="V11" s="11">
        <v>1767</v>
      </c>
      <c r="W11" s="11">
        <v>1044</v>
      </c>
      <c r="X11" s="11">
        <v>911</v>
      </c>
      <c r="Y11" s="11">
        <v>66202</v>
      </c>
      <c r="Z11" s="11">
        <v>54272</v>
      </c>
      <c r="AA11" s="11">
        <v>44193</v>
      </c>
      <c r="AB11" s="11">
        <v>40549</v>
      </c>
      <c r="AC11" s="11">
        <v>29046</v>
      </c>
      <c r="AD11" s="11">
        <v>20443</v>
      </c>
      <c r="AE11" s="11">
        <v>13961</v>
      </c>
      <c r="AF11" s="11">
        <v>10828</v>
      </c>
      <c r="AG11" s="11">
        <v>10598</v>
      </c>
      <c r="AH11" s="11">
        <v>9795</v>
      </c>
      <c r="AI11" s="11">
        <v>8818</v>
      </c>
      <c r="AJ11" s="11">
        <v>7387</v>
      </c>
      <c r="AK11" s="11">
        <v>5407</v>
      </c>
      <c r="AL11" s="11">
        <v>3936</v>
      </c>
      <c r="AM11" s="11">
        <v>2809</v>
      </c>
      <c r="AN11" s="11">
        <v>1747</v>
      </c>
      <c r="AO11" s="11">
        <v>1373</v>
      </c>
      <c r="AP11" s="11">
        <v>129572</v>
      </c>
      <c r="AQ11" s="11">
        <v>106302</v>
      </c>
      <c r="AR11" s="11">
        <v>85077</v>
      </c>
      <c r="AS11" s="11">
        <v>78005</v>
      </c>
      <c r="AT11" s="11">
        <v>56954</v>
      </c>
      <c r="AU11" s="11">
        <v>41895</v>
      </c>
      <c r="AV11" s="11">
        <v>33158</v>
      </c>
      <c r="AW11" s="11">
        <v>27158</v>
      </c>
      <c r="AX11" s="11">
        <v>23545</v>
      </c>
      <c r="AY11" s="11">
        <v>20079</v>
      </c>
      <c r="AZ11" s="11">
        <v>16524</v>
      </c>
      <c r="BA11" s="11">
        <v>13074</v>
      </c>
      <c r="BB11" s="11">
        <v>9452</v>
      </c>
      <c r="BC11" s="11">
        <v>6718</v>
      </c>
      <c r="BD11" s="11">
        <v>4577</v>
      </c>
      <c r="BE11" s="11">
        <v>2790</v>
      </c>
      <c r="BF11" s="11">
        <v>2286</v>
      </c>
    </row>
    <row r="12" spans="1:58">
      <c r="A12" t="s">
        <v>211</v>
      </c>
      <c r="B12" t="s">
        <v>9</v>
      </c>
      <c r="C12" t="s">
        <v>57</v>
      </c>
      <c r="D12" t="s">
        <v>58</v>
      </c>
      <c r="E12" s="11">
        <v>536746</v>
      </c>
      <c r="F12" s="11">
        <v>525707</v>
      </c>
      <c r="G12" s="11">
        <v>1062453</v>
      </c>
      <c r="H12" s="11">
        <v>103762</v>
      </c>
      <c r="I12" s="11">
        <v>85030</v>
      </c>
      <c r="J12" s="11">
        <v>71626</v>
      </c>
      <c r="K12" s="11">
        <v>60821</v>
      </c>
      <c r="L12" s="11">
        <v>45251</v>
      </c>
      <c r="M12" s="11">
        <v>35842</v>
      </c>
      <c r="N12" s="11">
        <v>32055</v>
      </c>
      <c r="O12" s="11">
        <v>26923</v>
      </c>
      <c r="P12" s="11">
        <v>19949</v>
      </c>
      <c r="Q12" s="11">
        <v>15435</v>
      </c>
      <c r="R12" s="11">
        <v>12330</v>
      </c>
      <c r="S12" s="11">
        <v>9524</v>
      </c>
      <c r="T12" s="11">
        <v>6973</v>
      </c>
      <c r="U12" s="11">
        <v>4903</v>
      </c>
      <c r="V12" s="11">
        <v>3162</v>
      </c>
      <c r="W12" s="11">
        <v>1846</v>
      </c>
      <c r="X12" s="11">
        <v>1314</v>
      </c>
      <c r="Y12" s="11">
        <v>108401</v>
      </c>
      <c r="Z12" s="11">
        <v>88689</v>
      </c>
      <c r="AA12" s="11">
        <v>70937</v>
      </c>
      <c r="AB12" s="11">
        <v>59701</v>
      </c>
      <c r="AC12" s="11">
        <v>44980</v>
      </c>
      <c r="AD12" s="11">
        <v>34936</v>
      </c>
      <c r="AE12" s="11">
        <v>27832</v>
      </c>
      <c r="AF12" s="11">
        <v>22308</v>
      </c>
      <c r="AG12" s="11">
        <v>17320</v>
      </c>
      <c r="AH12" s="11">
        <v>13794</v>
      </c>
      <c r="AI12" s="11">
        <v>11139</v>
      </c>
      <c r="AJ12" s="11">
        <v>8790</v>
      </c>
      <c r="AK12" s="11">
        <v>6774</v>
      </c>
      <c r="AL12" s="11">
        <v>4828</v>
      </c>
      <c r="AM12" s="11">
        <v>2711</v>
      </c>
      <c r="AN12" s="11">
        <v>1437</v>
      </c>
      <c r="AO12" s="11">
        <v>1124</v>
      </c>
      <c r="AP12" s="11">
        <v>212164</v>
      </c>
      <c r="AQ12" s="11">
        <v>173718</v>
      </c>
      <c r="AR12" s="11">
        <v>142565</v>
      </c>
      <c r="AS12" s="11">
        <v>120523</v>
      </c>
      <c r="AT12" s="11">
        <v>90231</v>
      </c>
      <c r="AU12" s="11">
        <v>70778</v>
      </c>
      <c r="AV12" s="11">
        <v>59888</v>
      </c>
      <c r="AW12" s="11">
        <v>49230</v>
      </c>
      <c r="AX12" s="11">
        <v>37269</v>
      </c>
      <c r="AY12" s="11">
        <v>29229</v>
      </c>
      <c r="AZ12" s="11">
        <v>23470</v>
      </c>
      <c r="BA12" s="11">
        <v>18314</v>
      </c>
      <c r="BB12" s="11">
        <v>13751</v>
      </c>
      <c r="BC12" s="11">
        <v>9733</v>
      </c>
      <c r="BD12" s="11">
        <v>5873</v>
      </c>
      <c r="BE12" s="11">
        <v>3282</v>
      </c>
      <c r="BF12" s="11">
        <v>2438</v>
      </c>
    </row>
    <row r="13" spans="1:58">
      <c r="A13" t="s">
        <v>211</v>
      </c>
      <c r="B13" t="s">
        <v>9</v>
      </c>
      <c r="C13" t="s">
        <v>67</v>
      </c>
      <c r="D13" t="s">
        <v>68</v>
      </c>
      <c r="E13" s="11">
        <v>602942</v>
      </c>
      <c r="F13" s="11">
        <v>591850</v>
      </c>
      <c r="G13" s="11">
        <v>1194791</v>
      </c>
      <c r="H13" s="11">
        <v>114977</v>
      </c>
      <c r="I13" s="11">
        <v>94988</v>
      </c>
      <c r="J13" s="11">
        <v>83855</v>
      </c>
      <c r="K13" s="11">
        <v>71253</v>
      </c>
      <c r="L13" s="11">
        <v>49483</v>
      </c>
      <c r="M13" s="11">
        <v>37764</v>
      </c>
      <c r="N13" s="11">
        <v>35780</v>
      </c>
      <c r="O13" s="11">
        <v>30936</v>
      </c>
      <c r="P13" s="11">
        <v>23505</v>
      </c>
      <c r="Q13" s="11">
        <v>18178</v>
      </c>
      <c r="R13" s="11">
        <v>13480</v>
      </c>
      <c r="S13" s="11">
        <v>9900</v>
      </c>
      <c r="T13" s="11">
        <v>7124</v>
      </c>
      <c r="U13" s="11">
        <v>4972</v>
      </c>
      <c r="V13" s="11">
        <v>3307</v>
      </c>
      <c r="W13" s="11">
        <v>1977</v>
      </c>
      <c r="X13" s="11">
        <v>1462</v>
      </c>
      <c r="Y13" s="11">
        <v>120118</v>
      </c>
      <c r="Z13" s="11">
        <v>99078</v>
      </c>
      <c r="AA13" s="11">
        <v>83702</v>
      </c>
      <c r="AB13" s="11">
        <v>70909</v>
      </c>
      <c r="AC13" s="11">
        <v>50355</v>
      </c>
      <c r="AD13" s="11">
        <v>37208</v>
      </c>
      <c r="AE13" s="11">
        <v>28715</v>
      </c>
      <c r="AF13" s="11">
        <v>23155</v>
      </c>
      <c r="AG13" s="11">
        <v>20011</v>
      </c>
      <c r="AH13" s="11">
        <v>16813</v>
      </c>
      <c r="AI13" s="11">
        <v>13318</v>
      </c>
      <c r="AJ13" s="11">
        <v>10264</v>
      </c>
      <c r="AK13" s="11">
        <v>7406</v>
      </c>
      <c r="AL13" s="11">
        <v>5073</v>
      </c>
      <c r="AM13" s="11">
        <v>2899</v>
      </c>
      <c r="AN13" s="11">
        <v>1556</v>
      </c>
      <c r="AO13" s="11">
        <v>1265</v>
      </c>
      <c r="AP13" s="11">
        <v>235093</v>
      </c>
      <c r="AQ13" s="11">
        <v>194064</v>
      </c>
      <c r="AR13" s="11">
        <v>167559</v>
      </c>
      <c r="AS13" s="11">
        <v>142162</v>
      </c>
      <c r="AT13" s="11">
        <v>99840</v>
      </c>
      <c r="AU13" s="11">
        <v>74974</v>
      </c>
      <c r="AV13" s="11">
        <v>64495</v>
      </c>
      <c r="AW13" s="11">
        <v>54094</v>
      </c>
      <c r="AX13" s="11">
        <v>43519</v>
      </c>
      <c r="AY13" s="11">
        <v>34989</v>
      </c>
      <c r="AZ13" s="11">
        <v>26798</v>
      </c>
      <c r="BA13" s="11">
        <v>20165</v>
      </c>
      <c r="BB13" s="11">
        <v>14529</v>
      </c>
      <c r="BC13" s="11">
        <v>10046</v>
      </c>
      <c r="BD13" s="11">
        <v>6207</v>
      </c>
      <c r="BE13" s="11">
        <v>3532</v>
      </c>
      <c r="BF13" s="11">
        <v>2729</v>
      </c>
    </row>
    <row r="14" spans="1:58">
      <c r="A14" t="s">
        <v>211</v>
      </c>
      <c r="B14" t="s">
        <v>9</v>
      </c>
      <c r="C14" t="s">
        <v>81</v>
      </c>
      <c r="D14" t="s">
        <v>82</v>
      </c>
      <c r="E14" s="11">
        <v>481801</v>
      </c>
      <c r="F14" s="11">
        <v>473403</v>
      </c>
      <c r="G14" s="11">
        <v>955205</v>
      </c>
      <c r="H14" s="11">
        <v>90376</v>
      </c>
      <c r="I14" s="11">
        <v>75712</v>
      </c>
      <c r="J14" s="11">
        <v>64846</v>
      </c>
      <c r="K14" s="11">
        <v>57073</v>
      </c>
      <c r="L14" s="11">
        <v>38493</v>
      </c>
      <c r="M14" s="11">
        <v>28450</v>
      </c>
      <c r="N14" s="11">
        <v>28007</v>
      </c>
      <c r="O14" s="11">
        <v>24925</v>
      </c>
      <c r="P14" s="11">
        <v>19926</v>
      </c>
      <c r="Q14" s="11">
        <v>15959</v>
      </c>
      <c r="R14" s="11">
        <v>11969</v>
      </c>
      <c r="S14" s="11">
        <v>8893</v>
      </c>
      <c r="T14" s="11">
        <v>6440</v>
      </c>
      <c r="U14" s="11">
        <v>4528</v>
      </c>
      <c r="V14" s="11">
        <v>3061</v>
      </c>
      <c r="W14" s="11">
        <v>1839</v>
      </c>
      <c r="X14" s="11">
        <v>1307</v>
      </c>
      <c r="Y14" s="11">
        <v>94418</v>
      </c>
      <c r="Z14" s="11">
        <v>78973</v>
      </c>
      <c r="AA14" s="11">
        <v>65917</v>
      </c>
      <c r="AB14" s="11">
        <v>58711</v>
      </c>
      <c r="AC14" s="11">
        <v>41942</v>
      </c>
      <c r="AD14" s="11">
        <v>30166</v>
      </c>
      <c r="AE14" s="11">
        <v>22266</v>
      </c>
      <c r="AF14" s="11">
        <v>17575</v>
      </c>
      <c r="AG14" s="11">
        <v>15603</v>
      </c>
      <c r="AH14" s="11">
        <v>13344</v>
      </c>
      <c r="AI14" s="11">
        <v>10766</v>
      </c>
      <c r="AJ14" s="11">
        <v>8405</v>
      </c>
      <c r="AK14" s="11">
        <v>6075</v>
      </c>
      <c r="AL14" s="11">
        <v>4206</v>
      </c>
      <c r="AM14" s="11">
        <v>2505</v>
      </c>
      <c r="AN14" s="11">
        <v>1396</v>
      </c>
      <c r="AO14" s="11">
        <v>1137</v>
      </c>
      <c r="AP14" s="11">
        <v>184793</v>
      </c>
      <c r="AQ14" s="11">
        <v>154687</v>
      </c>
      <c r="AR14" s="11">
        <v>130762</v>
      </c>
      <c r="AS14" s="11">
        <v>115782</v>
      </c>
      <c r="AT14" s="11">
        <v>80434</v>
      </c>
      <c r="AU14" s="11">
        <v>58617</v>
      </c>
      <c r="AV14" s="11">
        <v>50274</v>
      </c>
      <c r="AW14" s="11">
        <v>42499</v>
      </c>
      <c r="AX14" s="11">
        <v>35529</v>
      </c>
      <c r="AY14" s="11">
        <v>29303</v>
      </c>
      <c r="AZ14" s="11">
        <v>22733</v>
      </c>
      <c r="BA14" s="11">
        <v>17297</v>
      </c>
      <c r="BB14" s="11">
        <v>12515</v>
      </c>
      <c r="BC14" s="11">
        <v>8734</v>
      </c>
      <c r="BD14" s="11">
        <v>5566</v>
      </c>
      <c r="BE14" s="11">
        <v>3233</v>
      </c>
      <c r="BF14" s="11">
        <v>2444</v>
      </c>
    </row>
    <row r="15" spans="1:58">
      <c r="A15" t="s">
        <v>211</v>
      </c>
      <c r="B15" t="s">
        <v>9</v>
      </c>
      <c r="C15" t="s">
        <v>89</v>
      </c>
      <c r="D15" t="s">
        <v>90</v>
      </c>
      <c r="E15" s="11">
        <v>601885</v>
      </c>
      <c r="F15" s="11">
        <v>578016</v>
      </c>
      <c r="G15" s="11">
        <v>1179900</v>
      </c>
      <c r="H15" s="11">
        <v>116359</v>
      </c>
      <c r="I15" s="11">
        <v>93914</v>
      </c>
      <c r="J15" s="11">
        <v>75531</v>
      </c>
      <c r="K15" s="11">
        <v>68880</v>
      </c>
      <c r="L15" s="11">
        <v>52679</v>
      </c>
      <c r="M15" s="11">
        <v>40895</v>
      </c>
      <c r="N15" s="11">
        <v>34505</v>
      </c>
      <c r="O15" s="11">
        <v>28481</v>
      </c>
      <c r="P15" s="11">
        <v>22278</v>
      </c>
      <c r="Q15" s="11">
        <v>17862</v>
      </c>
      <c r="R15" s="11">
        <v>14194</v>
      </c>
      <c r="S15" s="11">
        <v>11176</v>
      </c>
      <c r="T15" s="11">
        <v>8747</v>
      </c>
      <c r="U15" s="11">
        <v>6562</v>
      </c>
      <c r="V15" s="11">
        <v>4617</v>
      </c>
      <c r="W15" s="11">
        <v>2902</v>
      </c>
      <c r="X15" s="11">
        <v>2307</v>
      </c>
      <c r="Y15" s="11">
        <v>121561</v>
      </c>
      <c r="Z15" s="11">
        <v>97958</v>
      </c>
      <c r="AA15" s="11">
        <v>75806</v>
      </c>
      <c r="AB15" s="11">
        <v>68276</v>
      </c>
      <c r="AC15" s="11">
        <v>51687</v>
      </c>
      <c r="AD15" s="11">
        <v>38377</v>
      </c>
      <c r="AE15" s="11">
        <v>27506</v>
      </c>
      <c r="AF15" s="11">
        <v>20926</v>
      </c>
      <c r="AG15" s="11">
        <v>17308</v>
      </c>
      <c r="AH15" s="11">
        <v>14426</v>
      </c>
      <c r="AI15" s="11">
        <v>12047</v>
      </c>
      <c r="AJ15" s="11">
        <v>9807</v>
      </c>
      <c r="AK15" s="11">
        <v>7577</v>
      </c>
      <c r="AL15" s="11">
        <v>5702</v>
      </c>
      <c r="AM15" s="11">
        <v>3913</v>
      </c>
      <c r="AN15" s="11">
        <v>2534</v>
      </c>
      <c r="AO15" s="11">
        <v>2603</v>
      </c>
      <c r="AP15" s="11">
        <v>237921</v>
      </c>
      <c r="AQ15" s="11">
        <v>191872</v>
      </c>
      <c r="AR15" s="11">
        <v>151337</v>
      </c>
      <c r="AS15" s="11">
        <v>137155</v>
      </c>
      <c r="AT15" s="11">
        <v>104366</v>
      </c>
      <c r="AU15" s="11">
        <v>79272</v>
      </c>
      <c r="AV15" s="11">
        <v>62009</v>
      </c>
      <c r="AW15" s="11">
        <v>49410</v>
      </c>
      <c r="AX15" s="11">
        <v>39586</v>
      </c>
      <c r="AY15" s="11">
        <v>32289</v>
      </c>
      <c r="AZ15" s="11">
        <v>26240</v>
      </c>
      <c r="BA15" s="11">
        <v>20984</v>
      </c>
      <c r="BB15" s="11">
        <v>16324</v>
      </c>
      <c r="BC15" s="11">
        <v>12264</v>
      </c>
      <c r="BD15" s="11">
        <v>8529</v>
      </c>
      <c r="BE15" s="11">
        <v>5434</v>
      </c>
      <c r="BF15" s="11">
        <v>4910</v>
      </c>
    </row>
    <row r="16" spans="1:58">
      <c r="A16" t="s">
        <v>211</v>
      </c>
      <c r="B16" t="s">
        <v>9</v>
      </c>
      <c r="C16" t="s">
        <v>99</v>
      </c>
      <c r="D16" t="s">
        <v>100</v>
      </c>
      <c r="E16" s="11">
        <v>440339</v>
      </c>
      <c r="F16" s="11">
        <v>429551</v>
      </c>
      <c r="G16" s="11">
        <v>869891</v>
      </c>
      <c r="H16" s="11">
        <v>86644</v>
      </c>
      <c r="I16" s="11">
        <v>69799</v>
      </c>
      <c r="J16" s="11">
        <v>56843</v>
      </c>
      <c r="K16" s="11">
        <v>50576</v>
      </c>
      <c r="L16" s="11">
        <v>38732</v>
      </c>
      <c r="M16" s="11">
        <v>30515</v>
      </c>
      <c r="N16" s="11">
        <v>26460</v>
      </c>
      <c r="O16" s="11">
        <v>21749</v>
      </c>
      <c r="P16" s="11">
        <v>15763</v>
      </c>
      <c r="Q16" s="11">
        <v>11951</v>
      </c>
      <c r="R16" s="11">
        <v>9370</v>
      </c>
      <c r="S16" s="11">
        <v>7164</v>
      </c>
      <c r="T16" s="11">
        <v>5194</v>
      </c>
      <c r="U16" s="11">
        <v>3724</v>
      </c>
      <c r="V16" s="11">
        <v>2631</v>
      </c>
      <c r="W16" s="11">
        <v>1685</v>
      </c>
      <c r="X16" s="11">
        <v>1541</v>
      </c>
      <c r="Y16" s="11">
        <v>90517</v>
      </c>
      <c r="Z16" s="11">
        <v>72806</v>
      </c>
      <c r="AA16" s="11">
        <v>56581</v>
      </c>
      <c r="AB16" s="11">
        <v>49748</v>
      </c>
      <c r="AC16" s="11">
        <v>38795</v>
      </c>
      <c r="AD16" s="11">
        <v>29792</v>
      </c>
      <c r="AE16" s="11">
        <v>21645</v>
      </c>
      <c r="AF16" s="11">
        <v>16432</v>
      </c>
      <c r="AG16" s="11">
        <v>12931</v>
      </c>
      <c r="AH16" s="11">
        <v>10444</v>
      </c>
      <c r="AI16" s="11">
        <v>8778</v>
      </c>
      <c r="AJ16" s="11">
        <v>7030</v>
      </c>
      <c r="AK16" s="11">
        <v>5115</v>
      </c>
      <c r="AL16" s="11">
        <v>3648</v>
      </c>
      <c r="AM16" s="11">
        <v>2351</v>
      </c>
      <c r="AN16" s="11">
        <v>1449</v>
      </c>
      <c r="AO16" s="11">
        <v>1488</v>
      </c>
      <c r="AP16" s="11">
        <v>177160</v>
      </c>
      <c r="AQ16" s="11">
        <v>142604</v>
      </c>
      <c r="AR16" s="11">
        <v>113424</v>
      </c>
      <c r="AS16" s="11">
        <v>100324</v>
      </c>
      <c r="AT16" s="11">
        <v>77526</v>
      </c>
      <c r="AU16" s="11">
        <v>60307</v>
      </c>
      <c r="AV16" s="11">
        <v>48105</v>
      </c>
      <c r="AW16" s="11">
        <v>38180</v>
      </c>
      <c r="AX16" s="11">
        <v>28694</v>
      </c>
      <c r="AY16" s="11">
        <v>22395</v>
      </c>
      <c r="AZ16" s="11">
        <v>18146</v>
      </c>
      <c r="BA16" s="11">
        <v>14196</v>
      </c>
      <c r="BB16" s="11">
        <v>10309</v>
      </c>
      <c r="BC16" s="11">
        <v>7371</v>
      </c>
      <c r="BD16" s="11">
        <v>4981</v>
      </c>
      <c r="BE16" s="11">
        <v>3133</v>
      </c>
      <c r="BF16" s="11">
        <v>3027</v>
      </c>
    </row>
    <row r="17" spans="1:58">
      <c r="A17" t="s">
        <v>211</v>
      </c>
      <c r="B17" t="s">
        <v>9</v>
      </c>
      <c r="C17" t="s">
        <v>105</v>
      </c>
      <c r="D17" t="s">
        <v>106</v>
      </c>
      <c r="E17" s="11">
        <v>450748</v>
      </c>
      <c r="F17" s="11">
        <v>452461</v>
      </c>
      <c r="G17" s="11">
        <v>903210</v>
      </c>
      <c r="H17" s="11">
        <v>87706</v>
      </c>
      <c r="I17" s="11">
        <v>72430</v>
      </c>
      <c r="J17" s="11">
        <v>57375</v>
      </c>
      <c r="K17" s="11">
        <v>50607</v>
      </c>
      <c r="L17" s="11">
        <v>38168</v>
      </c>
      <c r="M17" s="11">
        <v>30020</v>
      </c>
      <c r="N17" s="11">
        <v>26775</v>
      </c>
      <c r="O17" s="11">
        <v>22737</v>
      </c>
      <c r="P17" s="11">
        <v>17991</v>
      </c>
      <c r="Q17" s="11">
        <v>14232</v>
      </c>
      <c r="R17" s="11">
        <v>10543</v>
      </c>
      <c r="S17" s="11">
        <v>7714</v>
      </c>
      <c r="T17" s="11">
        <v>5419</v>
      </c>
      <c r="U17" s="11">
        <v>3740</v>
      </c>
      <c r="V17" s="11">
        <v>2545</v>
      </c>
      <c r="W17" s="11">
        <v>1550</v>
      </c>
      <c r="X17" s="11">
        <v>1196</v>
      </c>
      <c r="Y17" s="11">
        <v>91628</v>
      </c>
      <c r="Z17" s="11">
        <v>75550</v>
      </c>
      <c r="AA17" s="11">
        <v>58829</v>
      </c>
      <c r="AB17" s="11">
        <v>52065</v>
      </c>
      <c r="AC17" s="11">
        <v>39449</v>
      </c>
      <c r="AD17" s="11">
        <v>29912</v>
      </c>
      <c r="AE17" s="11">
        <v>22757</v>
      </c>
      <c r="AF17" s="11">
        <v>18125</v>
      </c>
      <c r="AG17" s="11">
        <v>15150</v>
      </c>
      <c r="AH17" s="11">
        <v>12801</v>
      </c>
      <c r="AI17" s="11">
        <v>11136</v>
      </c>
      <c r="AJ17" s="11">
        <v>9010</v>
      </c>
      <c r="AK17" s="11">
        <v>6371</v>
      </c>
      <c r="AL17" s="11">
        <v>4368</v>
      </c>
      <c r="AM17" s="11">
        <v>2658</v>
      </c>
      <c r="AN17" s="11">
        <v>1489</v>
      </c>
      <c r="AO17" s="11">
        <v>1164</v>
      </c>
      <c r="AP17" s="11">
        <v>179334</v>
      </c>
      <c r="AQ17" s="11">
        <v>147979</v>
      </c>
      <c r="AR17" s="11">
        <v>116202</v>
      </c>
      <c r="AS17" s="11">
        <v>102672</v>
      </c>
      <c r="AT17" s="11">
        <v>77616</v>
      </c>
      <c r="AU17" s="11">
        <v>59933</v>
      </c>
      <c r="AV17" s="11">
        <v>49534</v>
      </c>
      <c r="AW17" s="11">
        <v>40861</v>
      </c>
      <c r="AX17" s="11">
        <v>33140</v>
      </c>
      <c r="AY17" s="11">
        <v>27032</v>
      </c>
      <c r="AZ17" s="11">
        <v>21677</v>
      </c>
      <c r="BA17" s="11">
        <v>16726</v>
      </c>
      <c r="BB17" s="11">
        <v>11789</v>
      </c>
      <c r="BC17" s="11">
        <v>8111</v>
      </c>
      <c r="BD17" s="11">
        <v>5203</v>
      </c>
      <c r="BE17" s="11">
        <v>3038</v>
      </c>
      <c r="BF17" s="11">
        <v>2359</v>
      </c>
    </row>
    <row r="18" spans="1:58">
      <c r="A18" t="s">
        <v>211</v>
      </c>
      <c r="B18" t="s">
        <v>9</v>
      </c>
      <c r="C18" t="s">
        <v>137</v>
      </c>
      <c r="D18" t="s">
        <v>138</v>
      </c>
      <c r="E18" s="11">
        <v>821121</v>
      </c>
      <c r="F18" s="11">
        <v>817268</v>
      </c>
      <c r="G18" s="11">
        <v>1638389</v>
      </c>
      <c r="H18" s="11">
        <v>158183</v>
      </c>
      <c r="I18" s="11">
        <v>129692</v>
      </c>
      <c r="J18" s="11">
        <v>106818</v>
      </c>
      <c r="K18" s="11">
        <v>95046</v>
      </c>
      <c r="L18" s="11">
        <v>69688</v>
      </c>
      <c r="M18" s="11">
        <v>53629</v>
      </c>
      <c r="N18" s="11">
        <v>48087</v>
      </c>
      <c r="O18" s="11">
        <v>40822</v>
      </c>
      <c r="P18" s="11">
        <v>31853</v>
      </c>
      <c r="Q18" s="11">
        <v>25176</v>
      </c>
      <c r="R18" s="11">
        <v>19174</v>
      </c>
      <c r="S18" s="11">
        <v>14373</v>
      </c>
      <c r="T18" s="11">
        <v>10287</v>
      </c>
      <c r="U18" s="11">
        <v>7275</v>
      </c>
      <c r="V18" s="11">
        <v>5119</v>
      </c>
      <c r="W18" s="11">
        <v>3217</v>
      </c>
      <c r="X18" s="11">
        <v>2684</v>
      </c>
      <c r="Y18" s="11">
        <v>170525</v>
      </c>
      <c r="Z18" s="11">
        <v>127309</v>
      </c>
      <c r="AA18" s="11">
        <v>111560</v>
      </c>
      <c r="AB18" s="11">
        <v>99038</v>
      </c>
      <c r="AC18" s="11">
        <v>73002</v>
      </c>
      <c r="AD18" s="11">
        <v>53643</v>
      </c>
      <c r="AE18" s="11">
        <v>38895</v>
      </c>
      <c r="AF18" s="11">
        <v>30233</v>
      </c>
      <c r="AG18" s="11">
        <v>26257</v>
      </c>
      <c r="AH18" s="11">
        <v>22436</v>
      </c>
      <c r="AI18" s="11">
        <v>18753</v>
      </c>
      <c r="AJ18" s="11">
        <v>15075</v>
      </c>
      <c r="AK18" s="11">
        <v>11146</v>
      </c>
      <c r="AL18" s="11">
        <v>8028</v>
      </c>
      <c r="AM18" s="11">
        <v>5278</v>
      </c>
      <c r="AN18" s="11">
        <v>3203</v>
      </c>
      <c r="AO18" s="11">
        <v>2886</v>
      </c>
      <c r="AP18" s="11">
        <v>326097</v>
      </c>
      <c r="AQ18" s="11">
        <v>267145</v>
      </c>
      <c r="AR18" s="11">
        <v>216697</v>
      </c>
      <c r="AS18" s="11">
        <v>192593</v>
      </c>
      <c r="AT18" s="11">
        <v>141589</v>
      </c>
      <c r="AU18" s="11">
        <v>106483</v>
      </c>
      <c r="AV18" s="11">
        <v>86485</v>
      </c>
      <c r="AW18" s="11">
        <v>70697</v>
      </c>
      <c r="AX18" s="11">
        <v>57770</v>
      </c>
      <c r="AY18" s="11">
        <v>47304</v>
      </c>
      <c r="AZ18" s="11">
        <v>37654</v>
      </c>
      <c r="BA18" s="11">
        <v>29221</v>
      </c>
      <c r="BB18" s="11">
        <v>21261</v>
      </c>
      <c r="BC18" s="11">
        <v>15178</v>
      </c>
      <c r="BD18" s="11">
        <v>10319</v>
      </c>
      <c r="BE18" s="11">
        <v>6373</v>
      </c>
      <c r="BF18" s="11">
        <v>5526</v>
      </c>
    </row>
    <row r="19" spans="1:58">
      <c r="A19" t="s">
        <v>211</v>
      </c>
      <c r="B19" t="s">
        <v>9</v>
      </c>
      <c r="C19" t="s">
        <v>202</v>
      </c>
      <c r="D19" t="s">
        <v>111</v>
      </c>
      <c r="E19" s="11">
        <v>557777</v>
      </c>
      <c r="F19" s="11">
        <v>542143</v>
      </c>
      <c r="G19" s="11">
        <v>1099920</v>
      </c>
      <c r="H19" s="11">
        <v>107071</v>
      </c>
      <c r="I19" s="11">
        <v>89299</v>
      </c>
      <c r="J19" s="11">
        <v>70052</v>
      </c>
      <c r="K19" s="11">
        <v>63815</v>
      </c>
      <c r="L19" s="11">
        <v>46086</v>
      </c>
      <c r="M19" s="11">
        <v>35019</v>
      </c>
      <c r="N19" s="11">
        <v>32858</v>
      </c>
      <c r="O19" s="11">
        <v>28696</v>
      </c>
      <c r="P19" s="11">
        <v>23196</v>
      </c>
      <c r="Q19" s="11">
        <v>18559</v>
      </c>
      <c r="R19" s="11">
        <v>13693</v>
      </c>
      <c r="S19" s="11">
        <v>9923</v>
      </c>
      <c r="T19" s="11">
        <v>6534</v>
      </c>
      <c r="U19" s="11">
        <v>4502</v>
      </c>
      <c r="V19" s="11">
        <v>3580</v>
      </c>
      <c r="W19" s="11">
        <v>2458</v>
      </c>
      <c r="X19" s="11">
        <v>2436</v>
      </c>
      <c r="Y19" s="11">
        <v>111857</v>
      </c>
      <c r="Z19" s="11">
        <v>93145</v>
      </c>
      <c r="AA19" s="11">
        <v>71515</v>
      </c>
      <c r="AB19" s="11">
        <v>65379</v>
      </c>
      <c r="AC19" s="11">
        <v>47243</v>
      </c>
      <c r="AD19" s="11">
        <v>33387</v>
      </c>
      <c r="AE19" s="11">
        <v>23179</v>
      </c>
      <c r="AF19" s="11">
        <v>18029</v>
      </c>
      <c r="AG19" s="11">
        <v>17378</v>
      </c>
      <c r="AH19" s="11">
        <v>15675</v>
      </c>
      <c r="AI19" s="11">
        <v>13486</v>
      </c>
      <c r="AJ19" s="11">
        <v>10841</v>
      </c>
      <c r="AK19" s="11">
        <v>7248</v>
      </c>
      <c r="AL19" s="11">
        <v>5053</v>
      </c>
      <c r="AM19" s="11">
        <v>3838</v>
      </c>
      <c r="AN19" s="11">
        <v>2527</v>
      </c>
      <c r="AO19" s="11">
        <v>2360</v>
      </c>
      <c r="AP19" s="11">
        <v>218928</v>
      </c>
      <c r="AQ19" s="11">
        <v>182441</v>
      </c>
      <c r="AR19" s="11">
        <v>141567</v>
      </c>
      <c r="AS19" s="11">
        <v>129192</v>
      </c>
      <c r="AT19" s="11">
        <v>93329</v>
      </c>
      <c r="AU19" s="11">
        <v>68408</v>
      </c>
      <c r="AV19" s="11">
        <v>56037</v>
      </c>
      <c r="AW19" s="11">
        <v>46726</v>
      </c>
      <c r="AX19" s="11">
        <v>40572</v>
      </c>
      <c r="AY19" s="11">
        <v>34235</v>
      </c>
      <c r="AZ19" s="11">
        <v>27179</v>
      </c>
      <c r="BA19" s="11">
        <v>20765</v>
      </c>
      <c r="BB19" s="11">
        <v>13782</v>
      </c>
      <c r="BC19" s="11">
        <v>9555</v>
      </c>
      <c r="BD19" s="11">
        <v>7420</v>
      </c>
      <c r="BE19" s="11">
        <v>4986</v>
      </c>
      <c r="BF19" s="11">
        <v>4799</v>
      </c>
    </row>
    <row r="20" spans="1:58">
      <c r="A20" t="s">
        <v>211</v>
      </c>
      <c r="B20" t="s">
        <v>9</v>
      </c>
      <c r="C20" t="s">
        <v>118</v>
      </c>
      <c r="D20" t="s">
        <v>119</v>
      </c>
      <c r="E20" s="11">
        <v>234442</v>
      </c>
      <c r="F20" s="11">
        <v>229109</v>
      </c>
      <c r="G20" s="11">
        <v>463552</v>
      </c>
      <c r="H20" s="11">
        <v>45429</v>
      </c>
      <c r="I20" s="11">
        <v>37671</v>
      </c>
      <c r="J20" s="11">
        <v>30105</v>
      </c>
      <c r="K20" s="11">
        <v>26997</v>
      </c>
      <c r="L20" s="11">
        <v>19438</v>
      </c>
      <c r="M20" s="11">
        <v>14894</v>
      </c>
      <c r="N20" s="11">
        <v>14274</v>
      </c>
      <c r="O20" s="11">
        <v>12373</v>
      </c>
      <c r="P20" s="11">
        <v>9322</v>
      </c>
      <c r="Q20" s="11">
        <v>7139</v>
      </c>
      <c r="R20" s="11">
        <v>5190</v>
      </c>
      <c r="S20" s="11">
        <v>3762</v>
      </c>
      <c r="T20" s="11">
        <v>2651</v>
      </c>
      <c r="U20" s="11">
        <v>1894</v>
      </c>
      <c r="V20" s="11">
        <v>1441</v>
      </c>
      <c r="W20" s="11">
        <v>957</v>
      </c>
      <c r="X20" s="11">
        <v>903</v>
      </c>
      <c r="Y20" s="11">
        <v>47461</v>
      </c>
      <c r="Z20" s="11">
        <v>39296</v>
      </c>
      <c r="AA20" s="11">
        <v>31648</v>
      </c>
      <c r="AB20" s="11">
        <v>28477</v>
      </c>
      <c r="AC20" s="11">
        <v>19869</v>
      </c>
      <c r="AD20" s="11">
        <v>13754</v>
      </c>
      <c r="AE20" s="11">
        <v>9588</v>
      </c>
      <c r="AF20" s="11">
        <v>7422</v>
      </c>
      <c r="AG20" s="11">
        <v>7033</v>
      </c>
      <c r="AH20" s="11">
        <v>6274</v>
      </c>
      <c r="AI20" s="11">
        <v>5270</v>
      </c>
      <c r="AJ20" s="11">
        <v>4241</v>
      </c>
      <c r="AK20" s="11">
        <v>3039</v>
      </c>
      <c r="AL20" s="11">
        <v>2195</v>
      </c>
      <c r="AM20" s="11">
        <v>1589</v>
      </c>
      <c r="AN20" s="11">
        <v>1017</v>
      </c>
      <c r="AO20" s="11">
        <v>936</v>
      </c>
      <c r="AP20" s="11">
        <v>92890</v>
      </c>
      <c r="AQ20" s="11">
        <v>76968</v>
      </c>
      <c r="AR20" s="11">
        <v>61756</v>
      </c>
      <c r="AS20" s="11">
        <v>55474</v>
      </c>
      <c r="AT20" s="11">
        <v>39306</v>
      </c>
      <c r="AU20" s="11">
        <v>28649</v>
      </c>
      <c r="AV20" s="11">
        <v>23862</v>
      </c>
      <c r="AW20" s="11">
        <v>19794</v>
      </c>
      <c r="AX20" s="11">
        <v>16356</v>
      </c>
      <c r="AY20" s="11">
        <v>13414</v>
      </c>
      <c r="AZ20" s="11">
        <v>10460</v>
      </c>
      <c r="BA20" s="11">
        <v>8003</v>
      </c>
      <c r="BB20" s="11">
        <v>5691</v>
      </c>
      <c r="BC20" s="11">
        <v>4090</v>
      </c>
      <c r="BD20" s="11">
        <v>3029</v>
      </c>
      <c r="BE20" s="11">
        <v>1976</v>
      </c>
      <c r="BF20" s="11">
        <v>1839</v>
      </c>
    </row>
    <row r="21" spans="1:58">
      <c r="A21" t="s">
        <v>211</v>
      </c>
      <c r="B21" t="s">
        <v>9</v>
      </c>
      <c r="C21" t="s">
        <v>153</v>
      </c>
      <c r="D21" t="s">
        <v>154</v>
      </c>
      <c r="E21" s="11">
        <v>289809</v>
      </c>
      <c r="F21" s="11">
        <v>290239</v>
      </c>
      <c r="G21" s="11">
        <v>580047</v>
      </c>
      <c r="H21" s="11">
        <v>54439</v>
      </c>
      <c r="I21" s="11">
        <v>44726</v>
      </c>
      <c r="J21" s="11">
        <v>38377</v>
      </c>
      <c r="K21" s="11">
        <v>36667</v>
      </c>
      <c r="L21" s="11">
        <v>25709</v>
      </c>
      <c r="M21" s="11">
        <v>18428</v>
      </c>
      <c r="N21" s="11">
        <v>15757</v>
      </c>
      <c r="O21" s="11">
        <v>13417</v>
      </c>
      <c r="P21" s="11">
        <v>11920</v>
      </c>
      <c r="Q21" s="11">
        <v>9894</v>
      </c>
      <c r="R21" s="11">
        <v>6930</v>
      </c>
      <c r="S21" s="11">
        <v>4807</v>
      </c>
      <c r="T21" s="11">
        <v>3025</v>
      </c>
      <c r="U21" s="11">
        <v>2004</v>
      </c>
      <c r="V21" s="11">
        <v>1639</v>
      </c>
      <c r="W21" s="11">
        <v>1108</v>
      </c>
      <c r="X21" s="11">
        <v>961</v>
      </c>
      <c r="Y21" s="11">
        <v>56873</v>
      </c>
      <c r="Z21" s="11">
        <v>46652</v>
      </c>
      <c r="AA21" s="11">
        <v>44197</v>
      </c>
      <c r="AB21" s="11">
        <v>40240</v>
      </c>
      <c r="AC21" s="11">
        <v>26908</v>
      </c>
      <c r="AD21" s="11">
        <v>17603</v>
      </c>
      <c r="AE21" s="11">
        <v>10409</v>
      </c>
      <c r="AF21" s="11">
        <v>7439</v>
      </c>
      <c r="AG21" s="11">
        <v>8364</v>
      </c>
      <c r="AH21" s="11">
        <v>8082</v>
      </c>
      <c r="AI21" s="11">
        <v>7238</v>
      </c>
      <c r="AJ21" s="11">
        <v>5899</v>
      </c>
      <c r="AK21" s="11">
        <v>3830</v>
      </c>
      <c r="AL21" s="11">
        <v>2562</v>
      </c>
      <c r="AM21" s="11">
        <v>1827</v>
      </c>
      <c r="AN21" s="11">
        <v>1144</v>
      </c>
      <c r="AO21" s="11">
        <v>972</v>
      </c>
      <c r="AP21" s="11">
        <v>111311</v>
      </c>
      <c r="AQ21" s="11">
        <v>91379</v>
      </c>
      <c r="AR21" s="11">
        <v>82574</v>
      </c>
      <c r="AS21" s="11">
        <v>76908</v>
      </c>
      <c r="AT21" s="11">
        <v>52618</v>
      </c>
      <c r="AU21" s="11">
        <v>36031</v>
      </c>
      <c r="AV21" s="11">
        <v>26167</v>
      </c>
      <c r="AW21" s="11">
        <v>20858</v>
      </c>
      <c r="AX21" s="11">
        <v>20283</v>
      </c>
      <c r="AY21" s="11">
        <v>17976</v>
      </c>
      <c r="AZ21" s="11">
        <v>14168</v>
      </c>
      <c r="BA21" s="11">
        <v>10706</v>
      </c>
      <c r="BB21" s="11">
        <v>6856</v>
      </c>
      <c r="BC21" s="11">
        <v>4565</v>
      </c>
      <c r="BD21" s="11">
        <v>3466</v>
      </c>
      <c r="BE21" s="11">
        <v>2252</v>
      </c>
      <c r="BF21" s="11">
        <v>1932</v>
      </c>
    </row>
    <row r="22" spans="1:58">
      <c r="A22" t="s">
        <v>211</v>
      </c>
      <c r="B22" t="s">
        <v>9</v>
      </c>
      <c r="C22" t="s">
        <v>203</v>
      </c>
      <c r="D22" t="s">
        <v>126</v>
      </c>
      <c r="E22" s="11">
        <v>523425</v>
      </c>
      <c r="F22" s="11">
        <v>501636</v>
      </c>
      <c r="G22" s="11">
        <v>1025059</v>
      </c>
      <c r="H22" s="11">
        <v>101536</v>
      </c>
      <c r="I22" s="11">
        <v>82965</v>
      </c>
      <c r="J22" s="11">
        <v>66526</v>
      </c>
      <c r="K22" s="11">
        <v>59087</v>
      </c>
      <c r="L22" s="11">
        <v>45088</v>
      </c>
      <c r="M22" s="11">
        <v>35420</v>
      </c>
      <c r="N22" s="11">
        <v>30437</v>
      </c>
      <c r="O22" s="11">
        <v>25439</v>
      </c>
      <c r="P22" s="11">
        <v>20240</v>
      </c>
      <c r="Q22" s="11">
        <v>16207</v>
      </c>
      <c r="R22" s="11">
        <v>12457</v>
      </c>
      <c r="S22" s="11">
        <v>9415</v>
      </c>
      <c r="T22" s="11">
        <v>6801</v>
      </c>
      <c r="U22" s="11">
        <v>4825</v>
      </c>
      <c r="V22" s="11">
        <v>3391</v>
      </c>
      <c r="W22" s="11">
        <v>2090</v>
      </c>
      <c r="X22" s="11">
        <v>1502</v>
      </c>
      <c r="Y22" s="11">
        <v>106076</v>
      </c>
      <c r="Z22" s="11">
        <v>86537</v>
      </c>
      <c r="AA22" s="11">
        <v>66764</v>
      </c>
      <c r="AB22" s="11">
        <v>59013</v>
      </c>
      <c r="AC22" s="11">
        <v>45378</v>
      </c>
      <c r="AD22" s="11">
        <v>33964</v>
      </c>
      <c r="AE22" s="11">
        <v>23120</v>
      </c>
      <c r="AF22" s="11">
        <v>17145</v>
      </c>
      <c r="AG22" s="11">
        <v>14814</v>
      </c>
      <c r="AH22" s="11">
        <v>12588</v>
      </c>
      <c r="AI22" s="11">
        <v>10402</v>
      </c>
      <c r="AJ22" s="11">
        <v>8400</v>
      </c>
      <c r="AK22" s="11">
        <v>6562</v>
      </c>
      <c r="AL22" s="11">
        <v>4806</v>
      </c>
      <c r="AM22" s="11">
        <v>2958</v>
      </c>
      <c r="AN22" s="11">
        <v>1695</v>
      </c>
      <c r="AO22" s="11">
        <v>1409</v>
      </c>
      <c r="AP22" s="11">
        <v>207611</v>
      </c>
      <c r="AQ22" s="11">
        <v>169501</v>
      </c>
      <c r="AR22" s="11">
        <v>133290</v>
      </c>
      <c r="AS22" s="11">
        <v>118103</v>
      </c>
      <c r="AT22" s="11">
        <v>90467</v>
      </c>
      <c r="AU22" s="11">
        <v>69383</v>
      </c>
      <c r="AV22" s="11">
        <v>53555</v>
      </c>
      <c r="AW22" s="11">
        <v>42584</v>
      </c>
      <c r="AX22" s="11">
        <v>35056</v>
      </c>
      <c r="AY22" s="11">
        <v>28797</v>
      </c>
      <c r="AZ22" s="11">
        <v>22859</v>
      </c>
      <c r="BA22" s="11">
        <v>17816</v>
      </c>
      <c r="BB22" s="11">
        <v>13363</v>
      </c>
      <c r="BC22" s="11">
        <v>9632</v>
      </c>
      <c r="BD22" s="11">
        <v>6351</v>
      </c>
      <c r="BE22" s="11">
        <v>3785</v>
      </c>
      <c r="BF22" s="11">
        <v>2914</v>
      </c>
    </row>
    <row r="23" spans="1:58">
      <c r="A23" t="s">
        <v>211</v>
      </c>
      <c r="B23" t="s">
        <v>9</v>
      </c>
      <c r="C23" t="s">
        <v>159</v>
      </c>
      <c r="D23" t="s">
        <v>160</v>
      </c>
      <c r="E23" s="11">
        <v>18537</v>
      </c>
      <c r="F23" s="11">
        <v>20340</v>
      </c>
      <c r="G23" s="11">
        <v>38878</v>
      </c>
      <c r="H23" s="11">
        <v>3785</v>
      </c>
      <c r="I23" s="11">
        <v>3184</v>
      </c>
      <c r="J23" s="11">
        <v>1747</v>
      </c>
      <c r="K23" s="11">
        <v>1640</v>
      </c>
      <c r="L23" s="11">
        <v>1631</v>
      </c>
      <c r="M23" s="11">
        <v>1436</v>
      </c>
      <c r="N23" s="11">
        <v>1140</v>
      </c>
      <c r="O23" s="11">
        <v>930</v>
      </c>
      <c r="P23" s="11">
        <v>781</v>
      </c>
      <c r="Q23" s="11">
        <v>649</v>
      </c>
      <c r="R23" s="11">
        <v>514</v>
      </c>
      <c r="S23" s="11">
        <v>394</v>
      </c>
      <c r="T23" s="11">
        <v>289</v>
      </c>
      <c r="U23" s="11">
        <v>195</v>
      </c>
      <c r="V23" s="11">
        <v>106</v>
      </c>
      <c r="W23" s="11">
        <v>59</v>
      </c>
      <c r="X23" s="11">
        <v>57</v>
      </c>
      <c r="Y23" s="11">
        <v>3955</v>
      </c>
      <c r="Z23" s="11">
        <v>3321</v>
      </c>
      <c r="AA23" s="11">
        <v>2162</v>
      </c>
      <c r="AB23" s="11">
        <v>2007</v>
      </c>
      <c r="AC23" s="11">
        <v>1817</v>
      </c>
      <c r="AD23" s="11">
        <v>1520</v>
      </c>
      <c r="AE23" s="11">
        <v>1155</v>
      </c>
      <c r="AF23" s="11">
        <v>917</v>
      </c>
      <c r="AG23" s="11">
        <v>719</v>
      </c>
      <c r="AH23" s="11">
        <v>614</v>
      </c>
      <c r="AI23" s="11">
        <v>624</v>
      </c>
      <c r="AJ23" s="11">
        <v>540</v>
      </c>
      <c r="AK23" s="11">
        <v>356</v>
      </c>
      <c r="AL23" s="11">
        <v>245</v>
      </c>
      <c r="AM23" s="11">
        <v>179</v>
      </c>
      <c r="AN23" s="11">
        <v>114</v>
      </c>
      <c r="AO23" s="11">
        <v>98</v>
      </c>
      <c r="AP23" s="11">
        <v>7742</v>
      </c>
      <c r="AQ23" s="11">
        <v>6504</v>
      </c>
      <c r="AR23" s="11">
        <v>3909</v>
      </c>
      <c r="AS23" s="11">
        <v>3647</v>
      </c>
      <c r="AT23" s="11">
        <v>3449</v>
      </c>
      <c r="AU23" s="11">
        <v>2955</v>
      </c>
      <c r="AV23" s="11">
        <v>2296</v>
      </c>
      <c r="AW23" s="11">
        <v>1847</v>
      </c>
      <c r="AX23" s="11">
        <v>1500</v>
      </c>
      <c r="AY23" s="11">
        <v>1262</v>
      </c>
      <c r="AZ23" s="11">
        <v>1138</v>
      </c>
      <c r="BA23" s="11">
        <v>933</v>
      </c>
      <c r="BB23" s="11">
        <v>644</v>
      </c>
      <c r="BC23" s="11">
        <v>440</v>
      </c>
      <c r="BD23" s="11">
        <v>286</v>
      </c>
      <c r="BE23" s="11">
        <v>172</v>
      </c>
      <c r="BF23" s="11">
        <v>154</v>
      </c>
    </row>
    <row r="24" spans="1:58">
      <c r="A24" t="s">
        <v>211</v>
      </c>
      <c r="B24" t="s">
        <v>9</v>
      </c>
      <c r="C24" t="s">
        <v>129</v>
      </c>
      <c r="D24" t="s">
        <v>130</v>
      </c>
      <c r="E24" s="11">
        <v>394976</v>
      </c>
      <c r="F24" s="11">
        <v>381624</v>
      </c>
      <c r="G24" s="11">
        <v>776601</v>
      </c>
      <c r="H24" s="11">
        <v>77086</v>
      </c>
      <c r="I24" s="11">
        <v>62736</v>
      </c>
      <c r="J24" s="11">
        <v>47659</v>
      </c>
      <c r="K24" s="11">
        <v>45684</v>
      </c>
      <c r="L24" s="11">
        <v>34768</v>
      </c>
      <c r="M24" s="11">
        <v>26468</v>
      </c>
      <c r="N24" s="11">
        <v>22664</v>
      </c>
      <c r="O24" s="11">
        <v>19068</v>
      </c>
      <c r="P24" s="11">
        <v>15859</v>
      </c>
      <c r="Q24" s="11">
        <v>12880</v>
      </c>
      <c r="R24" s="11">
        <v>9544</v>
      </c>
      <c r="S24" s="11">
        <v>6938</v>
      </c>
      <c r="T24" s="11">
        <v>4528</v>
      </c>
      <c r="U24" s="11">
        <v>3110</v>
      </c>
      <c r="V24" s="11">
        <v>2510</v>
      </c>
      <c r="W24" s="11">
        <v>1732</v>
      </c>
      <c r="X24" s="11">
        <v>1740</v>
      </c>
      <c r="Y24" s="11">
        <v>80531</v>
      </c>
      <c r="Z24" s="11">
        <v>65440</v>
      </c>
      <c r="AA24" s="11">
        <v>50043</v>
      </c>
      <c r="AB24" s="11">
        <v>47762</v>
      </c>
      <c r="AC24" s="11">
        <v>35420</v>
      </c>
      <c r="AD24" s="11">
        <v>24657</v>
      </c>
      <c r="AE24" s="11">
        <v>15234</v>
      </c>
      <c r="AF24" s="11">
        <v>10813</v>
      </c>
      <c r="AG24" s="11">
        <v>10589</v>
      </c>
      <c r="AH24" s="11">
        <v>9671</v>
      </c>
      <c r="AI24" s="11">
        <v>8395</v>
      </c>
      <c r="AJ24" s="11">
        <v>6974</v>
      </c>
      <c r="AK24" s="11">
        <v>5214</v>
      </c>
      <c r="AL24" s="11">
        <v>3935</v>
      </c>
      <c r="AM24" s="11">
        <v>2986</v>
      </c>
      <c r="AN24" s="11">
        <v>1995</v>
      </c>
      <c r="AO24" s="11">
        <v>1965</v>
      </c>
      <c r="AP24" s="11">
        <v>157619</v>
      </c>
      <c r="AQ24" s="11">
        <v>128177</v>
      </c>
      <c r="AR24" s="11">
        <v>97703</v>
      </c>
      <c r="AS24" s="11">
        <v>93447</v>
      </c>
      <c r="AT24" s="11">
        <v>70187</v>
      </c>
      <c r="AU24" s="11">
        <v>51125</v>
      </c>
      <c r="AV24" s="11">
        <v>37901</v>
      </c>
      <c r="AW24" s="11">
        <v>29882</v>
      </c>
      <c r="AX24" s="11">
        <v>26450</v>
      </c>
      <c r="AY24" s="11">
        <v>22549</v>
      </c>
      <c r="AZ24" s="11">
        <v>17937</v>
      </c>
      <c r="BA24" s="11">
        <v>13911</v>
      </c>
      <c r="BB24" s="11">
        <v>9741</v>
      </c>
      <c r="BC24" s="11">
        <v>7046</v>
      </c>
      <c r="BD24" s="11">
        <v>5500</v>
      </c>
      <c r="BE24" s="11">
        <v>3729</v>
      </c>
      <c r="BF24" s="11">
        <v>3707</v>
      </c>
    </row>
  </sheetData>
  <autoFilter ref="A1:BF71" xr:uid="{4F5B86CB-E1E2-4C06-9E58-405996EA7B5A}"/>
  <phoneticPr fontId="2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72"/>
  <sheetViews>
    <sheetView workbookViewId="0">
      <pane xSplit="2" ySplit="1" topLeftCell="C59" activePane="bottomRight" state="frozen"/>
      <selection pane="topRight" activeCell="D1" sqref="D1"/>
      <selection pane="bottomLeft" activeCell="A2" sqref="A2"/>
      <selection pane="bottomRight" activeCell="C76" sqref="C76"/>
    </sheetView>
  </sheetViews>
  <sheetFormatPr baseColWidth="10" defaultColWidth="9.1640625" defaultRowHeight="17"/>
  <cols>
    <col min="1" max="1" width="19" bestFit="1" customWidth="1"/>
    <col min="2" max="2" width="15.1640625" customWidth="1"/>
    <col min="3" max="3" width="19" bestFit="1" customWidth="1"/>
    <col min="4" max="4" width="22.33203125" bestFit="1" customWidth="1"/>
    <col min="5" max="6" width="21" customWidth="1"/>
    <col min="7" max="7" width="17.6640625" bestFit="1" customWidth="1"/>
    <col min="8" max="8" width="15.1640625" customWidth="1"/>
    <col min="9" max="9" width="17.5" customWidth="1"/>
    <col min="10" max="10" width="15.1640625" customWidth="1"/>
    <col min="11" max="13" width="13.1640625" style="1" customWidth="1"/>
    <col min="14" max="14" width="13.33203125" style="1" bestFit="1" customWidth="1"/>
    <col min="15" max="29" width="10.1640625" style="1" customWidth="1"/>
    <col min="30" max="30" width="10.83203125" style="1" customWidth="1"/>
    <col min="31" max="46" width="11" style="1" customWidth="1"/>
    <col min="47" max="47" width="11.6640625" style="1" customWidth="1"/>
    <col min="48" max="63" width="10.1640625" style="1" customWidth="1"/>
    <col min="64" max="64" width="12.5" style="1" bestFit="1" customWidth="1"/>
  </cols>
  <sheetData>
    <row r="1" spans="1:64" s="4" customFormat="1" ht="39" customHeight="1">
      <c r="A1" s="4" t="s">
        <v>0</v>
      </c>
      <c r="B1" s="4" t="s">
        <v>1</v>
      </c>
      <c r="C1" s="4" t="s">
        <v>2</v>
      </c>
      <c r="D1" s="4" t="s">
        <v>204</v>
      </c>
      <c r="E1" s="4" t="s">
        <v>205</v>
      </c>
      <c r="F1" s="4" t="s">
        <v>206</v>
      </c>
      <c r="G1" s="4" t="s">
        <v>3</v>
      </c>
      <c r="H1" s="4" t="s">
        <v>4</v>
      </c>
      <c r="I1" s="4" t="s">
        <v>207</v>
      </c>
      <c r="J1" s="4" t="s">
        <v>208</v>
      </c>
      <c r="K1" s="5" t="s">
        <v>331</v>
      </c>
      <c r="L1" s="5" t="s">
        <v>332</v>
      </c>
      <c r="M1" s="5" t="s">
        <v>333</v>
      </c>
      <c r="N1" s="5" t="s">
        <v>282</v>
      </c>
      <c r="O1" s="5" t="s">
        <v>283</v>
      </c>
      <c r="P1" s="5" t="s">
        <v>284</v>
      </c>
      <c r="Q1" s="5" t="s">
        <v>285</v>
      </c>
      <c r="R1" s="5" t="s">
        <v>286</v>
      </c>
      <c r="S1" s="5" t="s">
        <v>287</v>
      </c>
      <c r="T1" s="5" t="s">
        <v>288</v>
      </c>
      <c r="U1" s="5" t="s">
        <v>289</v>
      </c>
      <c r="V1" s="5" t="s">
        <v>290</v>
      </c>
      <c r="W1" s="5" t="s">
        <v>334</v>
      </c>
      <c r="X1" s="5" t="s">
        <v>291</v>
      </c>
      <c r="Y1" s="5" t="s">
        <v>292</v>
      </c>
      <c r="Z1" s="5" t="s">
        <v>293</v>
      </c>
      <c r="AA1" s="5" t="s">
        <v>294</v>
      </c>
      <c r="AB1" s="5" t="s">
        <v>295</v>
      </c>
      <c r="AC1" s="5" t="s">
        <v>296</v>
      </c>
      <c r="AD1" s="5" t="s">
        <v>297</v>
      </c>
      <c r="AE1" s="5" t="s">
        <v>298</v>
      </c>
      <c r="AF1" s="5" t="s">
        <v>299</v>
      </c>
      <c r="AG1" s="5" t="s">
        <v>300</v>
      </c>
      <c r="AH1" s="5" t="s">
        <v>301</v>
      </c>
      <c r="AI1" s="5" t="s">
        <v>302</v>
      </c>
      <c r="AJ1" s="5" t="s">
        <v>303</v>
      </c>
      <c r="AK1" s="5" t="s">
        <v>304</v>
      </c>
      <c r="AL1" s="5" t="s">
        <v>305</v>
      </c>
      <c r="AM1" s="5" t="s">
        <v>306</v>
      </c>
      <c r="AN1" s="5" t="s">
        <v>335</v>
      </c>
      <c r="AO1" s="5" t="s">
        <v>307</v>
      </c>
      <c r="AP1" s="5" t="s">
        <v>308</v>
      </c>
      <c r="AQ1" s="5" t="s">
        <v>309</v>
      </c>
      <c r="AR1" s="5" t="s">
        <v>310</v>
      </c>
      <c r="AS1" s="5" t="s">
        <v>311</v>
      </c>
      <c r="AT1" s="5" t="s">
        <v>312</v>
      </c>
      <c r="AU1" s="5" t="s">
        <v>313</v>
      </c>
      <c r="AV1" s="5" t="s">
        <v>314</v>
      </c>
      <c r="AW1" s="5" t="s">
        <v>315</v>
      </c>
      <c r="AX1" s="5" t="s">
        <v>316</v>
      </c>
      <c r="AY1" s="5" t="s">
        <v>317</v>
      </c>
      <c r="AZ1" s="5" t="s">
        <v>318</v>
      </c>
      <c r="BA1" s="5" t="s">
        <v>319</v>
      </c>
      <c r="BB1" s="5" t="s">
        <v>320</v>
      </c>
      <c r="BC1" s="5" t="s">
        <v>321</v>
      </c>
      <c r="BD1" s="5" t="s">
        <v>322</v>
      </c>
      <c r="BE1" s="5" t="s">
        <v>330</v>
      </c>
      <c r="BF1" s="5" t="s">
        <v>323</v>
      </c>
      <c r="BG1" s="5" t="s">
        <v>324</v>
      </c>
      <c r="BH1" s="5" t="s">
        <v>325</v>
      </c>
      <c r="BI1" s="5" t="s">
        <v>326</v>
      </c>
      <c r="BJ1" s="5" t="s">
        <v>327</v>
      </c>
      <c r="BK1" s="5" t="s">
        <v>328</v>
      </c>
      <c r="BL1" s="5" t="s">
        <v>329</v>
      </c>
    </row>
    <row r="2" spans="1:64">
      <c r="A2" t="s">
        <v>5</v>
      </c>
      <c r="B2" t="s">
        <v>6</v>
      </c>
      <c r="C2" t="s">
        <v>5</v>
      </c>
      <c r="D2" t="s">
        <v>209</v>
      </c>
      <c r="E2" t="s">
        <v>210</v>
      </c>
      <c r="F2" t="s">
        <v>210</v>
      </c>
      <c r="G2" t="s">
        <v>7</v>
      </c>
      <c r="H2" t="s">
        <v>8</v>
      </c>
      <c r="I2" t="s">
        <v>211</v>
      </c>
      <c r="J2" t="s">
        <v>9</v>
      </c>
      <c r="K2" s="3">
        <v>142260</v>
      </c>
      <c r="L2" s="3">
        <v>136963</v>
      </c>
      <c r="M2" s="3">
        <v>279223</v>
      </c>
      <c r="N2" s="2">
        <v>25336</v>
      </c>
      <c r="O2" s="2">
        <v>20812</v>
      </c>
      <c r="P2" s="2">
        <v>24097</v>
      </c>
      <c r="Q2" s="2">
        <v>18154</v>
      </c>
      <c r="R2" s="2">
        <v>11036</v>
      </c>
      <c r="S2" s="2">
        <v>8121</v>
      </c>
      <c r="T2" s="2">
        <v>7611</v>
      </c>
      <c r="U2" s="2">
        <v>6642</v>
      </c>
      <c r="V2" s="2">
        <v>5334</v>
      </c>
      <c r="W2" s="2">
        <v>4298</v>
      </c>
      <c r="X2" s="2">
        <v>3298</v>
      </c>
      <c r="Y2" s="2">
        <v>2476</v>
      </c>
      <c r="Z2" s="2">
        <v>1715</v>
      </c>
      <c r="AA2" s="2">
        <v>1210</v>
      </c>
      <c r="AB2" s="2">
        <v>904</v>
      </c>
      <c r="AC2" s="2">
        <v>602</v>
      </c>
      <c r="AD2" s="2">
        <v>614</v>
      </c>
      <c r="AE2" s="2">
        <v>26469</v>
      </c>
      <c r="AF2" s="2">
        <v>21708</v>
      </c>
      <c r="AG2" s="2">
        <v>24675</v>
      </c>
      <c r="AH2" s="2">
        <v>18412</v>
      </c>
      <c r="AI2" s="2">
        <v>10893</v>
      </c>
      <c r="AJ2" s="2">
        <v>7281</v>
      </c>
      <c r="AK2" s="2">
        <v>4854</v>
      </c>
      <c r="AL2" s="2">
        <v>3764</v>
      </c>
      <c r="AM2" s="2">
        <v>3959</v>
      </c>
      <c r="AN2" s="2">
        <v>3704</v>
      </c>
      <c r="AO2" s="2">
        <v>3140</v>
      </c>
      <c r="AP2" s="2">
        <v>2550</v>
      </c>
      <c r="AQ2" s="2">
        <v>1818</v>
      </c>
      <c r="AR2" s="2">
        <v>1336</v>
      </c>
      <c r="AS2" s="2">
        <v>1037</v>
      </c>
      <c r="AT2" s="2">
        <v>694</v>
      </c>
      <c r="AU2" s="2">
        <v>669</v>
      </c>
      <c r="AV2" s="2">
        <v>51806</v>
      </c>
      <c r="AW2" s="2">
        <v>42520</v>
      </c>
      <c r="AX2" s="2">
        <v>48772</v>
      </c>
      <c r="AY2" s="2">
        <v>36565</v>
      </c>
      <c r="AZ2" s="2">
        <v>21929</v>
      </c>
      <c r="BA2" s="2">
        <v>15402</v>
      </c>
      <c r="BB2" s="2">
        <v>12465</v>
      </c>
      <c r="BC2" s="2">
        <v>10407</v>
      </c>
      <c r="BD2" s="2">
        <v>9293</v>
      </c>
      <c r="BE2" s="2">
        <v>8002</v>
      </c>
      <c r="BF2" s="2">
        <v>6438</v>
      </c>
      <c r="BG2" s="2">
        <v>5026</v>
      </c>
      <c r="BH2" s="2">
        <v>3534</v>
      </c>
      <c r="BI2" s="2">
        <v>2546</v>
      </c>
      <c r="BJ2" s="2">
        <v>1941</v>
      </c>
      <c r="BK2" s="2">
        <v>1296</v>
      </c>
      <c r="BL2" s="2">
        <v>1282</v>
      </c>
    </row>
    <row r="3" spans="1:64">
      <c r="A3" t="s">
        <v>10</v>
      </c>
      <c r="B3" t="s">
        <v>11</v>
      </c>
      <c r="C3" t="s">
        <v>10</v>
      </c>
      <c r="D3" t="s">
        <v>212</v>
      </c>
      <c r="E3" t="s">
        <v>210</v>
      </c>
      <c r="F3" t="s">
        <v>210</v>
      </c>
      <c r="G3" t="s">
        <v>7</v>
      </c>
      <c r="H3" t="s">
        <v>8</v>
      </c>
      <c r="I3" t="s">
        <v>211</v>
      </c>
      <c r="J3" t="s">
        <v>9</v>
      </c>
      <c r="K3" s="3">
        <v>129764</v>
      </c>
      <c r="L3" s="3">
        <v>124932</v>
      </c>
      <c r="M3" s="3">
        <v>254696</v>
      </c>
      <c r="N3" s="2">
        <v>23111</v>
      </c>
      <c r="O3" s="2">
        <v>18984</v>
      </c>
      <c r="P3" s="2">
        <v>21980</v>
      </c>
      <c r="Q3" s="2">
        <v>16559</v>
      </c>
      <c r="R3" s="2">
        <v>10066</v>
      </c>
      <c r="S3" s="2">
        <v>7408</v>
      </c>
      <c r="T3" s="2">
        <v>6942</v>
      </c>
      <c r="U3" s="2">
        <v>6059</v>
      </c>
      <c r="V3" s="2">
        <v>4865</v>
      </c>
      <c r="W3" s="2">
        <v>3921</v>
      </c>
      <c r="X3" s="2">
        <v>3008</v>
      </c>
      <c r="Y3" s="2">
        <v>2258</v>
      </c>
      <c r="Z3" s="2">
        <v>1565</v>
      </c>
      <c r="AA3" s="2">
        <v>1104</v>
      </c>
      <c r="AB3" s="2">
        <v>825</v>
      </c>
      <c r="AC3" s="2">
        <v>549</v>
      </c>
      <c r="AD3" s="2">
        <v>560</v>
      </c>
      <c r="AE3" s="2">
        <v>24144</v>
      </c>
      <c r="AF3" s="2">
        <v>19801</v>
      </c>
      <c r="AG3" s="2">
        <v>22507</v>
      </c>
      <c r="AH3" s="2">
        <v>16794</v>
      </c>
      <c r="AI3" s="2">
        <v>9936</v>
      </c>
      <c r="AJ3" s="2">
        <v>6641</v>
      </c>
      <c r="AK3" s="2">
        <v>4428</v>
      </c>
      <c r="AL3" s="2">
        <v>3434</v>
      </c>
      <c r="AM3" s="2">
        <v>3612</v>
      </c>
      <c r="AN3" s="2">
        <v>3379</v>
      </c>
      <c r="AO3" s="2">
        <v>2864</v>
      </c>
      <c r="AP3" s="2">
        <v>2326</v>
      </c>
      <c r="AQ3" s="2">
        <v>1658</v>
      </c>
      <c r="AR3" s="2">
        <v>1219</v>
      </c>
      <c r="AS3" s="2">
        <v>946</v>
      </c>
      <c r="AT3" s="2">
        <v>633</v>
      </c>
      <c r="AU3" s="2">
        <v>610</v>
      </c>
      <c r="AV3" s="2">
        <v>47255</v>
      </c>
      <c r="AW3" s="2">
        <v>38785</v>
      </c>
      <c r="AX3" s="2">
        <v>44487</v>
      </c>
      <c r="AY3" s="2">
        <v>33353</v>
      </c>
      <c r="AZ3" s="2">
        <v>20002</v>
      </c>
      <c r="BA3" s="2">
        <v>14049</v>
      </c>
      <c r="BB3" s="2">
        <v>11370</v>
      </c>
      <c r="BC3" s="2">
        <v>9492</v>
      </c>
      <c r="BD3" s="2">
        <v>8477</v>
      </c>
      <c r="BE3" s="2">
        <v>7299</v>
      </c>
      <c r="BF3" s="2">
        <v>5873</v>
      </c>
      <c r="BG3" s="2">
        <v>4584</v>
      </c>
      <c r="BH3" s="2">
        <v>3223</v>
      </c>
      <c r="BI3" s="2">
        <v>2322</v>
      </c>
      <c r="BJ3" s="2">
        <v>1770</v>
      </c>
      <c r="BK3" s="2">
        <v>1182</v>
      </c>
      <c r="BL3" s="2">
        <v>1169</v>
      </c>
    </row>
    <row r="4" spans="1:64">
      <c r="A4" t="s">
        <v>12</v>
      </c>
      <c r="B4" t="s">
        <v>13</v>
      </c>
      <c r="C4" t="s">
        <v>12</v>
      </c>
      <c r="D4" t="s">
        <v>213</v>
      </c>
      <c r="E4" t="s">
        <v>210</v>
      </c>
      <c r="F4" t="s">
        <v>210</v>
      </c>
      <c r="G4" t="s">
        <v>7</v>
      </c>
      <c r="H4" t="s">
        <v>8</v>
      </c>
      <c r="I4" t="s">
        <v>211</v>
      </c>
      <c r="J4" t="s">
        <v>9</v>
      </c>
      <c r="K4" s="3">
        <v>79438</v>
      </c>
      <c r="L4" s="3">
        <v>76480</v>
      </c>
      <c r="M4" s="3">
        <v>155918</v>
      </c>
      <c r="N4" s="2">
        <v>14148</v>
      </c>
      <c r="O4" s="2">
        <v>11621</v>
      </c>
      <c r="P4" s="2">
        <v>13456</v>
      </c>
      <c r="Q4" s="2">
        <v>10137</v>
      </c>
      <c r="R4" s="2">
        <v>6162</v>
      </c>
      <c r="S4" s="2">
        <v>4535</v>
      </c>
      <c r="T4" s="2">
        <v>4250</v>
      </c>
      <c r="U4" s="2">
        <v>3709</v>
      </c>
      <c r="V4" s="2">
        <v>2978</v>
      </c>
      <c r="W4" s="2">
        <v>2400</v>
      </c>
      <c r="X4" s="2">
        <v>1842</v>
      </c>
      <c r="Y4" s="2">
        <v>1382</v>
      </c>
      <c r="Z4" s="2">
        <v>958</v>
      </c>
      <c r="AA4" s="2">
        <v>676</v>
      </c>
      <c r="AB4" s="2">
        <v>505</v>
      </c>
      <c r="AC4" s="2">
        <v>336</v>
      </c>
      <c r="AD4" s="2">
        <v>343</v>
      </c>
      <c r="AE4" s="2">
        <v>14781</v>
      </c>
      <c r="AF4" s="2">
        <v>12122</v>
      </c>
      <c r="AG4" s="2">
        <v>13778</v>
      </c>
      <c r="AH4" s="2">
        <v>10281</v>
      </c>
      <c r="AI4" s="2">
        <v>6083</v>
      </c>
      <c r="AJ4" s="2">
        <v>4066</v>
      </c>
      <c r="AK4" s="2">
        <v>2710</v>
      </c>
      <c r="AL4" s="2">
        <v>2102</v>
      </c>
      <c r="AM4" s="2">
        <v>2211</v>
      </c>
      <c r="AN4" s="2">
        <v>2068</v>
      </c>
      <c r="AO4" s="2">
        <v>1753</v>
      </c>
      <c r="AP4" s="2">
        <v>1424</v>
      </c>
      <c r="AQ4" s="2">
        <v>1015</v>
      </c>
      <c r="AR4" s="2">
        <v>746</v>
      </c>
      <c r="AS4" s="2">
        <v>579</v>
      </c>
      <c r="AT4" s="2">
        <v>388</v>
      </c>
      <c r="AU4" s="2">
        <v>373</v>
      </c>
      <c r="AV4" s="2">
        <v>28929</v>
      </c>
      <c r="AW4" s="2">
        <v>23744</v>
      </c>
      <c r="AX4" s="2">
        <v>27234</v>
      </c>
      <c r="AY4" s="2">
        <v>20418</v>
      </c>
      <c r="AZ4" s="2">
        <v>12245</v>
      </c>
      <c r="BA4" s="2">
        <v>8601</v>
      </c>
      <c r="BB4" s="2">
        <v>6960</v>
      </c>
      <c r="BC4" s="2">
        <v>5811</v>
      </c>
      <c r="BD4" s="2">
        <v>5189</v>
      </c>
      <c r="BE4" s="2">
        <v>4468</v>
      </c>
      <c r="BF4" s="2">
        <v>3595</v>
      </c>
      <c r="BG4" s="2">
        <v>2806</v>
      </c>
      <c r="BH4" s="2">
        <v>1973</v>
      </c>
      <c r="BI4" s="2">
        <v>1422</v>
      </c>
      <c r="BJ4" s="2">
        <v>1084</v>
      </c>
      <c r="BK4" s="2">
        <v>724</v>
      </c>
      <c r="BL4" s="2">
        <v>716</v>
      </c>
    </row>
    <row r="5" spans="1:64">
      <c r="A5" t="s">
        <v>14</v>
      </c>
      <c r="B5" t="s">
        <v>15</v>
      </c>
      <c r="C5" t="s">
        <v>14</v>
      </c>
      <c r="D5" t="s">
        <v>214</v>
      </c>
      <c r="E5" t="s">
        <v>210</v>
      </c>
      <c r="F5" t="s">
        <v>210</v>
      </c>
      <c r="G5" t="s">
        <v>14</v>
      </c>
      <c r="H5" t="s">
        <v>16</v>
      </c>
      <c r="I5" t="s">
        <v>211</v>
      </c>
      <c r="J5" t="s">
        <v>9</v>
      </c>
      <c r="K5" s="3">
        <v>48121</v>
      </c>
      <c r="L5" s="3">
        <v>52772</v>
      </c>
      <c r="M5" s="3">
        <v>100893</v>
      </c>
      <c r="N5" s="2">
        <v>9586</v>
      </c>
      <c r="O5" s="2">
        <v>8121</v>
      </c>
      <c r="P5" s="2">
        <v>4895</v>
      </c>
      <c r="Q5" s="2">
        <v>4715</v>
      </c>
      <c r="R5" s="2">
        <v>4090</v>
      </c>
      <c r="S5" s="2">
        <v>3377</v>
      </c>
      <c r="T5" s="2">
        <v>2908</v>
      </c>
      <c r="U5" s="2">
        <v>2481</v>
      </c>
      <c r="V5" s="2">
        <v>2110</v>
      </c>
      <c r="W5" s="2">
        <v>1756</v>
      </c>
      <c r="X5" s="2">
        <v>1378</v>
      </c>
      <c r="Y5" s="2">
        <v>1029</v>
      </c>
      <c r="Z5" s="2">
        <v>663</v>
      </c>
      <c r="AA5" s="2">
        <v>427</v>
      </c>
      <c r="AB5" s="2">
        <v>286</v>
      </c>
      <c r="AC5" s="2">
        <v>172</v>
      </c>
      <c r="AD5" s="2">
        <v>127</v>
      </c>
      <c r="AE5" s="2">
        <v>10015</v>
      </c>
      <c r="AF5" s="2">
        <v>8470</v>
      </c>
      <c r="AG5" s="2">
        <v>6004</v>
      </c>
      <c r="AH5" s="2">
        <v>5772</v>
      </c>
      <c r="AI5" s="2">
        <v>4822</v>
      </c>
      <c r="AJ5" s="2">
        <v>3825</v>
      </c>
      <c r="AK5" s="2">
        <v>2999</v>
      </c>
      <c r="AL5" s="2">
        <v>2387</v>
      </c>
      <c r="AM5" s="2">
        <v>1785</v>
      </c>
      <c r="AN5" s="2">
        <v>1479</v>
      </c>
      <c r="AO5" s="2">
        <v>1499</v>
      </c>
      <c r="AP5" s="2">
        <v>1298</v>
      </c>
      <c r="AQ5" s="2">
        <v>888</v>
      </c>
      <c r="AR5" s="2">
        <v>619</v>
      </c>
      <c r="AS5" s="2">
        <v>448</v>
      </c>
      <c r="AT5" s="2">
        <v>275</v>
      </c>
      <c r="AU5" s="2">
        <v>187</v>
      </c>
      <c r="AV5" s="2">
        <v>19600</v>
      </c>
      <c r="AW5" s="2">
        <v>16591</v>
      </c>
      <c r="AX5" s="2">
        <v>10899</v>
      </c>
      <c r="AY5" s="2">
        <v>10487</v>
      </c>
      <c r="AZ5" s="2">
        <v>8913</v>
      </c>
      <c r="BA5" s="2">
        <v>7202</v>
      </c>
      <c r="BB5" s="2">
        <v>5907</v>
      </c>
      <c r="BC5" s="2">
        <v>4868</v>
      </c>
      <c r="BD5" s="2">
        <v>3895</v>
      </c>
      <c r="BE5" s="2">
        <v>3234</v>
      </c>
      <c r="BF5" s="2">
        <v>2877</v>
      </c>
      <c r="BG5" s="2">
        <v>2327</v>
      </c>
      <c r="BH5" s="2">
        <v>1550</v>
      </c>
      <c r="BI5" s="2">
        <v>1046</v>
      </c>
      <c r="BJ5" s="2">
        <v>734</v>
      </c>
      <c r="BK5" s="2">
        <v>448</v>
      </c>
      <c r="BL5" s="2">
        <v>314</v>
      </c>
    </row>
    <row r="6" spans="1:64">
      <c r="A6" t="s">
        <v>175</v>
      </c>
      <c r="B6" t="s">
        <v>176</v>
      </c>
      <c r="C6" t="s">
        <v>175</v>
      </c>
      <c r="D6" t="s">
        <v>276</v>
      </c>
      <c r="E6" t="s">
        <v>210</v>
      </c>
      <c r="F6" t="s">
        <v>210</v>
      </c>
      <c r="G6" t="s">
        <v>14</v>
      </c>
      <c r="H6" t="s">
        <v>16</v>
      </c>
      <c r="I6" t="s">
        <v>211</v>
      </c>
      <c r="J6" t="s">
        <v>9</v>
      </c>
      <c r="K6" s="3">
        <v>17749</v>
      </c>
      <c r="L6" s="3">
        <v>19460</v>
      </c>
      <c r="M6" s="3">
        <v>37209</v>
      </c>
      <c r="N6" s="2">
        <v>3535</v>
      </c>
      <c r="O6" s="2">
        <v>2995</v>
      </c>
      <c r="P6" s="2">
        <v>1805</v>
      </c>
      <c r="Q6" s="2">
        <v>1739</v>
      </c>
      <c r="R6" s="2">
        <v>1509</v>
      </c>
      <c r="S6" s="2">
        <v>1246</v>
      </c>
      <c r="T6" s="2">
        <v>1072</v>
      </c>
      <c r="U6" s="2">
        <v>915</v>
      </c>
      <c r="V6" s="2">
        <v>778</v>
      </c>
      <c r="W6" s="2">
        <v>648</v>
      </c>
      <c r="X6" s="2">
        <v>508</v>
      </c>
      <c r="Y6" s="2">
        <v>380</v>
      </c>
      <c r="Z6" s="2">
        <v>244</v>
      </c>
      <c r="AA6" s="2">
        <v>158</v>
      </c>
      <c r="AB6" s="2">
        <v>106</v>
      </c>
      <c r="AC6" s="2">
        <v>64</v>
      </c>
      <c r="AD6" s="2">
        <v>47</v>
      </c>
      <c r="AE6" s="2">
        <v>3693</v>
      </c>
      <c r="AF6" s="2">
        <v>3124</v>
      </c>
      <c r="AG6" s="2">
        <v>2214</v>
      </c>
      <c r="AH6" s="2">
        <v>2129</v>
      </c>
      <c r="AI6" s="2">
        <v>1778</v>
      </c>
      <c r="AJ6" s="2">
        <v>1410</v>
      </c>
      <c r="AK6" s="2">
        <v>1106</v>
      </c>
      <c r="AL6" s="2">
        <v>880</v>
      </c>
      <c r="AM6" s="2">
        <v>658</v>
      </c>
      <c r="AN6" s="2">
        <v>545</v>
      </c>
      <c r="AO6" s="2">
        <v>553</v>
      </c>
      <c r="AP6" s="2">
        <v>479</v>
      </c>
      <c r="AQ6" s="2">
        <v>327</v>
      </c>
      <c r="AR6" s="2">
        <v>228</v>
      </c>
      <c r="AS6" s="2">
        <v>165</v>
      </c>
      <c r="AT6" s="2">
        <v>102</v>
      </c>
      <c r="AU6" s="2">
        <v>69</v>
      </c>
      <c r="AV6" s="2">
        <v>7229</v>
      </c>
      <c r="AW6" s="2">
        <v>6119</v>
      </c>
      <c r="AX6" s="2">
        <v>4019</v>
      </c>
      <c r="AY6" s="2">
        <v>3868</v>
      </c>
      <c r="AZ6" s="2">
        <v>3287</v>
      </c>
      <c r="BA6" s="2">
        <v>2656</v>
      </c>
      <c r="BB6" s="2">
        <v>2178</v>
      </c>
      <c r="BC6" s="2">
        <v>1795</v>
      </c>
      <c r="BD6" s="2">
        <v>1436</v>
      </c>
      <c r="BE6" s="2">
        <v>1193</v>
      </c>
      <c r="BF6" s="2">
        <v>1061</v>
      </c>
      <c r="BG6" s="2">
        <v>858</v>
      </c>
      <c r="BH6" s="2">
        <v>572</v>
      </c>
      <c r="BI6" s="2">
        <v>386</v>
      </c>
      <c r="BJ6" s="2">
        <v>271</v>
      </c>
      <c r="BK6" s="2">
        <v>165</v>
      </c>
      <c r="BL6" s="2">
        <v>116</v>
      </c>
    </row>
    <row r="7" spans="1:64">
      <c r="A7" t="s">
        <v>17</v>
      </c>
      <c r="B7" t="s">
        <v>18</v>
      </c>
      <c r="C7" t="s">
        <v>17</v>
      </c>
      <c r="D7" t="s">
        <v>215</v>
      </c>
      <c r="E7" t="s">
        <v>210</v>
      </c>
      <c r="F7" t="s">
        <v>210</v>
      </c>
      <c r="G7" t="s">
        <v>19</v>
      </c>
      <c r="H7" t="s">
        <v>20</v>
      </c>
      <c r="I7" t="s">
        <v>211</v>
      </c>
      <c r="J7" t="s">
        <v>9</v>
      </c>
      <c r="K7" s="3">
        <v>153607</v>
      </c>
      <c r="L7" s="3">
        <v>152798</v>
      </c>
      <c r="M7" s="3">
        <v>306405</v>
      </c>
      <c r="N7" s="2">
        <v>29493</v>
      </c>
      <c r="O7" s="2">
        <v>23949</v>
      </c>
      <c r="P7" s="2">
        <v>20564</v>
      </c>
      <c r="Q7" s="2">
        <v>18295</v>
      </c>
      <c r="R7" s="2">
        <v>13162</v>
      </c>
      <c r="S7" s="2">
        <v>9981</v>
      </c>
      <c r="T7" s="2">
        <v>8876</v>
      </c>
      <c r="U7" s="2">
        <v>7495</v>
      </c>
      <c r="V7" s="2">
        <v>5829</v>
      </c>
      <c r="W7" s="2">
        <v>4602</v>
      </c>
      <c r="X7" s="2">
        <v>3525</v>
      </c>
      <c r="Y7" s="2">
        <v>2647</v>
      </c>
      <c r="Z7" s="2">
        <v>1884</v>
      </c>
      <c r="AA7" s="2">
        <v>1322</v>
      </c>
      <c r="AB7" s="2">
        <v>912</v>
      </c>
      <c r="AC7" s="2">
        <v>569</v>
      </c>
      <c r="AD7" s="2">
        <v>502</v>
      </c>
      <c r="AE7" s="2">
        <v>30812</v>
      </c>
      <c r="AF7" s="2">
        <v>24981</v>
      </c>
      <c r="AG7" s="2">
        <v>20956</v>
      </c>
      <c r="AH7" s="2">
        <v>18531</v>
      </c>
      <c r="AI7" s="2">
        <v>12984</v>
      </c>
      <c r="AJ7" s="2">
        <v>9241</v>
      </c>
      <c r="AK7" s="2">
        <v>6797</v>
      </c>
      <c r="AL7" s="2">
        <v>5416</v>
      </c>
      <c r="AM7" s="2">
        <v>4935</v>
      </c>
      <c r="AN7" s="2">
        <v>4365</v>
      </c>
      <c r="AO7" s="2">
        <v>3727</v>
      </c>
      <c r="AP7" s="2">
        <v>3081</v>
      </c>
      <c r="AQ7" s="2">
        <v>2393</v>
      </c>
      <c r="AR7" s="2">
        <v>1804</v>
      </c>
      <c r="AS7" s="2">
        <v>1261</v>
      </c>
      <c r="AT7" s="2">
        <v>796</v>
      </c>
      <c r="AU7" s="2">
        <v>718</v>
      </c>
      <c r="AV7" s="2">
        <v>60306</v>
      </c>
      <c r="AW7" s="2">
        <v>48930</v>
      </c>
      <c r="AX7" s="2">
        <v>41520</v>
      </c>
      <c r="AY7" s="2">
        <v>36825</v>
      </c>
      <c r="AZ7" s="2">
        <v>26146</v>
      </c>
      <c r="BA7" s="2">
        <v>19223</v>
      </c>
      <c r="BB7" s="2">
        <v>15673</v>
      </c>
      <c r="BC7" s="2">
        <v>12912</v>
      </c>
      <c r="BD7" s="2">
        <v>10764</v>
      </c>
      <c r="BE7" s="2">
        <v>8967</v>
      </c>
      <c r="BF7" s="2">
        <v>7252</v>
      </c>
      <c r="BG7" s="2">
        <v>5728</v>
      </c>
      <c r="BH7" s="2">
        <v>4277</v>
      </c>
      <c r="BI7" s="2">
        <v>3126</v>
      </c>
      <c r="BJ7" s="2">
        <v>2174</v>
      </c>
      <c r="BK7" s="2">
        <v>1365</v>
      </c>
      <c r="BL7" s="2">
        <v>1220</v>
      </c>
    </row>
    <row r="8" spans="1:64">
      <c r="A8" t="s">
        <v>21</v>
      </c>
      <c r="B8" t="s">
        <v>22</v>
      </c>
      <c r="C8" t="s">
        <v>21</v>
      </c>
      <c r="D8" t="s">
        <v>216</v>
      </c>
      <c r="E8" t="s">
        <v>210</v>
      </c>
      <c r="F8" t="s">
        <v>210</v>
      </c>
      <c r="G8" t="s">
        <v>19</v>
      </c>
      <c r="H8" t="s">
        <v>20</v>
      </c>
      <c r="I8" t="s">
        <v>211</v>
      </c>
      <c r="J8" t="s">
        <v>9</v>
      </c>
      <c r="K8" s="3">
        <v>133967</v>
      </c>
      <c r="L8" s="3">
        <v>133260</v>
      </c>
      <c r="M8" s="3">
        <v>267227</v>
      </c>
      <c r="N8" s="2">
        <v>25722</v>
      </c>
      <c r="O8" s="2">
        <v>20887</v>
      </c>
      <c r="P8" s="2">
        <v>17934</v>
      </c>
      <c r="Q8" s="2">
        <v>15955</v>
      </c>
      <c r="R8" s="2">
        <v>11479</v>
      </c>
      <c r="S8" s="2">
        <v>8705</v>
      </c>
      <c r="T8" s="2">
        <v>7741</v>
      </c>
      <c r="U8" s="2">
        <v>6537</v>
      </c>
      <c r="V8" s="2">
        <v>5084</v>
      </c>
      <c r="W8" s="2">
        <v>4014</v>
      </c>
      <c r="X8" s="2">
        <v>3074</v>
      </c>
      <c r="Y8" s="2">
        <v>2309</v>
      </c>
      <c r="Z8" s="2">
        <v>1643</v>
      </c>
      <c r="AA8" s="2">
        <v>1153</v>
      </c>
      <c r="AB8" s="2">
        <v>796</v>
      </c>
      <c r="AC8" s="2">
        <v>496</v>
      </c>
      <c r="AD8" s="2">
        <v>438</v>
      </c>
      <c r="AE8" s="2">
        <v>26872</v>
      </c>
      <c r="AF8" s="2">
        <v>21786</v>
      </c>
      <c r="AG8" s="2">
        <v>18277</v>
      </c>
      <c r="AH8" s="2">
        <v>16161</v>
      </c>
      <c r="AI8" s="2">
        <v>11324</v>
      </c>
      <c r="AJ8" s="2">
        <v>8060</v>
      </c>
      <c r="AK8" s="2">
        <v>5928</v>
      </c>
      <c r="AL8" s="2">
        <v>4724</v>
      </c>
      <c r="AM8" s="2">
        <v>4304</v>
      </c>
      <c r="AN8" s="2">
        <v>3807</v>
      </c>
      <c r="AO8" s="2">
        <v>3250</v>
      </c>
      <c r="AP8" s="2">
        <v>2687</v>
      </c>
      <c r="AQ8" s="2">
        <v>2087</v>
      </c>
      <c r="AR8" s="2">
        <v>1573</v>
      </c>
      <c r="AS8" s="2">
        <v>1100</v>
      </c>
      <c r="AT8" s="2">
        <v>694</v>
      </c>
      <c r="AU8" s="2">
        <v>626</v>
      </c>
      <c r="AV8" s="2">
        <v>52594</v>
      </c>
      <c r="AW8" s="2">
        <v>42673</v>
      </c>
      <c r="AX8" s="2">
        <v>36211</v>
      </c>
      <c r="AY8" s="2">
        <v>32116</v>
      </c>
      <c r="AZ8" s="2">
        <v>22803</v>
      </c>
      <c r="BA8" s="2">
        <v>16764</v>
      </c>
      <c r="BB8" s="2">
        <v>13668</v>
      </c>
      <c r="BC8" s="2">
        <v>11261</v>
      </c>
      <c r="BD8" s="2">
        <v>9388</v>
      </c>
      <c r="BE8" s="2">
        <v>7820</v>
      </c>
      <c r="BF8" s="2">
        <v>6325</v>
      </c>
      <c r="BG8" s="2">
        <v>4995</v>
      </c>
      <c r="BH8" s="2">
        <v>3730</v>
      </c>
      <c r="BI8" s="2">
        <v>2726</v>
      </c>
      <c r="BJ8" s="2">
        <v>1896</v>
      </c>
      <c r="BK8" s="2">
        <v>1190</v>
      </c>
      <c r="BL8" s="2">
        <v>1064</v>
      </c>
    </row>
    <row r="9" spans="1:64">
      <c r="A9" t="s">
        <v>23</v>
      </c>
      <c r="B9" t="s">
        <v>24</v>
      </c>
      <c r="C9" t="s">
        <v>23</v>
      </c>
      <c r="D9" t="s">
        <v>217</v>
      </c>
      <c r="E9" t="s">
        <v>210</v>
      </c>
      <c r="F9" t="s">
        <v>210</v>
      </c>
      <c r="G9" t="s">
        <v>19</v>
      </c>
      <c r="H9" t="s">
        <v>20</v>
      </c>
      <c r="I9" t="s">
        <v>211</v>
      </c>
      <c r="J9" t="s">
        <v>9</v>
      </c>
      <c r="K9" s="3">
        <v>136086</v>
      </c>
      <c r="L9" s="3">
        <v>135370</v>
      </c>
      <c r="M9" s="3">
        <v>271456</v>
      </c>
      <c r="N9" s="2">
        <v>26129</v>
      </c>
      <c r="O9" s="2">
        <v>21218</v>
      </c>
      <c r="P9" s="2">
        <v>18218</v>
      </c>
      <c r="Q9" s="2">
        <v>16208</v>
      </c>
      <c r="R9" s="2">
        <v>11661</v>
      </c>
      <c r="S9" s="2">
        <v>8842</v>
      </c>
      <c r="T9" s="2">
        <v>7863</v>
      </c>
      <c r="U9" s="2">
        <v>6641</v>
      </c>
      <c r="V9" s="2">
        <v>5164</v>
      </c>
      <c r="W9" s="2">
        <v>4077</v>
      </c>
      <c r="X9" s="2">
        <v>3123</v>
      </c>
      <c r="Y9" s="2">
        <v>2345</v>
      </c>
      <c r="Z9" s="2">
        <v>1669</v>
      </c>
      <c r="AA9" s="2">
        <v>1171</v>
      </c>
      <c r="AB9" s="2">
        <v>808</v>
      </c>
      <c r="AC9" s="2">
        <v>504</v>
      </c>
      <c r="AD9" s="2">
        <v>445</v>
      </c>
      <c r="AE9" s="2">
        <v>27298</v>
      </c>
      <c r="AF9" s="2">
        <v>22131</v>
      </c>
      <c r="AG9" s="2">
        <v>18566</v>
      </c>
      <c r="AH9" s="2">
        <v>16417</v>
      </c>
      <c r="AI9" s="2">
        <v>11503</v>
      </c>
      <c r="AJ9" s="2">
        <v>8187</v>
      </c>
      <c r="AK9" s="2">
        <v>6022</v>
      </c>
      <c r="AL9" s="2">
        <v>4799</v>
      </c>
      <c r="AM9" s="2">
        <v>4372</v>
      </c>
      <c r="AN9" s="2">
        <v>3867</v>
      </c>
      <c r="AO9" s="2">
        <v>3302</v>
      </c>
      <c r="AP9" s="2">
        <v>2729</v>
      </c>
      <c r="AQ9" s="2">
        <v>2120</v>
      </c>
      <c r="AR9" s="2">
        <v>1598</v>
      </c>
      <c r="AS9" s="2">
        <v>1118</v>
      </c>
      <c r="AT9" s="2">
        <v>705</v>
      </c>
      <c r="AU9" s="2">
        <v>636</v>
      </c>
      <c r="AV9" s="2">
        <v>53428</v>
      </c>
      <c r="AW9" s="2">
        <v>43349</v>
      </c>
      <c r="AX9" s="2">
        <v>36784</v>
      </c>
      <c r="AY9" s="2">
        <v>32625</v>
      </c>
      <c r="AZ9" s="2">
        <v>23164</v>
      </c>
      <c r="BA9" s="2">
        <v>17030</v>
      </c>
      <c r="BB9" s="2">
        <v>13885</v>
      </c>
      <c r="BC9" s="2">
        <v>11439</v>
      </c>
      <c r="BD9" s="2">
        <v>9536</v>
      </c>
      <c r="BE9" s="2">
        <v>7944</v>
      </c>
      <c r="BF9" s="2">
        <v>6425</v>
      </c>
      <c r="BG9" s="2">
        <v>5075</v>
      </c>
      <c r="BH9" s="2">
        <v>3789</v>
      </c>
      <c r="BI9" s="2">
        <v>2770</v>
      </c>
      <c r="BJ9" s="2">
        <v>1926</v>
      </c>
      <c r="BK9" s="2">
        <v>1209</v>
      </c>
      <c r="BL9" s="2">
        <v>1081</v>
      </c>
    </row>
    <row r="10" spans="1:64">
      <c r="A10" t="s">
        <v>187</v>
      </c>
      <c r="B10" t="s">
        <v>25</v>
      </c>
      <c r="C10" t="s">
        <v>26</v>
      </c>
      <c r="D10" t="s">
        <v>218</v>
      </c>
      <c r="E10" t="s">
        <v>210</v>
      </c>
      <c r="F10" t="s">
        <v>210</v>
      </c>
      <c r="G10" t="s">
        <v>187</v>
      </c>
      <c r="H10" t="s">
        <v>27</v>
      </c>
      <c r="I10" t="s">
        <v>211</v>
      </c>
      <c r="J10" t="s">
        <v>9</v>
      </c>
      <c r="K10" s="3">
        <v>103889</v>
      </c>
      <c r="L10" s="3">
        <v>99777</v>
      </c>
      <c r="M10" s="3">
        <v>203666</v>
      </c>
      <c r="N10" s="2">
        <v>12181</v>
      </c>
      <c r="O10" s="2">
        <v>10435</v>
      </c>
      <c r="P10" s="2">
        <v>39992</v>
      </c>
      <c r="Q10" s="2">
        <v>15165</v>
      </c>
      <c r="R10" s="2">
        <v>4262</v>
      </c>
      <c r="S10" s="2">
        <v>4424</v>
      </c>
      <c r="T10" s="2">
        <v>3709</v>
      </c>
      <c r="U10" s="2">
        <v>3164</v>
      </c>
      <c r="V10" s="2">
        <v>2692</v>
      </c>
      <c r="W10" s="2">
        <v>2239</v>
      </c>
      <c r="X10" s="2">
        <v>1757</v>
      </c>
      <c r="Y10" s="2">
        <v>1313</v>
      </c>
      <c r="Z10" s="2">
        <v>846</v>
      </c>
      <c r="AA10" s="2">
        <v>545</v>
      </c>
      <c r="AB10" s="2">
        <v>365</v>
      </c>
      <c r="AC10" s="2">
        <v>220</v>
      </c>
      <c r="AD10" s="2">
        <v>580</v>
      </c>
      <c r="AE10" s="2">
        <v>12726</v>
      </c>
      <c r="AF10" s="2">
        <v>10885</v>
      </c>
      <c r="AG10" s="2">
        <v>36563</v>
      </c>
      <c r="AH10" s="2">
        <v>14549</v>
      </c>
      <c r="AI10" s="2">
        <v>4609</v>
      </c>
      <c r="AJ10" s="2">
        <v>4419</v>
      </c>
      <c r="AK10" s="2">
        <v>3386</v>
      </c>
      <c r="AL10" s="2">
        <v>2695</v>
      </c>
      <c r="AM10" s="2">
        <v>2015</v>
      </c>
      <c r="AN10" s="2">
        <v>1669</v>
      </c>
      <c r="AO10" s="2">
        <v>1693</v>
      </c>
      <c r="AP10" s="2">
        <v>1465</v>
      </c>
      <c r="AQ10" s="2">
        <v>1002</v>
      </c>
      <c r="AR10" s="2">
        <v>699</v>
      </c>
      <c r="AS10" s="2">
        <v>506</v>
      </c>
      <c r="AT10" s="2">
        <v>311</v>
      </c>
      <c r="AU10" s="2">
        <v>585</v>
      </c>
      <c r="AV10" s="2">
        <v>24906</v>
      </c>
      <c r="AW10" s="2">
        <v>21320</v>
      </c>
      <c r="AX10" s="2">
        <v>76555</v>
      </c>
      <c r="AY10" s="2">
        <v>29714</v>
      </c>
      <c r="AZ10" s="2">
        <v>8871</v>
      </c>
      <c r="BA10" s="2">
        <v>8844</v>
      </c>
      <c r="BB10" s="2">
        <v>7095</v>
      </c>
      <c r="BC10" s="2">
        <v>5859</v>
      </c>
      <c r="BD10" s="2">
        <v>4707</v>
      </c>
      <c r="BE10" s="2">
        <v>3908</v>
      </c>
      <c r="BF10" s="2">
        <v>3450</v>
      </c>
      <c r="BG10" s="2">
        <v>2778</v>
      </c>
      <c r="BH10" s="2">
        <v>1847</v>
      </c>
      <c r="BI10" s="2">
        <v>1243</v>
      </c>
      <c r="BJ10" s="2">
        <v>871</v>
      </c>
      <c r="BK10" s="2">
        <v>531</v>
      </c>
      <c r="BL10" s="2">
        <v>1166</v>
      </c>
    </row>
    <row r="11" spans="1:64">
      <c r="A11" t="s">
        <v>28</v>
      </c>
      <c r="B11" t="s">
        <v>29</v>
      </c>
      <c r="C11" t="s">
        <v>28</v>
      </c>
      <c r="D11" t="s">
        <v>219</v>
      </c>
      <c r="E11" t="s">
        <v>210</v>
      </c>
      <c r="F11" t="s">
        <v>210</v>
      </c>
      <c r="G11" t="s">
        <v>187</v>
      </c>
      <c r="H11" t="s">
        <v>27</v>
      </c>
      <c r="I11" t="s">
        <v>211</v>
      </c>
      <c r="J11" t="s">
        <v>9</v>
      </c>
      <c r="K11" s="3">
        <v>100869</v>
      </c>
      <c r="L11" s="3">
        <v>96876</v>
      </c>
      <c r="M11" s="3">
        <v>197745</v>
      </c>
      <c r="N11" s="2">
        <v>11827</v>
      </c>
      <c r="O11" s="2">
        <v>10132</v>
      </c>
      <c r="P11" s="2">
        <v>38830</v>
      </c>
      <c r="Q11" s="2">
        <v>14724</v>
      </c>
      <c r="R11" s="2">
        <v>4138</v>
      </c>
      <c r="S11" s="2">
        <v>4296</v>
      </c>
      <c r="T11" s="2">
        <v>3601</v>
      </c>
      <c r="U11" s="2">
        <v>3072</v>
      </c>
      <c r="V11" s="2">
        <v>2613</v>
      </c>
      <c r="W11" s="2">
        <v>2174</v>
      </c>
      <c r="X11" s="2">
        <v>1706</v>
      </c>
      <c r="Y11" s="2">
        <v>1275</v>
      </c>
      <c r="Z11" s="2">
        <v>821</v>
      </c>
      <c r="AA11" s="2">
        <v>529</v>
      </c>
      <c r="AB11" s="2">
        <v>354</v>
      </c>
      <c r="AC11" s="2">
        <v>213</v>
      </c>
      <c r="AD11" s="2">
        <v>564</v>
      </c>
      <c r="AE11" s="2">
        <v>12356</v>
      </c>
      <c r="AF11" s="2">
        <v>10568</v>
      </c>
      <c r="AG11" s="2">
        <v>35500</v>
      </c>
      <c r="AH11" s="2">
        <v>14126</v>
      </c>
      <c r="AI11" s="2">
        <v>4475</v>
      </c>
      <c r="AJ11" s="2">
        <v>4291</v>
      </c>
      <c r="AK11" s="2">
        <v>3288</v>
      </c>
      <c r="AL11" s="2">
        <v>2617</v>
      </c>
      <c r="AM11" s="2">
        <v>1957</v>
      </c>
      <c r="AN11" s="2">
        <v>1620</v>
      </c>
      <c r="AO11" s="2">
        <v>1643</v>
      </c>
      <c r="AP11" s="2">
        <v>1423</v>
      </c>
      <c r="AQ11" s="2">
        <v>973</v>
      </c>
      <c r="AR11" s="2">
        <v>678</v>
      </c>
      <c r="AS11" s="2">
        <v>491</v>
      </c>
      <c r="AT11" s="2">
        <v>302</v>
      </c>
      <c r="AU11" s="2">
        <v>568</v>
      </c>
      <c r="AV11" s="2">
        <v>24182</v>
      </c>
      <c r="AW11" s="2">
        <v>20700</v>
      </c>
      <c r="AX11" s="2">
        <v>74329</v>
      </c>
      <c r="AY11" s="2">
        <v>28850</v>
      </c>
      <c r="AZ11" s="2">
        <v>8613</v>
      </c>
      <c r="BA11" s="2">
        <v>8587</v>
      </c>
      <c r="BB11" s="2">
        <v>6889</v>
      </c>
      <c r="BC11" s="2">
        <v>5689</v>
      </c>
      <c r="BD11" s="2">
        <v>4570</v>
      </c>
      <c r="BE11" s="2">
        <v>3794</v>
      </c>
      <c r="BF11" s="2">
        <v>3350</v>
      </c>
      <c r="BG11" s="2">
        <v>2697</v>
      </c>
      <c r="BH11" s="2">
        <v>1794</v>
      </c>
      <c r="BI11" s="2">
        <v>1207</v>
      </c>
      <c r="BJ11" s="2">
        <v>845</v>
      </c>
      <c r="BK11" s="2">
        <v>516</v>
      </c>
      <c r="BL11" s="2">
        <v>1132</v>
      </c>
    </row>
    <row r="12" spans="1:64">
      <c r="A12" t="s">
        <v>30</v>
      </c>
      <c r="B12" t="s">
        <v>31</v>
      </c>
      <c r="C12" t="s">
        <v>30</v>
      </c>
      <c r="D12" t="s">
        <v>220</v>
      </c>
      <c r="E12" t="s">
        <v>210</v>
      </c>
      <c r="F12" t="s">
        <v>210</v>
      </c>
      <c r="G12" t="s">
        <v>187</v>
      </c>
      <c r="H12" t="s">
        <v>27</v>
      </c>
      <c r="I12" t="s">
        <v>211</v>
      </c>
      <c r="J12" t="s">
        <v>9</v>
      </c>
      <c r="K12" s="3">
        <v>62395</v>
      </c>
      <c r="L12" s="3">
        <v>59926</v>
      </c>
      <c r="M12" s="3">
        <v>122321</v>
      </c>
      <c r="N12" s="2">
        <v>7316</v>
      </c>
      <c r="O12" s="2">
        <v>6267</v>
      </c>
      <c r="P12" s="2">
        <v>24019</v>
      </c>
      <c r="Q12" s="2">
        <v>9108</v>
      </c>
      <c r="R12" s="2">
        <v>2560</v>
      </c>
      <c r="S12" s="2">
        <v>2657</v>
      </c>
      <c r="T12" s="2">
        <v>2228</v>
      </c>
      <c r="U12" s="2">
        <v>1900</v>
      </c>
      <c r="V12" s="2">
        <v>1617</v>
      </c>
      <c r="W12" s="2">
        <v>1345</v>
      </c>
      <c r="X12" s="2">
        <v>1055</v>
      </c>
      <c r="Y12" s="2">
        <v>788</v>
      </c>
      <c r="Z12" s="2">
        <v>508</v>
      </c>
      <c r="AA12" s="2">
        <v>327</v>
      </c>
      <c r="AB12" s="2">
        <v>219</v>
      </c>
      <c r="AC12" s="2">
        <v>132</v>
      </c>
      <c r="AD12" s="2">
        <v>349</v>
      </c>
      <c r="AE12" s="2">
        <v>7643</v>
      </c>
      <c r="AF12" s="2">
        <v>6537</v>
      </c>
      <c r="AG12" s="2">
        <v>21960</v>
      </c>
      <c r="AH12" s="2">
        <v>8738</v>
      </c>
      <c r="AI12" s="2">
        <v>2768</v>
      </c>
      <c r="AJ12" s="2">
        <v>2654</v>
      </c>
      <c r="AK12" s="2">
        <v>2034</v>
      </c>
      <c r="AL12" s="2">
        <v>1619</v>
      </c>
      <c r="AM12" s="2">
        <v>1210</v>
      </c>
      <c r="AN12" s="2">
        <v>1002</v>
      </c>
      <c r="AO12" s="2">
        <v>1017</v>
      </c>
      <c r="AP12" s="2">
        <v>880</v>
      </c>
      <c r="AQ12" s="2">
        <v>602</v>
      </c>
      <c r="AR12" s="2">
        <v>420</v>
      </c>
      <c r="AS12" s="2">
        <v>304</v>
      </c>
      <c r="AT12" s="2">
        <v>187</v>
      </c>
      <c r="AU12" s="2">
        <v>351</v>
      </c>
      <c r="AV12" s="2">
        <v>14959</v>
      </c>
      <c r="AW12" s="2">
        <v>12805</v>
      </c>
      <c r="AX12" s="2">
        <v>45979</v>
      </c>
      <c r="AY12" s="2">
        <v>17846</v>
      </c>
      <c r="AZ12" s="2">
        <v>5328</v>
      </c>
      <c r="BA12" s="2">
        <v>5312</v>
      </c>
      <c r="BB12" s="2">
        <v>4261</v>
      </c>
      <c r="BC12" s="2">
        <v>3519</v>
      </c>
      <c r="BD12" s="2">
        <v>2827</v>
      </c>
      <c r="BE12" s="2">
        <v>2347</v>
      </c>
      <c r="BF12" s="2">
        <v>2072</v>
      </c>
      <c r="BG12" s="2">
        <v>1669</v>
      </c>
      <c r="BH12" s="2">
        <v>1109</v>
      </c>
      <c r="BI12" s="2">
        <v>747</v>
      </c>
      <c r="BJ12" s="2">
        <v>523</v>
      </c>
      <c r="BK12" s="2">
        <v>319</v>
      </c>
      <c r="BL12" s="2">
        <v>700</v>
      </c>
    </row>
    <row r="13" spans="1:64">
      <c r="A13" t="s">
        <v>188</v>
      </c>
      <c r="B13" t="s">
        <v>32</v>
      </c>
      <c r="C13" t="s">
        <v>33</v>
      </c>
      <c r="D13" t="s">
        <v>221</v>
      </c>
      <c r="E13" t="s">
        <v>210</v>
      </c>
      <c r="F13" t="s">
        <v>210</v>
      </c>
      <c r="G13" t="s">
        <v>187</v>
      </c>
      <c r="H13" t="s">
        <v>27</v>
      </c>
      <c r="I13" t="s">
        <v>211</v>
      </c>
      <c r="J13" t="s">
        <v>9</v>
      </c>
      <c r="K13" s="3">
        <v>57174</v>
      </c>
      <c r="L13" s="3">
        <v>54913</v>
      </c>
      <c r="M13" s="3">
        <v>112087</v>
      </c>
      <c r="N13" s="2">
        <v>6704</v>
      </c>
      <c r="O13" s="2">
        <v>5743</v>
      </c>
      <c r="P13" s="2">
        <v>22010</v>
      </c>
      <c r="Q13" s="2">
        <v>8346</v>
      </c>
      <c r="R13" s="2">
        <v>2346</v>
      </c>
      <c r="S13" s="2">
        <v>2435</v>
      </c>
      <c r="T13" s="2">
        <v>2041</v>
      </c>
      <c r="U13" s="2">
        <v>1741</v>
      </c>
      <c r="V13" s="2">
        <v>1481</v>
      </c>
      <c r="W13" s="2">
        <v>1232</v>
      </c>
      <c r="X13" s="2">
        <v>967</v>
      </c>
      <c r="Y13" s="2">
        <v>722</v>
      </c>
      <c r="Z13" s="2">
        <v>465</v>
      </c>
      <c r="AA13" s="2">
        <v>300</v>
      </c>
      <c r="AB13" s="2">
        <v>201</v>
      </c>
      <c r="AC13" s="2">
        <v>121</v>
      </c>
      <c r="AD13" s="2">
        <v>319</v>
      </c>
      <c r="AE13" s="2">
        <v>7004</v>
      </c>
      <c r="AF13" s="2">
        <v>5991</v>
      </c>
      <c r="AG13" s="2">
        <v>20123</v>
      </c>
      <c r="AH13" s="2">
        <v>8007</v>
      </c>
      <c r="AI13" s="2">
        <v>2537</v>
      </c>
      <c r="AJ13" s="2">
        <v>2432</v>
      </c>
      <c r="AK13" s="2">
        <v>1864</v>
      </c>
      <c r="AL13" s="2">
        <v>1483</v>
      </c>
      <c r="AM13" s="2">
        <v>1109</v>
      </c>
      <c r="AN13" s="2">
        <v>918</v>
      </c>
      <c r="AO13" s="2">
        <v>932</v>
      </c>
      <c r="AP13" s="2">
        <v>806</v>
      </c>
      <c r="AQ13" s="2">
        <v>551</v>
      </c>
      <c r="AR13" s="2">
        <v>384</v>
      </c>
      <c r="AS13" s="2">
        <v>279</v>
      </c>
      <c r="AT13" s="2">
        <v>171</v>
      </c>
      <c r="AU13" s="2">
        <v>322</v>
      </c>
      <c r="AV13" s="2">
        <v>13707</v>
      </c>
      <c r="AW13" s="2">
        <v>11734</v>
      </c>
      <c r="AX13" s="2">
        <v>42133</v>
      </c>
      <c r="AY13" s="2">
        <v>16353</v>
      </c>
      <c r="AZ13" s="2">
        <v>4882</v>
      </c>
      <c r="BA13" s="2">
        <v>4867</v>
      </c>
      <c r="BB13" s="2">
        <v>3905</v>
      </c>
      <c r="BC13" s="2">
        <v>3225</v>
      </c>
      <c r="BD13" s="2">
        <v>2590</v>
      </c>
      <c r="BE13" s="2">
        <v>2151</v>
      </c>
      <c r="BF13" s="2">
        <v>1899</v>
      </c>
      <c r="BG13" s="2">
        <v>1529</v>
      </c>
      <c r="BH13" s="2">
        <v>1017</v>
      </c>
      <c r="BI13" s="2">
        <v>684</v>
      </c>
      <c r="BJ13" s="2">
        <v>479</v>
      </c>
      <c r="BK13" s="2">
        <v>292</v>
      </c>
      <c r="BL13" s="2">
        <v>642</v>
      </c>
    </row>
    <row r="14" spans="1:64">
      <c r="A14" t="s">
        <v>34</v>
      </c>
      <c r="B14" t="s">
        <v>35</v>
      </c>
      <c r="C14" t="s">
        <v>34</v>
      </c>
      <c r="D14" t="s">
        <v>222</v>
      </c>
      <c r="E14" t="s">
        <v>210</v>
      </c>
      <c r="F14" t="s">
        <v>210</v>
      </c>
      <c r="G14" t="s">
        <v>201</v>
      </c>
      <c r="H14" t="s">
        <v>36</v>
      </c>
      <c r="I14" t="s">
        <v>211</v>
      </c>
      <c r="J14" t="s">
        <v>9</v>
      </c>
      <c r="K14" s="3">
        <v>136209</v>
      </c>
      <c r="L14" s="3">
        <v>136989</v>
      </c>
      <c r="M14" s="3">
        <v>273198</v>
      </c>
      <c r="N14" s="2">
        <v>25956</v>
      </c>
      <c r="O14" s="2">
        <v>21218</v>
      </c>
      <c r="P14" s="2">
        <v>18114</v>
      </c>
      <c r="Q14" s="2">
        <v>16452</v>
      </c>
      <c r="R14" s="2">
        <v>11722</v>
      </c>
      <c r="S14" s="2">
        <v>8760</v>
      </c>
      <c r="T14" s="2">
        <v>7859</v>
      </c>
      <c r="U14" s="2">
        <v>6665</v>
      </c>
      <c r="V14" s="2">
        <v>5202</v>
      </c>
      <c r="W14" s="2">
        <v>4108</v>
      </c>
      <c r="X14" s="2">
        <v>3114</v>
      </c>
      <c r="Y14" s="2">
        <v>2328</v>
      </c>
      <c r="Z14" s="2">
        <v>1661</v>
      </c>
      <c r="AA14" s="2">
        <v>1177</v>
      </c>
      <c r="AB14" s="2">
        <v>831</v>
      </c>
      <c r="AC14" s="2">
        <v>534</v>
      </c>
      <c r="AD14" s="2">
        <v>508</v>
      </c>
      <c r="AE14" s="2">
        <v>27116</v>
      </c>
      <c r="AF14" s="2">
        <v>22132</v>
      </c>
      <c r="AG14" s="2">
        <v>18664</v>
      </c>
      <c r="AH14" s="2">
        <v>17013</v>
      </c>
      <c r="AI14" s="2">
        <v>12053</v>
      </c>
      <c r="AJ14" s="2">
        <v>8498</v>
      </c>
      <c r="AK14" s="2">
        <v>5994</v>
      </c>
      <c r="AL14" s="2">
        <v>4690</v>
      </c>
      <c r="AM14" s="2">
        <v>4432</v>
      </c>
      <c r="AN14" s="2">
        <v>3982</v>
      </c>
      <c r="AO14" s="2">
        <v>3405</v>
      </c>
      <c r="AP14" s="2">
        <v>2802</v>
      </c>
      <c r="AQ14" s="2">
        <v>2112</v>
      </c>
      <c r="AR14" s="2">
        <v>1576</v>
      </c>
      <c r="AS14" s="2">
        <v>1142</v>
      </c>
      <c r="AT14" s="2">
        <v>731</v>
      </c>
      <c r="AU14" s="2">
        <v>647</v>
      </c>
      <c r="AV14" s="2">
        <v>53072</v>
      </c>
      <c r="AW14" s="2">
        <v>43349</v>
      </c>
      <c r="AX14" s="2">
        <v>36778</v>
      </c>
      <c r="AY14" s="2">
        <v>33464</v>
      </c>
      <c r="AZ14" s="2">
        <v>23775</v>
      </c>
      <c r="BA14" s="2">
        <v>17258</v>
      </c>
      <c r="BB14" s="2">
        <v>13853</v>
      </c>
      <c r="BC14" s="2">
        <v>11355</v>
      </c>
      <c r="BD14" s="2">
        <v>9634</v>
      </c>
      <c r="BE14" s="2">
        <v>8090</v>
      </c>
      <c r="BF14" s="2">
        <v>6520</v>
      </c>
      <c r="BG14" s="2">
        <v>5129</v>
      </c>
      <c r="BH14" s="2">
        <v>3773</v>
      </c>
      <c r="BI14" s="2">
        <v>2753</v>
      </c>
      <c r="BJ14" s="2">
        <v>1973</v>
      </c>
      <c r="BK14" s="2">
        <v>1265</v>
      </c>
      <c r="BL14" s="2">
        <v>1155</v>
      </c>
    </row>
    <row r="15" spans="1:64">
      <c r="A15" t="s">
        <v>37</v>
      </c>
      <c r="B15" t="s">
        <v>38</v>
      </c>
      <c r="C15" t="s">
        <v>37</v>
      </c>
      <c r="D15" t="s">
        <v>223</v>
      </c>
      <c r="E15" t="s">
        <v>210</v>
      </c>
      <c r="F15" t="s">
        <v>210</v>
      </c>
      <c r="G15" t="s">
        <v>201</v>
      </c>
      <c r="H15" t="s">
        <v>36</v>
      </c>
      <c r="I15" t="s">
        <v>211</v>
      </c>
      <c r="J15" t="s">
        <v>9</v>
      </c>
      <c r="K15" s="3">
        <v>165199</v>
      </c>
      <c r="L15" s="3">
        <v>166150</v>
      </c>
      <c r="M15" s="3">
        <v>331349</v>
      </c>
      <c r="N15" s="2">
        <v>31481</v>
      </c>
      <c r="O15" s="2">
        <v>25734</v>
      </c>
      <c r="P15" s="2">
        <v>21970</v>
      </c>
      <c r="Q15" s="2">
        <v>19953</v>
      </c>
      <c r="R15" s="2">
        <v>14217</v>
      </c>
      <c r="S15" s="2">
        <v>10625</v>
      </c>
      <c r="T15" s="2">
        <v>9532</v>
      </c>
      <c r="U15" s="2">
        <v>8084</v>
      </c>
      <c r="V15" s="2">
        <v>6309</v>
      </c>
      <c r="W15" s="2">
        <v>4982</v>
      </c>
      <c r="X15" s="2">
        <v>3777</v>
      </c>
      <c r="Y15" s="2">
        <v>2823</v>
      </c>
      <c r="Z15" s="2">
        <v>2015</v>
      </c>
      <c r="AA15" s="2">
        <v>1427</v>
      </c>
      <c r="AB15" s="2">
        <v>1007</v>
      </c>
      <c r="AC15" s="2">
        <v>647</v>
      </c>
      <c r="AD15" s="2">
        <v>616</v>
      </c>
      <c r="AE15" s="2">
        <v>32888</v>
      </c>
      <c r="AF15" s="2">
        <v>26843</v>
      </c>
      <c r="AG15" s="2">
        <v>22637</v>
      </c>
      <c r="AH15" s="2">
        <v>20634</v>
      </c>
      <c r="AI15" s="2">
        <v>14619</v>
      </c>
      <c r="AJ15" s="2">
        <v>10307</v>
      </c>
      <c r="AK15" s="2">
        <v>7270</v>
      </c>
      <c r="AL15" s="2">
        <v>5688</v>
      </c>
      <c r="AM15" s="2">
        <v>5376</v>
      </c>
      <c r="AN15" s="2">
        <v>4829</v>
      </c>
      <c r="AO15" s="2">
        <v>4130</v>
      </c>
      <c r="AP15" s="2">
        <v>3398</v>
      </c>
      <c r="AQ15" s="2">
        <v>2562</v>
      </c>
      <c r="AR15" s="2">
        <v>1912</v>
      </c>
      <c r="AS15" s="2">
        <v>1385</v>
      </c>
      <c r="AT15" s="2">
        <v>887</v>
      </c>
      <c r="AU15" s="2">
        <v>785</v>
      </c>
      <c r="AV15" s="2">
        <v>64369</v>
      </c>
      <c r="AW15" s="2">
        <v>52576</v>
      </c>
      <c r="AX15" s="2">
        <v>44607</v>
      </c>
      <c r="AY15" s="2">
        <v>40587</v>
      </c>
      <c r="AZ15" s="2">
        <v>28836</v>
      </c>
      <c r="BA15" s="2">
        <v>20931</v>
      </c>
      <c r="BB15" s="2">
        <v>16802</v>
      </c>
      <c r="BC15" s="2">
        <v>13772</v>
      </c>
      <c r="BD15" s="2">
        <v>11685</v>
      </c>
      <c r="BE15" s="2">
        <v>9812</v>
      </c>
      <c r="BF15" s="2">
        <v>7908</v>
      </c>
      <c r="BG15" s="2">
        <v>6221</v>
      </c>
      <c r="BH15" s="2">
        <v>4576</v>
      </c>
      <c r="BI15" s="2">
        <v>3340</v>
      </c>
      <c r="BJ15" s="2">
        <v>2393</v>
      </c>
      <c r="BK15" s="2">
        <v>1534</v>
      </c>
      <c r="BL15" s="2">
        <v>1401</v>
      </c>
    </row>
    <row r="16" spans="1:64">
      <c r="A16" t="s">
        <v>39</v>
      </c>
      <c r="B16" t="s">
        <v>40</v>
      </c>
      <c r="C16" t="s">
        <v>39</v>
      </c>
      <c r="D16" t="s">
        <v>224</v>
      </c>
      <c r="E16" t="s">
        <v>210</v>
      </c>
      <c r="F16" t="s">
        <v>210</v>
      </c>
      <c r="G16" t="s">
        <v>201</v>
      </c>
      <c r="H16" t="s">
        <v>36</v>
      </c>
      <c r="I16" t="s">
        <v>211</v>
      </c>
      <c r="J16" t="s">
        <v>9</v>
      </c>
      <c r="K16" s="3">
        <v>108527</v>
      </c>
      <c r="L16" s="3">
        <v>109150</v>
      </c>
      <c r="M16" s="3">
        <v>217677</v>
      </c>
      <c r="N16" s="2">
        <v>20681</v>
      </c>
      <c r="O16" s="2">
        <v>16906</v>
      </c>
      <c r="P16" s="2">
        <v>14433</v>
      </c>
      <c r="Q16" s="2">
        <v>13108</v>
      </c>
      <c r="R16" s="2">
        <v>9339</v>
      </c>
      <c r="S16" s="2">
        <v>6980</v>
      </c>
      <c r="T16" s="2">
        <v>6262</v>
      </c>
      <c r="U16" s="2">
        <v>5311</v>
      </c>
      <c r="V16" s="2">
        <v>4145</v>
      </c>
      <c r="W16" s="2">
        <v>3273</v>
      </c>
      <c r="X16" s="2">
        <v>2481</v>
      </c>
      <c r="Y16" s="2">
        <v>1855</v>
      </c>
      <c r="Z16" s="2">
        <v>1323</v>
      </c>
      <c r="AA16" s="2">
        <v>938</v>
      </c>
      <c r="AB16" s="2">
        <v>662</v>
      </c>
      <c r="AC16" s="2">
        <v>425</v>
      </c>
      <c r="AD16" s="2">
        <v>405</v>
      </c>
      <c r="AE16" s="2">
        <v>21605</v>
      </c>
      <c r="AF16" s="2">
        <v>17634</v>
      </c>
      <c r="AG16" s="2">
        <v>14871</v>
      </c>
      <c r="AH16" s="2">
        <v>13555</v>
      </c>
      <c r="AI16" s="2">
        <v>9604</v>
      </c>
      <c r="AJ16" s="2">
        <v>6771</v>
      </c>
      <c r="AK16" s="2">
        <v>4776</v>
      </c>
      <c r="AL16" s="2">
        <v>3737</v>
      </c>
      <c r="AM16" s="2">
        <v>3532</v>
      </c>
      <c r="AN16" s="2">
        <v>3173</v>
      </c>
      <c r="AO16" s="2">
        <v>2713</v>
      </c>
      <c r="AP16" s="2">
        <v>2232</v>
      </c>
      <c r="AQ16" s="2">
        <v>1683</v>
      </c>
      <c r="AR16" s="2">
        <v>1256</v>
      </c>
      <c r="AS16" s="2">
        <v>910</v>
      </c>
      <c r="AT16" s="2">
        <v>582</v>
      </c>
      <c r="AU16" s="2">
        <v>516</v>
      </c>
      <c r="AV16" s="2">
        <v>42286</v>
      </c>
      <c r="AW16" s="2">
        <v>34539</v>
      </c>
      <c r="AX16" s="2">
        <v>29304</v>
      </c>
      <c r="AY16" s="2">
        <v>26663</v>
      </c>
      <c r="AZ16" s="2">
        <v>18943</v>
      </c>
      <c r="BA16" s="2">
        <v>13751</v>
      </c>
      <c r="BB16" s="2">
        <v>11038</v>
      </c>
      <c r="BC16" s="2">
        <v>9047</v>
      </c>
      <c r="BD16" s="2">
        <v>7676</v>
      </c>
      <c r="BE16" s="2">
        <v>6446</v>
      </c>
      <c r="BF16" s="2">
        <v>5195</v>
      </c>
      <c r="BG16" s="2">
        <v>4087</v>
      </c>
      <c r="BH16" s="2">
        <v>3006</v>
      </c>
      <c r="BI16" s="2">
        <v>2194</v>
      </c>
      <c r="BJ16" s="2">
        <v>1572</v>
      </c>
      <c r="BK16" s="2">
        <v>1008</v>
      </c>
      <c r="BL16" s="2">
        <v>920</v>
      </c>
    </row>
    <row r="17" spans="1:64">
      <c r="A17" t="s">
        <v>41</v>
      </c>
      <c r="B17" t="s">
        <v>42</v>
      </c>
      <c r="C17" t="s">
        <v>41</v>
      </c>
      <c r="D17" t="s">
        <v>225</v>
      </c>
      <c r="E17" t="s">
        <v>210</v>
      </c>
      <c r="F17" t="s">
        <v>210</v>
      </c>
      <c r="G17" t="s">
        <v>41</v>
      </c>
      <c r="H17" t="s">
        <v>43</v>
      </c>
      <c r="I17" t="s">
        <v>211</v>
      </c>
      <c r="J17" t="s">
        <v>9</v>
      </c>
      <c r="K17" s="3">
        <v>115723</v>
      </c>
      <c r="L17" s="3">
        <v>113207</v>
      </c>
      <c r="M17" s="3">
        <v>228930</v>
      </c>
      <c r="N17" s="2">
        <v>22693</v>
      </c>
      <c r="O17" s="2">
        <v>18767</v>
      </c>
      <c r="P17" s="2">
        <v>12679</v>
      </c>
      <c r="Q17" s="2">
        <v>12119</v>
      </c>
      <c r="R17" s="2">
        <v>10147</v>
      </c>
      <c r="S17" s="2">
        <v>8144</v>
      </c>
      <c r="T17" s="2">
        <v>6546</v>
      </c>
      <c r="U17" s="2">
        <v>5454</v>
      </c>
      <c r="V17" s="2">
        <v>4900</v>
      </c>
      <c r="W17" s="2">
        <v>4173</v>
      </c>
      <c r="X17" s="2">
        <v>3178</v>
      </c>
      <c r="Y17" s="2">
        <v>2385</v>
      </c>
      <c r="Z17" s="2">
        <v>1696</v>
      </c>
      <c r="AA17" s="2">
        <v>1180</v>
      </c>
      <c r="AB17" s="2">
        <v>794</v>
      </c>
      <c r="AC17" s="2">
        <v>483</v>
      </c>
      <c r="AD17" s="2">
        <v>385</v>
      </c>
      <c r="AE17" s="2">
        <v>23708</v>
      </c>
      <c r="AF17" s="2">
        <v>19575</v>
      </c>
      <c r="AG17" s="2">
        <v>13694</v>
      </c>
      <c r="AH17" s="2">
        <v>13168</v>
      </c>
      <c r="AI17" s="2">
        <v>10550</v>
      </c>
      <c r="AJ17" s="2">
        <v>7717</v>
      </c>
      <c r="AK17" s="2">
        <v>4676</v>
      </c>
      <c r="AL17" s="2">
        <v>3263</v>
      </c>
      <c r="AM17" s="2">
        <v>3091</v>
      </c>
      <c r="AN17" s="2">
        <v>2878</v>
      </c>
      <c r="AO17" s="2">
        <v>2788</v>
      </c>
      <c r="AP17" s="2">
        <v>2449</v>
      </c>
      <c r="AQ17" s="2">
        <v>1853</v>
      </c>
      <c r="AR17" s="2">
        <v>1416</v>
      </c>
      <c r="AS17" s="2">
        <v>1111</v>
      </c>
      <c r="AT17" s="2">
        <v>726</v>
      </c>
      <c r="AU17" s="2">
        <v>544</v>
      </c>
      <c r="AV17" s="2">
        <v>46401</v>
      </c>
      <c r="AW17" s="2">
        <v>38342</v>
      </c>
      <c r="AX17" s="2">
        <v>26373</v>
      </c>
      <c r="AY17" s="2">
        <v>25287</v>
      </c>
      <c r="AZ17" s="2">
        <v>20698</v>
      </c>
      <c r="BA17" s="2">
        <v>15861</v>
      </c>
      <c r="BB17" s="2">
        <v>11222</v>
      </c>
      <c r="BC17" s="2">
        <v>8717</v>
      </c>
      <c r="BD17" s="2">
        <v>7990</v>
      </c>
      <c r="BE17" s="2">
        <v>7050</v>
      </c>
      <c r="BF17" s="2">
        <v>5966</v>
      </c>
      <c r="BG17" s="2">
        <v>4834</v>
      </c>
      <c r="BH17" s="2">
        <v>3549</v>
      </c>
      <c r="BI17" s="2">
        <v>2596</v>
      </c>
      <c r="BJ17" s="2">
        <v>1905</v>
      </c>
      <c r="BK17" s="2">
        <v>1210</v>
      </c>
      <c r="BL17" s="2">
        <v>929</v>
      </c>
    </row>
    <row r="18" spans="1:64">
      <c r="A18" t="s">
        <v>44</v>
      </c>
      <c r="B18" t="s">
        <v>45</v>
      </c>
      <c r="C18" t="s">
        <v>44</v>
      </c>
      <c r="D18" t="s">
        <v>226</v>
      </c>
      <c r="E18" t="s">
        <v>210</v>
      </c>
      <c r="F18" t="s">
        <v>210</v>
      </c>
      <c r="G18" t="s">
        <v>41</v>
      </c>
      <c r="H18" t="s">
        <v>43</v>
      </c>
      <c r="I18" t="s">
        <v>211</v>
      </c>
      <c r="J18" t="s">
        <v>9</v>
      </c>
      <c r="K18" s="3">
        <v>68724</v>
      </c>
      <c r="L18" s="3">
        <v>67230</v>
      </c>
      <c r="M18" s="3">
        <v>135954</v>
      </c>
      <c r="N18" s="2">
        <v>13476</v>
      </c>
      <c r="O18" s="2">
        <v>11145</v>
      </c>
      <c r="P18" s="2">
        <v>7530</v>
      </c>
      <c r="Q18" s="2">
        <v>7197</v>
      </c>
      <c r="R18" s="2">
        <v>6026</v>
      </c>
      <c r="S18" s="2">
        <v>4837</v>
      </c>
      <c r="T18" s="2">
        <v>3888</v>
      </c>
      <c r="U18" s="2">
        <v>3239</v>
      </c>
      <c r="V18" s="2">
        <v>2910</v>
      </c>
      <c r="W18" s="2">
        <v>2478</v>
      </c>
      <c r="X18" s="2">
        <v>1887</v>
      </c>
      <c r="Y18" s="2">
        <v>1416</v>
      </c>
      <c r="Z18" s="2">
        <v>1007</v>
      </c>
      <c r="AA18" s="2">
        <v>701</v>
      </c>
      <c r="AB18" s="2">
        <v>471</v>
      </c>
      <c r="AC18" s="2">
        <v>287</v>
      </c>
      <c r="AD18" s="2">
        <v>229</v>
      </c>
      <c r="AE18" s="2">
        <v>14079</v>
      </c>
      <c r="AF18" s="2">
        <v>11625</v>
      </c>
      <c r="AG18" s="2">
        <v>8132</v>
      </c>
      <c r="AH18" s="2">
        <v>7820</v>
      </c>
      <c r="AI18" s="2">
        <v>6265</v>
      </c>
      <c r="AJ18" s="2">
        <v>4583</v>
      </c>
      <c r="AK18" s="2">
        <v>2777</v>
      </c>
      <c r="AL18" s="2">
        <v>1938</v>
      </c>
      <c r="AM18" s="2">
        <v>1836</v>
      </c>
      <c r="AN18" s="2">
        <v>1709</v>
      </c>
      <c r="AO18" s="2">
        <v>1655</v>
      </c>
      <c r="AP18" s="2">
        <v>1455</v>
      </c>
      <c r="AQ18" s="2">
        <v>1101</v>
      </c>
      <c r="AR18" s="2">
        <v>841</v>
      </c>
      <c r="AS18" s="2">
        <v>660</v>
      </c>
      <c r="AT18" s="2">
        <v>431</v>
      </c>
      <c r="AU18" s="2">
        <v>323</v>
      </c>
      <c r="AV18" s="2">
        <v>27556</v>
      </c>
      <c r="AW18" s="2">
        <v>22770</v>
      </c>
      <c r="AX18" s="2">
        <v>15662</v>
      </c>
      <c r="AY18" s="2">
        <v>15017</v>
      </c>
      <c r="AZ18" s="2">
        <v>12292</v>
      </c>
      <c r="BA18" s="2">
        <v>9419</v>
      </c>
      <c r="BB18" s="2">
        <v>6664</v>
      </c>
      <c r="BC18" s="2">
        <v>5177</v>
      </c>
      <c r="BD18" s="2">
        <v>4745</v>
      </c>
      <c r="BE18" s="2">
        <v>4187</v>
      </c>
      <c r="BF18" s="2">
        <v>3543</v>
      </c>
      <c r="BG18" s="2">
        <v>2871</v>
      </c>
      <c r="BH18" s="2">
        <v>2108</v>
      </c>
      <c r="BI18" s="2">
        <v>1542</v>
      </c>
      <c r="BJ18" s="2">
        <v>1132</v>
      </c>
      <c r="BK18" s="2">
        <v>718</v>
      </c>
      <c r="BL18" s="2">
        <v>552</v>
      </c>
    </row>
    <row r="19" spans="1:64">
      <c r="A19" t="s">
        <v>46</v>
      </c>
      <c r="B19" t="s">
        <v>47</v>
      </c>
      <c r="C19" t="s">
        <v>48</v>
      </c>
      <c r="D19" t="s">
        <v>227</v>
      </c>
      <c r="E19" t="s">
        <v>210</v>
      </c>
      <c r="F19" t="s">
        <v>210</v>
      </c>
      <c r="G19" t="s">
        <v>41</v>
      </c>
      <c r="H19" t="s">
        <v>43</v>
      </c>
      <c r="I19" t="s">
        <v>211</v>
      </c>
      <c r="J19" t="s">
        <v>9</v>
      </c>
      <c r="K19" s="3">
        <v>67425</v>
      </c>
      <c r="L19" s="3">
        <v>65959</v>
      </c>
      <c r="M19" s="3">
        <v>133384</v>
      </c>
      <c r="N19" s="2">
        <v>13222</v>
      </c>
      <c r="O19" s="2">
        <v>10934</v>
      </c>
      <c r="P19" s="2">
        <v>7387</v>
      </c>
      <c r="Q19" s="2">
        <v>7061</v>
      </c>
      <c r="R19" s="2">
        <v>5912</v>
      </c>
      <c r="S19" s="2">
        <v>4745</v>
      </c>
      <c r="T19" s="2">
        <v>3814</v>
      </c>
      <c r="U19" s="2">
        <v>3178</v>
      </c>
      <c r="V19" s="2">
        <v>2855</v>
      </c>
      <c r="W19" s="2">
        <v>2431</v>
      </c>
      <c r="X19" s="2">
        <v>1852</v>
      </c>
      <c r="Y19" s="2">
        <v>1389</v>
      </c>
      <c r="Z19" s="2">
        <v>988</v>
      </c>
      <c r="AA19" s="2">
        <v>687</v>
      </c>
      <c r="AB19" s="2">
        <v>463</v>
      </c>
      <c r="AC19" s="2">
        <v>282</v>
      </c>
      <c r="AD19" s="2">
        <v>225</v>
      </c>
      <c r="AE19" s="2">
        <v>13813</v>
      </c>
      <c r="AF19" s="2">
        <v>11405</v>
      </c>
      <c r="AG19" s="2">
        <v>7979</v>
      </c>
      <c r="AH19" s="2">
        <v>7672</v>
      </c>
      <c r="AI19" s="2">
        <v>6147</v>
      </c>
      <c r="AJ19" s="2">
        <v>4496</v>
      </c>
      <c r="AK19" s="2">
        <v>2724</v>
      </c>
      <c r="AL19" s="2">
        <v>1901</v>
      </c>
      <c r="AM19" s="2">
        <v>1801</v>
      </c>
      <c r="AN19" s="2">
        <v>1677</v>
      </c>
      <c r="AO19" s="2">
        <v>1624</v>
      </c>
      <c r="AP19" s="2">
        <v>1427</v>
      </c>
      <c r="AQ19" s="2">
        <v>1080</v>
      </c>
      <c r="AR19" s="2">
        <v>825</v>
      </c>
      <c r="AS19" s="2">
        <v>648</v>
      </c>
      <c r="AT19" s="2">
        <v>423</v>
      </c>
      <c r="AU19" s="2">
        <v>317</v>
      </c>
      <c r="AV19" s="2">
        <v>27035</v>
      </c>
      <c r="AW19" s="2">
        <v>22340</v>
      </c>
      <c r="AX19" s="2">
        <v>15366</v>
      </c>
      <c r="AY19" s="2">
        <v>14733</v>
      </c>
      <c r="AZ19" s="2">
        <v>12059</v>
      </c>
      <c r="BA19" s="2">
        <v>9241</v>
      </c>
      <c r="BB19" s="2">
        <v>6538</v>
      </c>
      <c r="BC19" s="2">
        <v>5079</v>
      </c>
      <c r="BD19" s="2">
        <v>4655</v>
      </c>
      <c r="BE19" s="2">
        <v>4108</v>
      </c>
      <c r="BF19" s="2">
        <v>3476</v>
      </c>
      <c r="BG19" s="2">
        <v>2816</v>
      </c>
      <c r="BH19" s="2">
        <v>2068</v>
      </c>
      <c r="BI19" s="2">
        <v>1512</v>
      </c>
      <c r="BJ19" s="2">
        <v>1110</v>
      </c>
      <c r="BK19" s="2">
        <v>705</v>
      </c>
      <c r="BL19" s="2">
        <v>542</v>
      </c>
    </row>
    <row r="20" spans="1:64">
      <c r="A20" t="s">
        <v>49</v>
      </c>
      <c r="B20" t="s">
        <v>50</v>
      </c>
      <c r="C20" t="s">
        <v>49</v>
      </c>
      <c r="D20" t="s">
        <v>228</v>
      </c>
      <c r="E20" t="s">
        <v>210</v>
      </c>
      <c r="F20" t="s">
        <v>210</v>
      </c>
      <c r="G20" t="s">
        <v>51</v>
      </c>
      <c r="H20" t="s">
        <v>52</v>
      </c>
      <c r="I20" t="s">
        <v>211</v>
      </c>
      <c r="J20" t="s">
        <v>9</v>
      </c>
      <c r="K20" s="3">
        <v>82107</v>
      </c>
      <c r="L20" s="3">
        <v>83508</v>
      </c>
      <c r="M20" s="3">
        <v>165615</v>
      </c>
      <c r="N20" s="2">
        <v>15970</v>
      </c>
      <c r="O20" s="2">
        <v>13113</v>
      </c>
      <c r="P20" s="2">
        <v>10303</v>
      </c>
      <c r="Q20" s="2">
        <v>9439</v>
      </c>
      <c r="R20" s="2">
        <v>7033</v>
      </c>
      <c r="S20" s="2">
        <v>5407</v>
      </c>
      <c r="T20" s="2">
        <v>4838</v>
      </c>
      <c r="U20" s="2">
        <v>4115</v>
      </c>
      <c r="V20" s="2">
        <v>3263</v>
      </c>
      <c r="W20" s="2">
        <v>2592</v>
      </c>
      <c r="X20" s="2">
        <v>1942</v>
      </c>
      <c r="Y20" s="2">
        <v>1433</v>
      </c>
      <c r="Z20" s="2">
        <v>1019</v>
      </c>
      <c r="AA20" s="2">
        <v>701</v>
      </c>
      <c r="AB20" s="2">
        <v>446</v>
      </c>
      <c r="AC20" s="2">
        <v>263</v>
      </c>
      <c r="AD20" s="2">
        <v>230</v>
      </c>
      <c r="AE20" s="2">
        <v>16684</v>
      </c>
      <c r="AF20" s="2">
        <v>13677</v>
      </c>
      <c r="AG20" s="2">
        <v>11137</v>
      </c>
      <c r="AH20" s="2">
        <v>10219</v>
      </c>
      <c r="AI20" s="2">
        <v>7320</v>
      </c>
      <c r="AJ20" s="2">
        <v>5152</v>
      </c>
      <c r="AK20" s="2">
        <v>3518</v>
      </c>
      <c r="AL20" s="2">
        <v>2729</v>
      </c>
      <c r="AM20" s="2">
        <v>2671</v>
      </c>
      <c r="AN20" s="2">
        <v>2468</v>
      </c>
      <c r="AO20" s="2">
        <v>2222</v>
      </c>
      <c r="AP20" s="2">
        <v>1862</v>
      </c>
      <c r="AQ20" s="2">
        <v>1363</v>
      </c>
      <c r="AR20" s="2">
        <v>992</v>
      </c>
      <c r="AS20" s="2">
        <v>708</v>
      </c>
      <c r="AT20" s="2">
        <v>440</v>
      </c>
      <c r="AU20" s="2">
        <v>346</v>
      </c>
      <c r="AV20" s="2">
        <v>32654</v>
      </c>
      <c r="AW20" s="2">
        <v>26790</v>
      </c>
      <c r="AX20" s="2">
        <v>21440</v>
      </c>
      <c r="AY20" s="2">
        <v>19658</v>
      </c>
      <c r="AZ20" s="2">
        <v>14353</v>
      </c>
      <c r="BA20" s="2">
        <v>10558</v>
      </c>
      <c r="BB20" s="2">
        <v>8356</v>
      </c>
      <c r="BC20" s="2">
        <v>6844</v>
      </c>
      <c r="BD20" s="2">
        <v>5934</v>
      </c>
      <c r="BE20" s="2">
        <v>5060</v>
      </c>
      <c r="BF20" s="2">
        <v>4164</v>
      </c>
      <c r="BG20" s="2">
        <v>3295</v>
      </c>
      <c r="BH20" s="2">
        <v>2382</v>
      </c>
      <c r="BI20" s="2">
        <v>1693</v>
      </c>
      <c r="BJ20" s="2">
        <v>1153</v>
      </c>
      <c r="BK20" s="2">
        <v>703</v>
      </c>
      <c r="BL20" s="2">
        <v>576</v>
      </c>
    </row>
    <row r="21" spans="1:64">
      <c r="A21" t="s">
        <v>53</v>
      </c>
      <c r="B21" t="s">
        <v>54</v>
      </c>
      <c r="C21" t="s">
        <v>53</v>
      </c>
      <c r="D21" t="s">
        <v>229</v>
      </c>
      <c r="E21" t="s">
        <v>210</v>
      </c>
      <c r="F21" t="s">
        <v>210</v>
      </c>
      <c r="G21" t="s">
        <v>51</v>
      </c>
      <c r="H21" t="s">
        <v>52</v>
      </c>
      <c r="I21" t="s">
        <v>211</v>
      </c>
      <c r="J21" t="s">
        <v>9</v>
      </c>
      <c r="K21" s="3">
        <v>153938</v>
      </c>
      <c r="L21" s="3">
        <v>156572</v>
      </c>
      <c r="M21" s="3">
        <v>310510</v>
      </c>
      <c r="N21" s="2">
        <v>29942</v>
      </c>
      <c r="O21" s="2">
        <v>24584</v>
      </c>
      <c r="P21" s="2">
        <v>19318</v>
      </c>
      <c r="Q21" s="2">
        <v>17698</v>
      </c>
      <c r="R21" s="2">
        <v>13186</v>
      </c>
      <c r="S21" s="2">
        <v>10137</v>
      </c>
      <c r="T21" s="2">
        <v>9071</v>
      </c>
      <c r="U21" s="2">
        <v>7716</v>
      </c>
      <c r="V21" s="2">
        <v>6117</v>
      </c>
      <c r="W21" s="2">
        <v>4859</v>
      </c>
      <c r="X21" s="2">
        <v>3640</v>
      </c>
      <c r="Y21" s="2">
        <v>2686</v>
      </c>
      <c r="Z21" s="2">
        <v>1911</v>
      </c>
      <c r="AA21" s="2">
        <v>1314</v>
      </c>
      <c r="AB21" s="2">
        <v>835</v>
      </c>
      <c r="AC21" s="2">
        <v>493</v>
      </c>
      <c r="AD21" s="2">
        <v>431</v>
      </c>
      <c r="AE21" s="2">
        <v>31281</v>
      </c>
      <c r="AF21" s="2">
        <v>25643</v>
      </c>
      <c r="AG21" s="2">
        <v>20881</v>
      </c>
      <c r="AH21" s="2">
        <v>19160</v>
      </c>
      <c r="AI21" s="2">
        <v>13724</v>
      </c>
      <c r="AJ21" s="2">
        <v>9659</v>
      </c>
      <c r="AK21" s="2">
        <v>6597</v>
      </c>
      <c r="AL21" s="2">
        <v>5117</v>
      </c>
      <c r="AM21" s="2">
        <v>5008</v>
      </c>
      <c r="AN21" s="2">
        <v>4628</v>
      </c>
      <c r="AO21" s="2">
        <v>4167</v>
      </c>
      <c r="AP21" s="2">
        <v>3490</v>
      </c>
      <c r="AQ21" s="2">
        <v>2555</v>
      </c>
      <c r="AR21" s="2">
        <v>1860</v>
      </c>
      <c r="AS21" s="2">
        <v>1327</v>
      </c>
      <c r="AT21" s="2">
        <v>826</v>
      </c>
      <c r="AU21" s="2">
        <v>649</v>
      </c>
      <c r="AV21" s="2">
        <v>61222</v>
      </c>
      <c r="AW21" s="2">
        <v>50227</v>
      </c>
      <c r="AX21" s="2">
        <v>40198</v>
      </c>
      <c r="AY21" s="2">
        <v>36857</v>
      </c>
      <c r="AZ21" s="2">
        <v>26910</v>
      </c>
      <c r="BA21" s="2">
        <v>19795</v>
      </c>
      <c r="BB21" s="2">
        <v>15667</v>
      </c>
      <c r="BC21" s="2">
        <v>12832</v>
      </c>
      <c r="BD21" s="2">
        <v>11125</v>
      </c>
      <c r="BE21" s="2">
        <v>9487</v>
      </c>
      <c r="BF21" s="2">
        <v>7807</v>
      </c>
      <c r="BG21" s="2">
        <v>6177</v>
      </c>
      <c r="BH21" s="2">
        <v>4466</v>
      </c>
      <c r="BI21" s="2">
        <v>3174</v>
      </c>
      <c r="BJ21" s="2">
        <v>2163</v>
      </c>
      <c r="BK21" s="2">
        <v>1319</v>
      </c>
      <c r="BL21" s="2">
        <v>1080</v>
      </c>
    </row>
    <row r="22" spans="1:64">
      <c r="A22" t="s">
        <v>185</v>
      </c>
      <c r="B22" t="s">
        <v>186</v>
      </c>
      <c r="C22" t="s">
        <v>185</v>
      </c>
      <c r="D22" t="s">
        <v>281</v>
      </c>
      <c r="E22" t="s">
        <v>210</v>
      </c>
      <c r="F22" t="s">
        <v>210</v>
      </c>
      <c r="G22" t="s">
        <v>51</v>
      </c>
      <c r="H22" t="s">
        <v>52</v>
      </c>
      <c r="I22" t="s">
        <v>211</v>
      </c>
      <c r="J22" t="s">
        <v>9</v>
      </c>
      <c r="K22" s="3">
        <v>28407</v>
      </c>
      <c r="L22" s="3">
        <v>28889</v>
      </c>
      <c r="M22" s="3">
        <v>57296</v>
      </c>
      <c r="N22" s="2">
        <v>5525</v>
      </c>
      <c r="O22" s="2">
        <v>4536</v>
      </c>
      <c r="P22" s="2">
        <v>3565</v>
      </c>
      <c r="Q22" s="2">
        <v>3266</v>
      </c>
      <c r="R22" s="2">
        <v>2433</v>
      </c>
      <c r="S22" s="2">
        <v>1871</v>
      </c>
      <c r="T22" s="2">
        <v>1674</v>
      </c>
      <c r="U22" s="2">
        <v>1424</v>
      </c>
      <c r="V22" s="2">
        <v>1129</v>
      </c>
      <c r="W22" s="2">
        <v>897</v>
      </c>
      <c r="X22" s="2">
        <v>672</v>
      </c>
      <c r="Y22" s="2">
        <v>496</v>
      </c>
      <c r="Z22" s="2">
        <v>353</v>
      </c>
      <c r="AA22" s="2">
        <v>242</v>
      </c>
      <c r="AB22" s="2">
        <v>154</v>
      </c>
      <c r="AC22" s="2">
        <v>91</v>
      </c>
      <c r="AD22" s="2">
        <v>79</v>
      </c>
      <c r="AE22" s="2">
        <v>5772</v>
      </c>
      <c r="AF22" s="2">
        <v>4732</v>
      </c>
      <c r="AG22" s="2">
        <v>3853</v>
      </c>
      <c r="AH22" s="2">
        <v>3535</v>
      </c>
      <c r="AI22" s="2">
        <v>2532</v>
      </c>
      <c r="AJ22" s="2">
        <v>1782</v>
      </c>
      <c r="AK22" s="2">
        <v>1217</v>
      </c>
      <c r="AL22" s="2">
        <v>944</v>
      </c>
      <c r="AM22" s="2">
        <v>924</v>
      </c>
      <c r="AN22" s="2">
        <v>854</v>
      </c>
      <c r="AO22" s="2">
        <v>769</v>
      </c>
      <c r="AP22" s="2">
        <v>644</v>
      </c>
      <c r="AQ22" s="2">
        <v>471</v>
      </c>
      <c r="AR22" s="2">
        <v>343</v>
      </c>
      <c r="AS22" s="2">
        <v>245</v>
      </c>
      <c r="AT22" s="2">
        <v>152</v>
      </c>
      <c r="AU22" s="2">
        <v>120</v>
      </c>
      <c r="AV22" s="2">
        <v>11297</v>
      </c>
      <c r="AW22" s="2">
        <v>9268</v>
      </c>
      <c r="AX22" s="2">
        <v>7418</v>
      </c>
      <c r="AY22" s="2">
        <v>6801</v>
      </c>
      <c r="AZ22" s="2">
        <v>4966</v>
      </c>
      <c r="BA22" s="2">
        <v>3653</v>
      </c>
      <c r="BB22" s="2">
        <v>2891</v>
      </c>
      <c r="BC22" s="2">
        <v>2368</v>
      </c>
      <c r="BD22" s="2">
        <v>2053</v>
      </c>
      <c r="BE22" s="2">
        <v>1751</v>
      </c>
      <c r="BF22" s="2">
        <v>1441</v>
      </c>
      <c r="BG22" s="2">
        <v>1140</v>
      </c>
      <c r="BH22" s="2">
        <v>824</v>
      </c>
      <c r="BI22" s="2">
        <v>586</v>
      </c>
      <c r="BJ22" s="2">
        <v>399</v>
      </c>
      <c r="BK22" s="2">
        <v>243</v>
      </c>
      <c r="BL22" s="2">
        <v>199</v>
      </c>
    </row>
    <row r="23" spans="1:64">
      <c r="A23" t="s">
        <v>183</v>
      </c>
      <c r="B23" t="s">
        <v>184</v>
      </c>
      <c r="C23" t="s">
        <v>183</v>
      </c>
      <c r="D23" t="s">
        <v>280</v>
      </c>
      <c r="E23" t="s">
        <v>210</v>
      </c>
      <c r="F23" t="s">
        <v>210</v>
      </c>
      <c r="G23" t="s">
        <v>51</v>
      </c>
      <c r="H23" t="s">
        <v>52</v>
      </c>
      <c r="I23" t="s">
        <v>211</v>
      </c>
      <c r="J23" t="s">
        <v>9</v>
      </c>
      <c r="K23" s="3">
        <v>52173</v>
      </c>
      <c r="L23" s="3">
        <v>53068</v>
      </c>
      <c r="M23" s="3">
        <v>105241</v>
      </c>
      <c r="N23" s="2">
        <v>10148</v>
      </c>
      <c r="O23" s="2">
        <v>8333</v>
      </c>
      <c r="P23" s="2">
        <v>6547</v>
      </c>
      <c r="Q23" s="2">
        <v>5998</v>
      </c>
      <c r="R23" s="2">
        <v>4469</v>
      </c>
      <c r="S23" s="2">
        <v>3436</v>
      </c>
      <c r="T23" s="2">
        <v>3074</v>
      </c>
      <c r="U23" s="2">
        <v>2615</v>
      </c>
      <c r="V23" s="2">
        <v>2073</v>
      </c>
      <c r="W23" s="2">
        <v>1647</v>
      </c>
      <c r="X23" s="2">
        <v>1234</v>
      </c>
      <c r="Y23" s="2">
        <v>910</v>
      </c>
      <c r="Z23" s="2">
        <v>648</v>
      </c>
      <c r="AA23" s="2">
        <v>445</v>
      </c>
      <c r="AB23" s="2">
        <v>283</v>
      </c>
      <c r="AC23" s="2">
        <v>167</v>
      </c>
      <c r="AD23" s="2">
        <v>146</v>
      </c>
      <c r="AE23" s="2">
        <v>10602</v>
      </c>
      <c r="AF23" s="2">
        <v>8692</v>
      </c>
      <c r="AG23" s="2">
        <v>7077</v>
      </c>
      <c r="AH23" s="2">
        <v>6494</v>
      </c>
      <c r="AI23" s="2">
        <v>4652</v>
      </c>
      <c r="AJ23" s="2">
        <v>3274</v>
      </c>
      <c r="AK23" s="2">
        <v>2236</v>
      </c>
      <c r="AL23" s="2">
        <v>1734</v>
      </c>
      <c r="AM23" s="2">
        <v>1697</v>
      </c>
      <c r="AN23" s="2">
        <v>1569</v>
      </c>
      <c r="AO23" s="2">
        <v>1412</v>
      </c>
      <c r="AP23" s="2">
        <v>1183</v>
      </c>
      <c r="AQ23" s="2">
        <v>866</v>
      </c>
      <c r="AR23" s="2">
        <v>630</v>
      </c>
      <c r="AS23" s="2">
        <v>450</v>
      </c>
      <c r="AT23" s="2">
        <v>280</v>
      </c>
      <c r="AU23" s="2">
        <v>220</v>
      </c>
      <c r="AV23" s="2">
        <v>20751</v>
      </c>
      <c r="AW23" s="2">
        <v>17024</v>
      </c>
      <c r="AX23" s="2">
        <v>13625</v>
      </c>
      <c r="AY23" s="2">
        <v>12492</v>
      </c>
      <c r="AZ23" s="2">
        <v>9121</v>
      </c>
      <c r="BA23" s="2">
        <v>6709</v>
      </c>
      <c r="BB23" s="2">
        <v>5310</v>
      </c>
      <c r="BC23" s="2">
        <v>4349</v>
      </c>
      <c r="BD23" s="2">
        <v>3771</v>
      </c>
      <c r="BE23" s="2">
        <v>3215</v>
      </c>
      <c r="BF23" s="2">
        <v>2646</v>
      </c>
      <c r="BG23" s="2">
        <v>2094</v>
      </c>
      <c r="BH23" s="2">
        <v>1514</v>
      </c>
      <c r="BI23" s="2">
        <v>1076</v>
      </c>
      <c r="BJ23" s="2">
        <v>733</v>
      </c>
      <c r="BK23" s="2">
        <v>447</v>
      </c>
      <c r="BL23" s="2">
        <v>366</v>
      </c>
    </row>
    <row r="24" spans="1:64">
      <c r="A24" t="s">
        <v>55</v>
      </c>
      <c r="B24" t="s">
        <v>56</v>
      </c>
      <c r="C24" t="s">
        <v>55</v>
      </c>
      <c r="D24" t="s">
        <v>230</v>
      </c>
      <c r="E24" t="s">
        <v>210</v>
      </c>
      <c r="F24" t="s">
        <v>210</v>
      </c>
      <c r="G24" t="s">
        <v>57</v>
      </c>
      <c r="H24" t="s">
        <v>58</v>
      </c>
      <c r="I24" t="s">
        <v>211</v>
      </c>
      <c r="J24" t="s">
        <v>9</v>
      </c>
      <c r="K24" s="3">
        <v>250957</v>
      </c>
      <c r="L24" s="3">
        <v>245795</v>
      </c>
      <c r="M24" s="3">
        <v>496752</v>
      </c>
      <c r="N24" s="2">
        <v>48514</v>
      </c>
      <c r="O24" s="2">
        <v>39755</v>
      </c>
      <c r="P24" s="2">
        <v>33489</v>
      </c>
      <c r="Q24" s="2">
        <v>28437</v>
      </c>
      <c r="R24" s="2">
        <v>21157</v>
      </c>
      <c r="S24" s="2">
        <v>16758</v>
      </c>
      <c r="T24" s="2">
        <v>14988</v>
      </c>
      <c r="U24" s="2">
        <v>12588</v>
      </c>
      <c r="V24" s="2">
        <v>9327</v>
      </c>
      <c r="W24" s="2">
        <v>7217</v>
      </c>
      <c r="X24" s="2">
        <v>5765</v>
      </c>
      <c r="Y24" s="2">
        <v>4453</v>
      </c>
      <c r="Z24" s="2">
        <v>3261</v>
      </c>
      <c r="AA24" s="2">
        <v>2293</v>
      </c>
      <c r="AB24" s="2">
        <v>1478</v>
      </c>
      <c r="AC24" s="2">
        <v>863</v>
      </c>
      <c r="AD24" s="2">
        <v>614</v>
      </c>
      <c r="AE24" s="2">
        <v>50683</v>
      </c>
      <c r="AF24" s="2">
        <v>41467</v>
      </c>
      <c r="AG24" s="2">
        <v>33167</v>
      </c>
      <c r="AH24" s="2">
        <v>27914</v>
      </c>
      <c r="AI24" s="2">
        <v>21030</v>
      </c>
      <c r="AJ24" s="2">
        <v>16335</v>
      </c>
      <c r="AK24" s="2">
        <v>13013</v>
      </c>
      <c r="AL24" s="2">
        <v>10430</v>
      </c>
      <c r="AM24" s="2">
        <v>8098</v>
      </c>
      <c r="AN24" s="2">
        <v>6449</v>
      </c>
      <c r="AO24" s="2">
        <v>5208</v>
      </c>
      <c r="AP24" s="2">
        <v>4110</v>
      </c>
      <c r="AQ24" s="2">
        <v>3168</v>
      </c>
      <c r="AR24" s="2">
        <v>2258</v>
      </c>
      <c r="AS24" s="2">
        <v>1267</v>
      </c>
      <c r="AT24" s="2">
        <v>672</v>
      </c>
      <c r="AU24" s="2">
        <v>526</v>
      </c>
      <c r="AV24" s="2">
        <v>99197</v>
      </c>
      <c r="AW24" s="2">
        <v>81222</v>
      </c>
      <c r="AX24" s="2">
        <v>66656</v>
      </c>
      <c r="AY24" s="2">
        <v>56351</v>
      </c>
      <c r="AZ24" s="2">
        <v>42188</v>
      </c>
      <c r="BA24" s="2">
        <v>33092</v>
      </c>
      <c r="BB24" s="2">
        <v>28001</v>
      </c>
      <c r="BC24" s="2">
        <v>23018</v>
      </c>
      <c r="BD24" s="2">
        <v>17425</v>
      </c>
      <c r="BE24" s="2">
        <v>13666</v>
      </c>
      <c r="BF24" s="2">
        <v>10973</v>
      </c>
      <c r="BG24" s="2">
        <v>8563</v>
      </c>
      <c r="BH24" s="2">
        <v>6429</v>
      </c>
      <c r="BI24" s="2">
        <v>4551</v>
      </c>
      <c r="BJ24" s="2">
        <v>2746</v>
      </c>
      <c r="BK24" s="2">
        <v>1535</v>
      </c>
      <c r="BL24" s="2">
        <v>1140</v>
      </c>
    </row>
    <row r="25" spans="1:64">
      <c r="A25" t="s">
        <v>189</v>
      </c>
      <c r="B25" t="s">
        <v>59</v>
      </c>
      <c r="C25" t="s">
        <v>60</v>
      </c>
      <c r="D25" t="s">
        <v>231</v>
      </c>
      <c r="E25" t="s">
        <v>210</v>
      </c>
      <c r="F25" t="s">
        <v>210</v>
      </c>
      <c r="G25" t="s">
        <v>57</v>
      </c>
      <c r="H25" t="s">
        <v>58</v>
      </c>
      <c r="I25" t="s">
        <v>211</v>
      </c>
      <c r="J25" t="s">
        <v>9</v>
      </c>
      <c r="K25" s="3">
        <v>80522</v>
      </c>
      <c r="L25" s="3">
        <v>78865</v>
      </c>
      <c r="M25" s="3">
        <v>159387</v>
      </c>
      <c r="N25" s="2">
        <v>15566</v>
      </c>
      <c r="O25" s="2">
        <v>12756</v>
      </c>
      <c r="P25" s="2">
        <v>10745</v>
      </c>
      <c r="Q25" s="2">
        <v>9124</v>
      </c>
      <c r="R25" s="2">
        <v>6788</v>
      </c>
      <c r="S25" s="2">
        <v>5377</v>
      </c>
      <c r="T25" s="2">
        <v>4809</v>
      </c>
      <c r="U25" s="2">
        <v>4039</v>
      </c>
      <c r="V25" s="2">
        <v>2993</v>
      </c>
      <c r="W25" s="2">
        <v>2316</v>
      </c>
      <c r="X25" s="2">
        <v>1850</v>
      </c>
      <c r="Y25" s="2">
        <v>1429</v>
      </c>
      <c r="Z25" s="2">
        <v>1046</v>
      </c>
      <c r="AA25" s="2">
        <v>736</v>
      </c>
      <c r="AB25" s="2">
        <v>474</v>
      </c>
      <c r="AC25" s="2">
        <v>277</v>
      </c>
      <c r="AD25" s="2">
        <v>197</v>
      </c>
      <c r="AE25" s="2">
        <v>16262</v>
      </c>
      <c r="AF25" s="2">
        <v>13305</v>
      </c>
      <c r="AG25" s="2">
        <v>10642</v>
      </c>
      <c r="AH25" s="2">
        <v>8956</v>
      </c>
      <c r="AI25" s="2">
        <v>6748</v>
      </c>
      <c r="AJ25" s="2">
        <v>5241</v>
      </c>
      <c r="AK25" s="2">
        <v>4175</v>
      </c>
      <c r="AL25" s="2">
        <v>3347</v>
      </c>
      <c r="AM25" s="2">
        <v>2598</v>
      </c>
      <c r="AN25" s="2">
        <v>2069</v>
      </c>
      <c r="AO25" s="2">
        <v>1671</v>
      </c>
      <c r="AP25" s="2">
        <v>1319</v>
      </c>
      <c r="AQ25" s="2">
        <v>1016</v>
      </c>
      <c r="AR25" s="2">
        <v>724</v>
      </c>
      <c r="AS25" s="2">
        <v>407</v>
      </c>
      <c r="AT25" s="2">
        <v>216</v>
      </c>
      <c r="AU25" s="2">
        <v>169</v>
      </c>
      <c r="AV25" s="2">
        <v>31828</v>
      </c>
      <c r="AW25" s="2">
        <v>26060</v>
      </c>
      <c r="AX25" s="2">
        <v>21387</v>
      </c>
      <c r="AY25" s="2">
        <v>18080</v>
      </c>
      <c r="AZ25" s="2">
        <v>13536</v>
      </c>
      <c r="BA25" s="2">
        <v>10618</v>
      </c>
      <c r="BB25" s="2">
        <v>8984</v>
      </c>
      <c r="BC25" s="2">
        <v>7385</v>
      </c>
      <c r="BD25" s="2">
        <v>5591</v>
      </c>
      <c r="BE25" s="2">
        <v>4385</v>
      </c>
      <c r="BF25" s="2">
        <v>3521</v>
      </c>
      <c r="BG25" s="2">
        <v>2747</v>
      </c>
      <c r="BH25" s="2">
        <v>2063</v>
      </c>
      <c r="BI25" s="2">
        <v>1460</v>
      </c>
      <c r="BJ25" s="2">
        <v>881</v>
      </c>
      <c r="BK25" s="2">
        <v>493</v>
      </c>
      <c r="BL25" s="2">
        <v>366</v>
      </c>
    </row>
    <row r="26" spans="1:64">
      <c r="A26" t="s">
        <v>190</v>
      </c>
      <c r="B26" t="s">
        <v>61</v>
      </c>
      <c r="C26" t="s">
        <v>62</v>
      </c>
      <c r="D26" t="s">
        <v>232</v>
      </c>
      <c r="E26" t="s">
        <v>210</v>
      </c>
      <c r="F26" t="s">
        <v>210</v>
      </c>
      <c r="G26" t="s">
        <v>57</v>
      </c>
      <c r="H26" t="s">
        <v>58</v>
      </c>
      <c r="I26" t="s">
        <v>211</v>
      </c>
      <c r="J26" t="s">
        <v>9</v>
      </c>
      <c r="K26" s="3">
        <v>69657</v>
      </c>
      <c r="L26" s="3">
        <v>68226</v>
      </c>
      <c r="M26" s="3">
        <v>137883</v>
      </c>
      <c r="N26" s="2">
        <v>13466</v>
      </c>
      <c r="O26" s="2">
        <v>11035</v>
      </c>
      <c r="P26" s="2">
        <v>9296</v>
      </c>
      <c r="Q26" s="2">
        <v>7893</v>
      </c>
      <c r="R26" s="2">
        <v>5873</v>
      </c>
      <c r="S26" s="2">
        <v>4651</v>
      </c>
      <c r="T26" s="2">
        <v>4160</v>
      </c>
      <c r="U26" s="2">
        <v>3494</v>
      </c>
      <c r="V26" s="2">
        <v>2589</v>
      </c>
      <c r="W26" s="2">
        <v>2003</v>
      </c>
      <c r="X26" s="2">
        <v>1600</v>
      </c>
      <c r="Y26" s="2">
        <v>1236</v>
      </c>
      <c r="Z26" s="2">
        <v>905</v>
      </c>
      <c r="AA26" s="2">
        <v>636</v>
      </c>
      <c r="AB26" s="2">
        <v>410</v>
      </c>
      <c r="AC26" s="2">
        <v>240</v>
      </c>
      <c r="AD26" s="2">
        <v>170</v>
      </c>
      <c r="AE26" s="2">
        <v>14068</v>
      </c>
      <c r="AF26" s="2">
        <v>11510</v>
      </c>
      <c r="AG26" s="2">
        <v>9206</v>
      </c>
      <c r="AH26" s="2">
        <v>7748</v>
      </c>
      <c r="AI26" s="2">
        <v>5837</v>
      </c>
      <c r="AJ26" s="2">
        <v>4534</v>
      </c>
      <c r="AK26" s="2">
        <v>3612</v>
      </c>
      <c r="AL26" s="2">
        <v>2895</v>
      </c>
      <c r="AM26" s="2">
        <v>2248</v>
      </c>
      <c r="AN26" s="2">
        <v>1790</v>
      </c>
      <c r="AO26" s="2">
        <v>1446</v>
      </c>
      <c r="AP26" s="2">
        <v>1141</v>
      </c>
      <c r="AQ26" s="2">
        <v>879</v>
      </c>
      <c r="AR26" s="2">
        <v>627</v>
      </c>
      <c r="AS26" s="2">
        <v>352</v>
      </c>
      <c r="AT26" s="2">
        <v>187</v>
      </c>
      <c r="AU26" s="2">
        <v>146</v>
      </c>
      <c r="AV26" s="2">
        <v>27534</v>
      </c>
      <c r="AW26" s="2">
        <v>22545</v>
      </c>
      <c r="AX26" s="2">
        <v>18502</v>
      </c>
      <c r="AY26" s="2">
        <v>15641</v>
      </c>
      <c r="AZ26" s="2">
        <v>11710</v>
      </c>
      <c r="BA26" s="2">
        <v>9185</v>
      </c>
      <c r="BB26" s="2">
        <v>7772</v>
      </c>
      <c r="BC26" s="2">
        <v>6389</v>
      </c>
      <c r="BD26" s="2">
        <v>4837</v>
      </c>
      <c r="BE26" s="2">
        <v>3793</v>
      </c>
      <c r="BF26" s="2">
        <v>3046</v>
      </c>
      <c r="BG26" s="2">
        <v>2377</v>
      </c>
      <c r="BH26" s="2">
        <v>1785</v>
      </c>
      <c r="BI26" s="2">
        <v>1263</v>
      </c>
      <c r="BJ26" s="2">
        <v>762</v>
      </c>
      <c r="BK26" s="2">
        <v>426</v>
      </c>
      <c r="BL26" s="2">
        <v>316</v>
      </c>
    </row>
    <row r="27" spans="1:64">
      <c r="A27" t="s">
        <v>63</v>
      </c>
      <c r="B27" t="s">
        <v>64</v>
      </c>
      <c r="C27" t="s">
        <v>63</v>
      </c>
      <c r="D27" t="s">
        <v>233</v>
      </c>
      <c r="E27" t="s">
        <v>210</v>
      </c>
      <c r="F27" t="s">
        <v>210</v>
      </c>
      <c r="G27" t="s">
        <v>57</v>
      </c>
      <c r="H27" t="s">
        <v>58</v>
      </c>
      <c r="I27" t="s">
        <v>211</v>
      </c>
      <c r="J27" t="s">
        <v>9</v>
      </c>
      <c r="K27" s="3">
        <v>120497</v>
      </c>
      <c r="L27" s="3">
        <v>118019</v>
      </c>
      <c r="M27" s="3">
        <v>238516</v>
      </c>
      <c r="N27" s="2">
        <v>23294</v>
      </c>
      <c r="O27" s="2">
        <v>19089</v>
      </c>
      <c r="P27" s="2">
        <v>16080</v>
      </c>
      <c r="Q27" s="2">
        <v>13654</v>
      </c>
      <c r="R27" s="2">
        <v>10159</v>
      </c>
      <c r="S27" s="2">
        <v>8046</v>
      </c>
      <c r="T27" s="2">
        <v>7196</v>
      </c>
      <c r="U27" s="2">
        <v>6044</v>
      </c>
      <c r="V27" s="2">
        <v>4478</v>
      </c>
      <c r="W27" s="2">
        <v>3465</v>
      </c>
      <c r="X27" s="2">
        <v>2768</v>
      </c>
      <c r="Y27" s="2">
        <v>2138</v>
      </c>
      <c r="Z27" s="2">
        <v>1566</v>
      </c>
      <c r="AA27" s="2">
        <v>1101</v>
      </c>
      <c r="AB27" s="2">
        <v>710</v>
      </c>
      <c r="AC27" s="2">
        <v>414</v>
      </c>
      <c r="AD27" s="2">
        <v>295</v>
      </c>
      <c r="AE27" s="2">
        <v>24336</v>
      </c>
      <c r="AF27" s="2">
        <v>19911</v>
      </c>
      <c r="AG27" s="2">
        <v>15925</v>
      </c>
      <c r="AH27" s="2">
        <v>13403</v>
      </c>
      <c r="AI27" s="2">
        <v>10098</v>
      </c>
      <c r="AJ27" s="2">
        <v>7843</v>
      </c>
      <c r="AK27" s="2">
        <v>6248</v>
      </c>
      <c r="AL27" s="2">
        <v>5008</v>
      </c>
      <c r="AM27" s="2">
        <v>3888</v>
      </c>
      <c r="AN27" s="2">
        <v>3097</v>
      </c>
      <c r="AO27" s="2">
        <v>2501</v>
      </c>
      <c r="AP27" s="2">
        <v>1973</v>
      </c>
      <c r="AQ27" s="2">
        <v>1521</v>
      </c>
      <c r="AR27" s="2">
        <v>1084</v>
      </c>
      <c r="AS27" s="2">
        <v>608</v>
      </c>
      <c r="AT27" s="2">
        <v>323</v>
      </c>
      <c r="AU27" s="2">
        <v>252</v>
      </c>
      <c r="AV27" s="2">
        <v>47631</v>
      </c>
      <c r="AW27" s="2">
        <v>39000</v>
      </c>
      <c r="AX27" s="2">
        <v>32006</v>
      </c>
      <c r="AY27" s="2">
        <v>27057</v>
      </c>
      <c r="AZ27" s="2">
        <v>20257</v>
      </c>
      <c r="BA27" s="2">
        <v>15890</v>
      </c>
      <c r="BB27" s="2">
        <v>13445</v>
      </c>
      <c r="BC27" s="2">
        <v>11052</v>
      </c>
      <c r="BD27" s="2">
        <v>8367</v>
      </c>
      <c r="BE27" s="2">
        <v>6562</v>
      </c>
      <c r="BF27" s="2">
        <v>5269</v>
      </c>
      <c r="BG27" s="2">
        <v>4111</v>
      </c>
      <c r="BH27" s="2">
        <v>3087</v>
      </c>
      <c r="BI27" s="2">
        <v>2185</v>
      </c>
      <c r="BJ27" s="2">
        <v>1318</v>
      </c>
      <c r="BK27" s="2">
        <v>737</v>
      </c>
      <c r="BL27" s="2">
        <v>547</v>
      </c>
    </row>
    <row r="28" spans="1:64">
      <c r="A28" t="s">
        <v>191</v>
      </c>
      <c r="B28" t="s">
        <v>65</v>
      </c>
      <c r="C28" t="s">
        <v>66</v>
      </c>
      <c r="D28" t="s">
        <v>234</v>
      </c>
      <c r="E28" t="s">
        <v>210</v>
      </c>
      <c r="F28" t="s">
        <v>210</v>
      </c>
      <c r="G28" t="s">
        <v>67</v>
      </c>
      <c r="H28" t="s">
        <v>68</v>
      </c>
      <c r="I28" t="s">
        <v>211</v>
      </c>
      <c r="J28" t="s">
        <v>9</v>
      </c>
      <c r="K28" s="3">
        <v>120644</v>
      </c>
      <c r="L28" s="3">
        <v>118423</v>
      </c>
      <c r="M28" s="3">
        <v>239067</v>
      </c>
      <c r="N28" s="2">
        <v>23006</v>
      </c>
      <c r="O28" s="2">
        <v>19006</v>
      </c>
      <c r="P28" s="2">
        <v>16779</v>
      </c>
      <c r="Q28" s="2">
        <v>14257</v>
      </c>
      <c r="R28" s="2">
        <v>9901</v>
      </c>
      <c r="S28" s="2">
        <v>7556</v>
      </c>
      <c r="T28" s="2">
        <v>7159</v>
      </c>
      <c r="U28" s="2">
        <v>6190</v>
      </c>
      <c r="V28" s="2">
        <v>4703</v>
      </c>
      <c r="W28" s="2">
        <v>3637</v>
      </c>
      <c r="X28" s="2">
        <v>2697</v>
      </c>
      <c r="Y28" s="2">
        <v>1981</v>
      </c>
      <c r="Z28" s="2">
        <v>1426</v>
      </c>
      <c r="AA28" s="2">
        <v>995</v>
      </c>
      <c r="AB28" s="2">
        <v>662</v>
      </c>
      <c r="AC28" s="2">
        <v>396</v>
      </c>
      <c r="AD28" s="2">
        <v>293</v>
      </c>
      <c r="AE28" s="2">
        <v>24034</v>
      </c>
      <c r="AF28" s="2">
        <v>19825</v>
      </c>
      <c r="AG28" s="2">
        <v>16748</v>
      </c>
      <c r="AH28" s="2">
        <v>14188</v>
      </c>
      <c r="AI28" s="2">
        <v>10076</v>
      </c>
      <c r="AJ28" s="2">
        <v>7445</v>
      </c>
      <c r="AK28" s="2">
        <v>5746</v>
      </c>
      <c r="AL28" s="2">
        <v>4633</v>
      </c>
      <c r="AM28" s="2">
        <v>4004</v>
      </c>
      <c r="AN28" s="2">
        <v>3364</v>
      </c>
      <c r="AO28" s="2">
        <v>2665</v>
      </c>
      <c r="AP28" s="2">
        <v>2054</v>
      </c>
      <c r="AQ28" s="2">
        <v>1482</v>
      </c>
      <c r="AR28" s="2">
        <v>1015</v>
      </c>
      <c r="AS28" s="2">
        <v>580</v>
      </c>
      <c r="AT28" s="2">
        <v>311</v>
      </c>
      <c r="AU28" s="2">
        <v>253</v>
      </c>
      <c r="AV28" s="2">
        <v>47040</v>
      </c>
      <c r="AW28" s="2">
        <v>38830</v>
      </c>
      <c r="AX28" s="2">
        <v>33527</v>
      </c>
      <c r="AY28" s="2">
        <v>28445</v>
      </c>
      <c r="AZ28" s="2">
        <v>19977</v>
      </c>
      <c r="BA28" s="2">
        <v>15001</v>
      </c>
      <c r="BB28" s="2">
        <v>12905</v>
      </c>
      <c r="BC28" s="2">
        <v>10824</v>
      </c>
      <c r="BD28" s="2">
        <v>8708</v>
      </c>
      <c r="BE28" s="2">
        <v>7001</v>
      </c>
      <c r="BF28" s="2">
        <v>5362</v>
      </c>
      <c r="BG28" s="2">
        <v>4035</v>
      </c>
      <c r="BH28" s="2">
        <v>2907</v>
      </c>
      <c r="BI28" s="2">
        <v>2010</v>
      </c>
      <c r="BJ28" s="2">
        <v>1242</v>
      </c>
      <c r="BK28" s="2">
        <v>707</v>
      </c>
      <c r="BL28" s="2">
        <v>546</v>
      </c>
    </row>
    <row r="29" spans="1:64">
      <c r="A29" t="s">
        <v>69</v>
      </c>
      <c r="B29" t="s">
        <v>70</v>
      </c>
      <c r="C29" t="s">
        <v>69</v>
      </c>
      <c r="D29" t="s">
        <v>235</v>
      </c>
      <c r="E29" t="s">
        <v>210</v>
      </c>
      <c r="F29" t="s">
        <v>210</v>
      </c>
      <c r="G29" t="s">
        <v>67</v>
      </c>
      <c r="H29" t="s">
        <v>68</v>
      </c>
      <c r="I29" t="s">
        <v>211</v>
      </c>
      <c r="J29" t="s">
        <v>9</v>
      </c>
      <c r="K29" s="3">
        <v>76203</v>
      </c>
      <c r="L29" s="3">
        <v>74801</v>
      </c>
      <c r="M29" s="3">
        <v>151004</v>
      </c>
      <c r="N29" s="2">
        <v>14531</v>
      </c>
      <c r="O29" s="2">
        <v>12005</v>
      </c>
      <c r="P29" s="2">
        <v>10598</v>
      </c>
      <c r="Q29" s="2">
        <v>9005</v>
      </c>
      <c r="R29" s="2">
        <v>6254</v>
      </c>
      <c r="S29" s="2">
        <v>4773</v>
      </c>
      <c r="T29" s="2">
        <v>4522</v>
      </c>
      <c r="U29" s="2">
        <v>3910</v>
      </c>
      <c r="V29" s="2">
        <v>2971</v>
      </c>
      <c r="W29" s="2">
        <v>2297</v>
      </c>
      <c r="X29" s="2">
        <v>1704</v>
      </c>
      <c r="Y29" s="2">
        <v>1251</v>
      </c>
      <c r="Z29" s="2">
        <v>900</v>
      </c>
      <c r="AA29" s="2">
        <v>629</v>
      </c>
      <c r="AB29" s="2">
        <v>418</v>
      </c>
      <c r="AC29" s="2">
        <v>250</v>
      </c>
      <c r="AD29" s="2">
        <v>185</v>
      </c>
      <c r="AE29" s="2">
        <v>15181</v>
      </c>
      <c r="AF29" s="2">
        <v>12522</v>
      </c>
      <c r="AG29" s="2">
        <v>10579</v>
      </c>
      <c r="AH29" s="2">
        <v>8962</v>
      </c>
      <c r="AI29" s="2">
        <v>6364</v>
      </c>
      <c r="AJ29" s="2">
        <v>4703</v>
      </c>
      <c r="AK29" s="2">
        <v>3629</v>
      </c>
      <c r="AL29" s="2">
        <v>2927</v>
      </c>
      <c r="AM29" s="2">
        <v>2529</v>
      </c>
      <c r="AN29" s="2">
        <v>2125</v>
      </c>
      <c r="AO29" s="2">
        <v>1683</v>
      </c>
      <c r="AP29" s="2">
        <v>1297</v>
      </c>
      <c r="AQ29" s="2">
        <v>936</v>
      </c>
      <c r="AR29" s="2">
        <v>641</v>
      </c>
      <c r="AS29" s="2">
        <v>366</v>
      </c>
      <c r="AT29" s="2">
        <v>197</v>
      </c>
      <c r="AU29" s="2">
        <v>160</v>
      </c>
      <c r="AV29" s="2">
        <v>29712</v>
      </c>
      <c r="AW29" s="2">
        <v>24527</v>
      </c>
      <c r="AX29" s="2">
        <v>21177</v>
      </c>
      <c r="AY29" s="2">
        <v>17967</v>
      </c>
      <c r="AZ29" s="2">
        <v>12618</v>
      </c>
      <c r="BA29" s="2">
        <v>9475</v>
      </c>
      <c r="BB29" s="2">
        <v>8151</v>
      </c>
      <c r="BC29" s="2">
        <v>6837</v>
      </c>
      <c r="BD29" s="2">
        <v>5500</v>
      </c>
      <c r="BE29" s="2">
        <v>4422</v>
      </c>
      <c r="BF29" s="2">
        <v>3387</v>
      </c>
      <c r="BG29" s="2">
        <v>2548</v>
      </c>
      <c r="BH29" s="2">
        <v>1836</v>
      </c>
      <c r="BI29" s="2">
        <v>1270</v>
      </c>
      <c r="BJ29" s="2">
        <v>784</v>
      </c>
      <c r="BK29" s="2">
        <v>446</v>
      </c>
      <c r="BL29" s="2">
        <v>345</v>
      </c>
    </row>
    <row r="30" spans="1:64">
      <c r="A30" t="s">
        <v>71</v>
      </c>
      <c r="B30" t="s">
        <v>72</v>
      </c>
      <c r="C30" t="s">
        <v>71</v>
      </c>
      <c r="D30" t="s">
        <v>236</v>
      </c>
      <c r="E30" t="s">
        <v>210</v>
      </c>
      <c r="F30" t="s">
        <v>210</v>
      </c>
      <c r="G30" t="s">
        <v>67</v>
      </c>
      <c r="H30" t="s">
        <v>68</v>
      </c>
      <c r="I30" t="s">
        <v>211</v>
      </c>
      <c r="J30" t="s">
        <v>9</v>
      </c>
      <c r="K30" s="3">
        <v>37227</v>
      </c>
      <c r="L30" s="3">
        <v>36543</v>
      </c>
      <c r="M30" s="3">
        <v>73770</v>
      </c>
      <c r="N30" s="2">
        <v>7099</v>
      </c>
      <c r="O30" s="2">
        <v>5865</v>
      </c>
      <c r="P30" s="2">
        <v>5178</v>
      </c>
      <c r="Q30" s="2">
        <v>4400</v>
      </c>
      <c r="R30" s="2">
        <v>3055</v>
      </c>
      <c r="S30" s="2">
        <v>2332</v>
      </c>
      <c r="T30" s="2">
        <v>2209</v>
      </c>
      <c r="U30" s="2">
        <v>1910</v>
      </c>
      <c r="V30" s="2">
        <v>1451</v>
      </c>
      <c r="W30" s="2">
        <v>1122</v>
      </c>
      <c r="X30" s="2">
        <v>832</v>
      </c>
      <c r="Y30" s="2">
        <v>611</v>
      </c>
      <c r="Z30" s="2">
        <v>440</v>
      </c>
      <c r="AA30" s="2">
        <v>307</v>
      </c>
      <c r="AB30" s="2">
        <v>204</v>
      </c>
      <c r="AC30" s="2">
        <v>122</v>
      </c>
      <c r="AD30" s="2">
        <v>90</v>
      </c>
      <c r="AE30" s="2">
        <v>7417</v>
      </c>
      <c r="AF30" s="2">
        <v>6118</v>
      </c>
      <c r="AG30" s="2">
        <v>5168</v>
      </c>
      <c r="AH30" s="2">
        <v>4378</v>
      </c>
      <c r="AI30" s="2">
        <v>3109</v>
      </c>
      <c r="AJ30" s="2">
        <v>2297</v>
      </c>
      <c r="AK30" s="2">
        <v>1773</v>
      </c>
      <c r="AL30" s="2">
        <v>1430</v>
      </c>
      <c r="AM30" s="2">
        <v>1236</v>
      </c>
      <c r="AN30" s="2">
        <v>1038</v>
      </c>
      <c r="AO30" s="2">
        <v>822</v>
      </c>
      <c r="AP30" s="2">
        <v>634</v>
      </c>
      <c r="AQ30" s="2">
        <v>457</v>
      </c>
      <c r="AR30" s="2">
        <v>313</v>
      </c>
      <c r="AS30" s="2">
        <v>179</v>
      </c>
      <c r="AT30" s="2">
        <v>96</v>
      </c>
      <c r="AU30" s="2">
        <v>78</v>
      </c>
      <c r="AV30" s="2">
        <v>14516</v>
      </c>
      <c r="AW30" s="2">
        <v>11983</v>
      </c>
      <c r="AX30" s="2">
        <v>10346</v>
      </c>
      <c r="AY30" s="2">
        <v>8778</v>
      </c>
      <c r="AZ30" s="2">
        <v>6165</v>
      </c>
      <c r="BA30" s="2">
        <v>4629</v>
      </c>
      <c r="BB30" s="2">
        <v>3982</v>
      </c>
      <c r="BC30" s="2">
        <v>3340</v>
      </c>
      <c r="BD30" s="2">
        <v>2687</v>
      </c>
      <c r="BE30" s="2">
        <v>2160</v>
      </c>
      <c r="BF30" s="2">
        <v>1655</v>
      </c>
      <c r="BG30" s="2">
        <v>1245</v>
      </c>
      <c r="BH30" s="2">
        <v>897</v>
      </c>
      <c r="BI30" s="2">
        <v>620</v>
      </c>
      <c r="BJ30" s="2">
        <v>383</v>
      </c>
      <c r="BK30" s="2">
        <v>218</v>
      </c>
      <c r="BL30" s="2">
        <v>168</v>
      </c>
    </row>
    <row r="31" spans="1:64">
      <c r="A31" t="s">
        <v>73</v>
      </c>
      <c r="B31" t="s">
        <v>74</v>
      </c>
      <c r="C31" t="s">
        <v>73</v>
      </c>
      <c r="D31" t="s">
        <v>237</v>
      </c>
      <c r="E31" t="s">
        <v>210</v>
      </c>
      <c r="F31" t="s">
        <v>210</v>
      </c>
      <c r="G31" t="s">
        <v>67</v>
      </c>
      <c r="H31" t="s">
        <v>68</v>
      </c>
      <c r="I31" t="s">
        <v>211</v>
      </c>
      <c r="J31" t="s">
        <v>9</v>
      </c>
      <c r="K31" s="3">
        <v>105968</v>
      </c>
      <c r="L31" s="3">
        <v>104019</v>
      </c>
      <c r="M31" s="3">
        <v>209987</v>
      </c>
      <c r="N31" s="2">
        <v>20207</v>
      </c>
      <c r="O31" s="2">
        <v>16694</v>
      </c>
      <c r="P31" s="2">
        <v>14738</v>
      </c>
      <c r="Q31" s="2">
        <v>12523</v>
      </c>
      <c r="R31" s="2">
        <v>8697</v>
      </c>
      <c r="S31" s="2">
        <v>6637</v>
      </c>
      <c r="T31" s="2">
        <v>6289</v>
      </c>
      <c r="U31" s="2">
        <v>5437</v>
      </c>
      <c r="V31" s="2">
        <v>4131</v>
      </c>
      <c r="W31" s="2">
        <v>3195</v>
      </c>
      <c r="X31" s="2">
        <v>2369</v>
      </c>
      <c r="Y31" s="2">
        <v>1740</v>
      </c>
      <c r="Z31" s="2">
        <v>1252</v>
      </c>
      <c r="AA31" s="2">
        <v>874</v>
      </c>
      <c r="AB31" s="2">
        <v>581</v>
      </c>
      <c r="AC31" s="2">
        <v>347</v>
      </c>
      <c r="AD31" s="2">
        <v>257</v>
      </c>
      <c r="AE31" s="2">
        <v>21111</v>
      </c>
      <c r="AF31" s="2">
        <v>17413</v>
      </c>
      <c r="AG31" s="2">
        <v>14711</v>
      </c>
      <c r="AH31" s="2">
        <v>12462</v>
      </c>
      <c r="AI31" s="2">
        <v>8850</v>
      </c>
      <c r="AJ31" s="2">
        <v>6540</v>
      </c>
      <c r="AK31" s="2">
        <v>5047</v>
      </c>
      <c r="AL31" s="2">
        <v>4070</v>
      </c>
      <c r="AM31" s="2">
        <v>3517</v>
      </c>
      <c r="AN31" s="2">
        <v>2955</v>
      </c>
      <c r="AO31" s="2">
        <v>2341</v>
      </c>
      <c r="AP31" s="2">
        <v>1804</v>
      </c>
      <c r="AQ31" s="2">
        <v>1302</v>
      </c>
      <c r="AR31" s="2">
        <v>892</v>
      </c>
      <c r="AS31" s="2">
        <v>509</v>
      </c>
      <c r="AT31" s="2">
        <v>273</v>
      </c>
      <c r="AU31" s="2">
        <v>222</v>
      </c>
      <c r="AV31" s="2">
        <v>41318</v>
      </c>
      <c r="AW31" s="2">
        <v>34107</v>
      </c>
      <c r="AX31" s="2">
        <v>29449</v>
      </c>
      <c r="AY31" s="2">
        <v>24985</v>
      </c>
      <c r="AZ31" s="2">
        <v>17547</v>
      </c>
      <c r="BA31" s="2">
        <v>13177</v>
      </c>
      <c r="BB31" s="2">
        <v>11336</v>
      </c>
      <c r="BC31" s="2">
        <v>9507</v>
      </c>
      <c r="BD31" s="2">
        <v>7649</v>
      </c>
      <c r="BE31" s="2">
        <v>6149</v>
      </c>
      <c r="BF31" s="2">
        <v>4710</v>
      </c>
      <c r="BG31" s="2">
        <v>3544</v>
      </c>
      <c r="BH31" s="2">
        <v>2554</v>
      </c>
      <c r="BI31" s="2">
        <v>1766</v>
      </c>
      <c r="BJ31" s="2">
        <v>1091</v>
      </c>
      <c r="BK31" s="2">
        <v>621</v>
      </c>
      <c r="BL31" s="2">
        <v>479</v>
      </c>
    </row>
    <row r="32" spans="1:64">
      <c r="A32" t="s">
        <v>192</v>
      </c>
      <c r="B32" t="s">
        <v>75</v>
      </c>
      <c r="C32" t="s">
        <v>76</v>
      </c>
      <c r="D32" t="s">
        <v>238</v>
      </c>
      <c r="E32" t="s">
        <v>210</v>
      </c>
      <c r="F32" t="s">
        <v>210</v>
      </c>
      <c r="G32" t="s">
        <v>67</v>
      </c>
      <c r="H32" t="s">
        <v>68</v>
      </c>
      <c r="I32" t="s">
        <v>211</v>
      </c>
      <c r="J32" t="s">
        <v>9</v>
      </c>
      <c r="K32" s="3">
        <v>81270</v>
      </c>
      <c r="L32" s="3">
        <v>79776</v>
      </c>
      <c r="M32" s="3">
        <v>161046</v>
      </c>
      <c r="N32" s="2">
        <v>15498</v>
      </c>
      <c r="O32" s="2">
        <v>12803</v>
      </c>
      <c r="P32" s="2">
        <v>11303</v>
      </c>
      <c r="Q32" s="2">
        <v>9604</v>
      </c>
      <c r="R32" s="2">
        <v>6670</v>
      </c>
      <c r="S32" s="2">
        <v>5090</v>
      </c>
      <c r="T32" s="2">
        <v>4823</v>
      </c>
      <c r="U32" s="2">
        <v>4170</v>
      </c>
      <c r="V32" s="2">
        <v>3168</v>
      </c>
      <c r="W32" s="2">
        <v>2450</v>
      </c>
      <c r="X32" s="2">
        <v>1817</v>
      </c>
      <c r="Y32" s="2">
        <v>1335</v>
      </c>
      <c r="Z32" s="2">
        <v>960</v>
      </c>
      <c r="AA32" s="2">
        <v>670</v>
      </c>
      <c r="AB32" s="2">
        <v>446</v>
      </c>
      <c r="AC32" s="2">
        <v>266</v>
      </c>
      <c r="AD32" s="2">
        <v>197</v>
      </c>
      <c r="AE32" s="2">
        <v>16191</v>
      </c>
      <c r="AF32" s="2">
        <v>13355</v>
      </c>
      <c r="AG32" s="2">
        <v>11282</v>
      </c>
      <c r="AH32" s="2">
        <v>9558</v>
      </c>
      <c r="AI32" s="2">
        <v>6788</v>
      </c>
      <c r="AJ32" s="2">
        <v>5015</v>
      </c>
      <c r="AK32" s="2">
        <v>3871</v>
      </c>
      <c r="AL32" s="2">
        <v>3121</v>
      </c>
      <c r="AM32" s="2">
        <v>2697</v>
      </c>
      <c r="AN32" s="2">
        <v>2266</v>
      </c>
      <c r="AO32" s="2">
        <v>1795</v>
      </c>
      <c r="AP32" s="2">
        <v>1383</v>
      </c>
      <c r="AQ32" s="2">
        <v>998</v>
      </c>
      <c r="AR32" s="2">
        <v>684</v>
      </c>
      <c r="AS32" s="2">
        <v>391</v>
      </c>
      <c r="AT32" s="2">
        <v>210</v>
      </c>
      <c r="AU32" s="2">
        <v>171</v>
      </c>
      <c r="AV32" s="2">
        <v>31688</v>
      </c>
      <c r="AW32" s="2">
        <v>26158</v>
      </c>
      <c r="AX32" s="2">
        <v>22585</v>
      </c>
      <c r="AY32" s="2">
        <v>19162</v>
      </c>
      <c r="AZ32" s="2">
        <v>13457</v>
      </c>
      <c r="BA32" s="2">
        <v>10106</v>
      </c>
      <c r="BB32" s="2">
        <v>8693</v>
      </c>
      <c r="BC32" s="2">
        <v>7291</v>
      </c>
      <c r="BD32" s="2">
        <v>5866</v>
      </c>
      <c r="BE32" s="2">
        <v>4716</v>
      </c>
      <c r="BF32" s="2">
        <v>3612</v>
      </c>
      <c r="BG32" s="2">
        <v>2718</v>
      </c>
      <c r="BH32" s="2">
        <v>1958</v>
      </c>
      <c r="BI32" s="2">
        <v>1354</v>
      </c>
      <c r="BJ32" s="2">
        <v>837</v>
      </c>
      <c r="BK32" s="2">
        <v>476</v>
      </c>
      <c r="BL32" s="2">
        <v>368</v>
      </c>
    </row>
    <row r="33" spans="1:64">
      <c r="A33" t="s">
        <v>77</v>
      </c>
      <c r="B33" t="s">
        <v>78</v>
      </c>
      <c r="C33" t="s">
        <v>77</v>
      </c>
      <c r="D33" t="s">
        <v>239</v>
      </c>
      <c r="E33" t="s">
        <v>210</v>
      </c>
      <c r="F33" t="s">
        <v>210</v>
      </c>
      <c r="G33" t="s">
        <v>67</v>
      </c>
      <c r="H33" t="s">
        <v>68</v>
      </c>
      <c r="I33" t="s">
        <v>211</v>
      </c>
      <c r="J33" t="s">
        <v>9</v>
      </c>
      <c r="K33" s="3">
        <v>164653</v>
      </c>
      <c r="L33" s="3">
        <v>161623</v>
      </c>
      <c r="M33" s="3">
        <v>326276</v>
      </c>
      <c r="N33" s="2">
        <v>31398</v>
      </c>
      <c r="O33" s="2">
        <v>25939</v>
      </c>
      <c r="P33" s="2">
        <v>22899</v>
      </c>
      <c r="Q33" s="2">
        <v>19458</v>
      </c>
      <c r="R33" s="2">
        <v>13513</v>
      </c>
      <c r="S33" s="2">
        <v>10313</v>
      </c>
      <c r="T33" s="2">
        <v>9771</v>
      </c>
      <c r="U33" s="2">
        <v>8448</v>
      </c>
      <c r="V33" s="2">
        <v>6419</v>
      </c>
      <c r="W33" s="2">
        <v>4964</v>
      </c>
      <c r="X33" s="2">
        <v>3681</v>
      </c>
      <c r="Y33" s="2">
        <v>2704</v>
      </c>
      <c r="Z33" s="2">
        <v>1946</v>
      </c>
      <c r="AA33" s="2">
        <v>1358</v>
      </c>
      <c r="AB33" s="2">
        <v>903</v>
      </c>
      <c r="AC33" s="2">
        <v>540</v>
      </c>
      <c r="AD33" s="2">
        <v>399</v>
      </c>
      <c r="AE33" s="2">
        <v>32802</v>
      </c>
      <c r="AF33" s="2">
        <v>27056</v>
      </c>
      <c r="AG33" s="2">
        <v>22858</v>
      </c>
      <c r="AH33" s="2">
        <v>19364</v>
      </c>
      <c r="AI33" s="2">
        <v>13751</v>
      </c>
      <c r="AJ33" s="2">
        <v>10161</v>
      </c>
      <c r="AK33" s="2">
        <v>7842</v>
      </c>
      <c r="AL33" s="2">
        <v>6323</v>
      </c>
      <c r="AM33" s="2">
        <v>5465</v>
      </c>
      <c r="AN33" s="2">
        <v>4591</v>
      </c>
      <c r="AO33" s="2">
        <v>3637</v>
      </c>
      <c r="AP33" s="2">
        <v>2803</v>
      </c>
      <c r="AQ33" s="2">
        <v>2022</v>
      </c>
      <c r="AR33" s="2">
        <v>1385</v>
      </c>
      <c r="AS33" s="2">
        <v>792</v>
      </c>
      <c r="AT33" s="2">
        <v>425</v>
      </c>
      <c r="AU33" s="2">
        <v>346</v>
      </c>
      <c r="AV33" s="2">
        <v>64199</v>
      </c>
      <c r="AW33" s="2">
        <v>52995</v>
      </c>
      <c r="AX33" s="2">
        <v>45757</v>
      </c>
      <c r="AY33" s="2">
        <v>38822</v>
      </c>
      <c r="AZ33" s="2">
        <v>27264</v>
      </c>
      <c r="BA33" s="2">
        <v>20474</v>
      </c>
      <c r="BB33" s="2">
        <v>17613</v>
      </c>
      <c r="BC33" s="2">
        <v>14772</v>
      </c>
      <c r="BD33" s="2">
        <v>11884</v>
      </c>
      <c r="BE33" s="2">
        <v>9555</v>
      </c>
      <c r="BF33" s="2">
        <v>7318</v>
      </c>
      <c r="BG33" s="2">
        <v>5506</v>
      </c>
      <c r="BH33" s="2">
        <v>3968</v>
      </c>
      <c r="BI33" s="2">
        <v>2744</v>
      </c>
      <c r="BJ33" s="2">
        <v>1695</v>
      </c>
      <c r="BK33" s="2">
        <v>965</v>
      </c>
      <c r="BL33" s="2">
        <v>745</v>
      </c>
    </row>
    <row r="34" spans="1:64">
      <c r="A34" t="s">
        <v>79</v>
      </c>
      <c r="B34" t="s">
        <v>80</v>
      </c>
      <c r="C34" t="s">
        <v>79</v>
      </c>
      <c r="D34" t="s">
        <v>240</v>
      </c>
      <c r="E34" t="s">
        <v>210</v>
      </c>
      <c r="F34" t="s">
        <v>210</v>
      </c>
      <c r="G34" t="s">
        <v>81</v>
      </c>
      <c r="H34" t="s">
        <v>82</v>
      </c>
      <c r="I34" t="s">
        <v>211</v>
      </c>
      <c r="J34" t="s">
        <v>9</v>
      </c>
      <c r="K34" s="3">
        <v>190940</v>
      </c>
      <c r="L34" s="3">
        <v>187612</v>
      </c>
      <c r="M34" s="3">
        <v>378552</v>
      </c>
      <c r="N34" s="2">
        <v>35816</v>
      </c>
      <c r="O34" s="2">
        <v>30005</v>
      </c>
      <c r="P34" s="2">
        <v>25698</v>
      </c>
      <c r="Q34" s="2">
        <v>22618</v>
      </c>
      <c r="R34" s="2">
        <v>15255</v>
      </c>
      <c r="S34" s="2">
        <v>11275</v>
      </c>
      <c r="T34" s="2">
        <v>11099</v>
      </c>
      <c r="U34" s="2">
        <v>9878</v>
      </c>
      <c r="V34" s="2">
        <v>7897</v>
      </c>
      <c r="W34" s="2">
        <v>6325</v>
      </c>
      <c r="X34" s="2">
        <v>4743</v>
      </c>
      <c r="Y34" s="2">
        <v>3524</v>
      </c>
      <c r="Z34" s="2">
        <v>2552</v>
      </c>
      <c r="AA34" s="2">
        <v>1795</v>
      </c>
      <c r="AB34" s="2">
        <v>1213</v>
      </c>
      <c r="AC34" s="2">
        <v>729</v>
      </c>
      <c r="AD34" s="2">
        <v>518</v>
      </c>
      <c r="AE34" s="2">
        <v>37418</v>
      </c>
      <c r="AF34" s="2">
        <v>31297</v>
      </c>
      <c r="AG34" s="2">
        <v>26123</v>
      </c>
      <c r="AH34" s="2">
        <v>23267</v>
      </c>
      <c r="AI34" s="2">
        <v>16622</v>
      </c>
      <c r="AJ34" s="2">
        <v>11955</v>
      </c>
      <c r="AK34" s="2">
        <v>8824</v>
      </c>
      <c r="AL34" s="2">
        <v>6965</v>
      </c>
      <c r="AM34" s="2">
        <v>6184</v>
      </c>
      <c r="AN34" s="2">
        <v>5288</v>
      </c>
      <c r="AO34" s="2">
        <v>4266</v>
      </c>
      <c r="AP34" s="2">
        <v>3331</v>
      </c>
      <c r="AQ34" s="2">
        <v>2408</v>
      </c>
      <c r="AR34" s="2">
        <v>1667</v>
      </c>
      <c r="AS34" s="2">
        <v>993</v>
      </c>
      <c r="AT34" s="2">
        <v>553</v>
      </c>
      <c r="AU34" s="2">
        <v>451</v>
      </c>
      <c r="AV34" s="2">
        <v>73234</v>
      </c>
      <c r="AW34" s="2">
        <v>61303</v>
      </c>
      <c r="AX34" s="2">
        <v>51821</v>
      </c>
      <c r="AY34" s="2">
        <v>45885</v>
      </c>
      <c r="AZ34" s="2">
        <v>31876</v>
      </c>
      <c r="BA34" s="2">
        <v>23230</v>
      </c>
      <c r="BB34" s="2">
        <v>19924</v>
      </c>
      <c r="BC34" s="2">
        <v>16842</v>
      </c>
      <c r="BD34" s="2">
        <v>14080</v>
      </c>
      <c r="BE34" s="2">
        <v>11613</v>
      </c>
      <c r="BF34" s="2">
        <v>9009</v>
      </c>
      <c r="BG34" s="2">
        <v>6855</v>
      </c>
      <c r="BH34" s="2">
        <v>4959</v>
      </c>
      <c r="BI34" s="2">
        <v>3461</v>
      </c>
      <c r="BJ34" s="2">
        <v>2206</v>
      </c>
      <c r="BK34" s="2">
        <v>1282</v>
      </c>
      <c r="BL34" s="2">
        <v>968</v>
      </c>
    </row>
    <row r="35" spans="1:64">
      <c r="A35" t="s">
        <v>83</v>
      </c>
      <c r="B35" t="s">
        <v>84</v>
      </c>
      <c r="C35" t="s">
        <v>83</v>
      </c>
      <c r="D35" t="s">
        <v>241</v>
      </c>
      <c r="E35" t="s">
        <v>210</v>
      </c>
      <c r="F35" t="s">
        <v>210</v>
      </c>
      <c r="G35" t="s">
        <v>81</v>
      </c>
      <c r="H35" t="s">
        <v>82</v>
      </c>
      <c r="I35" t="s">
        <v>211</v>
      </c>
      <c r="J35" t="s">
        <v>9</v>
      </c>
      <c r="K35" s="3">
        <v>161965</v>
      </c>
      <c r="L35" s="3">
        <v>159141</v>
      </c>
      <c r="M35" s="3">
        <v>321106</v>
      </c>
      <c r="N35" s="2">
        <v>30381</v>
      </c>
      <c r="O35" s="2">
        <v>25452</v>
      </c>
      <c r="P35" s="2">
        <v>21799</v>
      </c>
      <c r="Q35" s="2">
        <v>19186</v>
      </c>
      <c r="R35" s="2">
        <v>12940</v>
      </c>
      <c r="S35" s="2">
        <v>9564</v>
      </c>
      <c r="T35" s="2">
        <v>9415</v>
      </c>
      <c r="U35" s="2">
        <v>8379</v>
      </c>
      <c r="V35" s="2">
        <v>6698</v>
      </c>
      <c r="W35" s="2">
        <v>5365</v>
      </c>
      <c r="X35" s="2">
        <v>4024</v>
      </c>
      <c r="Y35" s="2">
        <v>2989</v>
      </c>
      <c r="Z35" s="2">
        <v>2165</v>
      </c>
      <c r="AA35" s="2">
        <v>1522</v>
      </c>
      <c r="AB35" s="2">
        <v>1029</v>
      </c>
      <c r="AC35" s="2">
        <v>618</v>
      </c>
      <c r="AD35" s="2">
        <v>439</v>
      </c>
      <c r="AE35" s="2">
        <v>31740</v>
      </c>
      <c r="AF35" s="2">
        <v>26548</v>
      </c>
      <c r="AG35" s="2">
        <v>22159</v>
      </c>
      <c r="AH35" s="2">
        <v>19737</v>
      </c>
      <c r="AI35" s="2">
        <v>14099</v>
      </c>
      <c r="AJ35" s="2">
        <v>10141</v>
      </c>
      <c r="AK35" s="2">
        <v>7485</v>
      </c>
      <c r="AL35" s="2">
        <v>5908</v>
      </c>
      <c r="AM35" s="2">
        <v>5245</v>
      </c>
      <c r="AN35" s="2">
        <v>4486</v>
      </c>
      <c r="AO35" s="2">
        <v>3619</v>
      </c>
      <c r="AP35" s="2">
        <v>2825</v>
      </c>
      <c r="AQ35" s="2">
        <v>2042</v>
      </c>
      <c r="AR35" s="2">
        <v>1414</v>
      </c>
      <c r="AS35" s="2">
        <v>842</v>
      </c>
      <c r="AT35" s="2">
        <v>469</v>
      </c>
      <c r="AU35" s="2">
        <v>382</v>
      </c>
      <c r="AV35" s="2">
        <v>62121</v>
      </c>
      <c r="AW35" s="2">
        <v>52000</v>
      </c>
      <c r="AX35" s="2">
        <v>43958</v>
      </c>
      <c r="AY35" s="2">
        <v>38922</v>
      </c>
      <c r="AZ35" s="2">
        <v>27039</v>
      </c>
      <c r="BA35" s="2">
        <v>19705</v>
      </c>
      <c r="BB35" s="2">
        <v>16900</v>
      </c>
      <c r="BC35" s="2">
        <v>14287</v>
      </c>
      <c r="BD35" s="2">
        <v>11944</v>
      </c>
      <c r="BE35" s="2">
        <v>9851</v>
      </c>
      <c r="BF35" s="2">
        <v>7642</v>
      </c>
      <c r="BG35" s="2">
        <v>5815</v>
      </c>
      <c r="BH35" s="2">
        <v>4207</v>
      </c>
      <c r="BI35" s="2">
        <v>2936</v>
      </c>
      <c r="BJ35" s="2">
        <v>1871</v>
      </c>
      <c r="BK35" s="2">
        <v>1087</v>
      </c>
      <c r="BL35" s="2">
        <v>822</v>
      </c>
    </row>
    <row r="36" spans="1:64">
      <c r="A36" t="s">
        <v>85</v>
      </c>
      <c r="B36" t="s">
        <v>86</v>
      </c>
      <c r="C36" t="s">
        <v>85</v>
      </c>
      <c r="D36" t="s">
        <v>242</v>
      </c>
      <c r="E36" t="s">
        <v>210</v>
      </c>
      <c r="F36" t="s">
        <v>210</v>
      </c>
      <c r="G36" t="s">
        <v>81</v>
      </c>
      <c r="H36" t="s">
        <v>82</v>
      </c>
      <c r="I36" t="s">
        <v>211</v>
      </c>
      <c r="J36" t="s">
        <v>9</v>
      </c>
      <c r="K36" s="3">
        <v>115331</v>
      </c>
      <c r="L36" s="3">
        <v>113321</v>
      </c>
      <c r="M36" s="3">
        <v>228652</v>
      </c>
      <c r="N36" s="2">
        <v>21634</v>
      </c>
      <c r="O36" s="2">
        <v>18124</v>
      </c>
      <c r="P36" s="2">
        <v>15522</v>
      </c>
      <c r="Q36" s="2">
        <v>13662</v>
      </c>
      <c r="R36" s="2">
        <v>9214</v>
      </c>
      <c r="S36" s="2">
        <v>6810</v>
      </c>
      <c r="T36" s="2">
        <v>6704</v>
      </c>
      <c r="U36" s="2">
        <v>5966</v>
      </c>
      <c r="V36" s="2">
        <v>4770</v>
      </c>
      <c r="W36" s="2">
        <v>3820</v>
      </c>
      <c r="X36" s="2">
        <v>2865</v>
      </c>
      <c r="Y36" s="2">
        <v>2129</v>
      </c>
      <c r="Z36" s="2">
        <v>1541</v>
      </c>
      <c r="AA36" s="2">
        <v>1084</v>
      </c>
      <c r="AB36" s="2">
        <v>733</v>
      </c>
      <c r="AC36" s="2">
        <v>440</v>
      </c>
      <c r="AD36" s="2">
        <v>313</v>
      </c>
      <c r="AE36" s="2">
        <v>22601</v>
      </c>
      <c r="AF36" s="2">
        <v>18904</v>
      </c>
      <c r="AG36" s="2">
        <v>15779</v>
      </c>
      <c r="AH36" s="2">
        <v>14054</v>
      </c>
      <c r="AI36" s="2">
        <v>10040</v>
      </c>
      <c r="AJ36" s="2">
        <v>7221</v>
      </c>
      <c r="AK36" s="2">
        <v>5330</v>
      </c>
      <c r="AL36" s="2">
        <v>4207</v>
      </c>
      <c r="AM36" s="2">
        <v>3735</v>
      </c>
      <c r="AN36" s="2">
        <v>3194</v>
      </c>
      <c r="AO36" s="2">
        <v>2577</v>
      </c>
      <c r="AP36" s="2">
        <v>2012</v>
      </c>
      <c r="AQ36" s="2">
        <v>1454</v>
      </c>
      <c r="AR36" s="2">
        <v>1007</v>
      </c>
      <c r="AS36" s="2">
        <v>600</v>
      </c>
      <c r="AT36" s="2">
        <v>334</v>
      </c>
      <c r="AU36" s="2">
        <v>272</v>
      </c>
      <c r="AV36" s="2">
        <v>44234</v>
      </c>
      <c r="AW36" s="2">
        <v>37028</v>
      </c>
      <c r="AX36" s="2">
        <v>31301</v>
      </c>
      <c r="AY36" s="2">
        <v>27715</v>
      </c>
      <c r="AZ36" s="2">
        <v>19254</v>
      </c>
      <c r="BA36" s="2">
        <v>14031</v>
      </c>
      <c r="BB36" s="2">
        <v>12034</v>
      </c>
      <c r="BC36" s="2">
        <v>10173</v>
      </c>
      <c r="BD36" s="2">
        <v>8505</v>
      </c>
      <c r="BE36" s="2">
        <v>7015</v>
      </c>
      <c r="BF36" s="2">
        <v>5442</v>
      </c>
      <c r="BG36" s="2">
        <v>4140</v>
      </c>
      <c r="BH36" s="2">
        <v>2996</v>
      </c>
      <c r="BI36" s="2">
        <v>2091</v>
      </c>
      <c r="BJ36" s="2">
        <v>1332</v>
      </c>
      <c r="BK36" s="2">
        <v>774</v>
      </c>
      <c r="BL36" s="2">
        <v>585</v>
      </c>
    </row>
    <row r="37" spans="1:64">
      <c r="A37" t="s">
        <v>87</v>
      </c>
      <c r="B37" t="s">
        <v>88</v>
      </c>
      <c r="C37" t="s">
        <v>87</v>
      </c>
      <c r="D37" t="s">
        <v>243</v>
      </c>
      <c r="E37" t="s">
        <v>210</v>
      </c>
      <c r="F37" t="s">
        <v>210</v>
      </c>
      <c r="G37" t="s">
        <v>89</v>
      </c>
      <c r="H37" t="s">
        <v>90</v>
      </c>
      <c r="I37" t="s">
        <v>211</v>
      </c>
      <c r="J37" t="s">
        <v>9</v>
      </c>
      <c r="K37" s="3">
        <v>178149</v>
      </c>
      <c r="L37" s="3">
        <v>171083</v>
      </c>
      <c r="M37" s="3">
        <v>349232</v>
      </c>
      <c r="N37" s="2">
        <v>34440</v>
      </c>
      <c r="O37" s="2">
        <v>27797</v>
      </c>
      <c r="P37" s="2">
        <v>22356</v>
      </c>
      <c r="Q37" s="2">
        <v>20387</v>
      </c>
      <c r="R37" s="2">
        <v>15592</v>
      </c>
      <c r="S37" s="2">
        <v>12104</v>
      </c>
      <c r="T37" s="2">
        <v>10213</v>
      </c>
      <c r="U37" s="2">
        <v>8430</v>
      </c>
      <c r="V37" s="2">
        <v>6594</v>
      </c>
      <c r="W37" s="2">
        <v>5287</v>
      </c>
      <c r="X37" s="2">
        <v>4201</v>
      </c>
      <c r="Y37" s="2">
        <v>3308</v>
      </c>
      <c r="Z37" s="2">
        <v>2589</v>
      </c>
      <c r="AA37" s="2">
        <v>1942</v>
      </c>
      <c r="AB37" s="2">
        <v>1367</v>
      </c>
      <c r="AC37" s="2">
        <v>859</v>
      </c>
      <c r="AD37" s="2">
        <v>683</v>
      </c>
      <c r="AE37" s="2">
        <v>35980</v>
      </c>
      <c r="AF37" s="2">
        <v>28994</v>
      </c>
      <c r="AG37" s="2">
        <v>22438</v>
      </c>
      <c r="AH37" s="2">
        <v>20208</v>
      </c>
      <c r="AI37" s="2">
        <v>15299</v>
      </c>
      <c r="AJ37" s="2">
        <v>11359</v>
      </c>
      <c r="AK37" s="2">
        <v>8141</v>
      </c>
      <c r="AL37" s="2">
        <v>6194</v>
      </c>
      <c r="AM37" s="2">
        <v>5123</v>
      </c>
      <c r="AN37" s="2">
        <v>4270</v>
      </c>
      <c r="AO37" s="2">
        <v>3566</v>
      </c>
      <c r="AP37" s="2">
        <v>2903</v>
      </c>
      <c r="AQ37" s="2">
        <v>2242</v>
      </c>
      <c r="AR37" s="2">
        <v>1688</v>
      </c>
      <c r="AS37" s="2">
        <v>1158</v>
      </c>
      <c r="AT37" s="2">
        <v>750</v>
      </c>
      <c r="AU37" s="2">
        <v>770</v>
      </c>
      <c r="AV37" s="2">
        <v>70421</v>
      </c>
      <c r="AW37" s="2">
        <v>56791</v>
      </c>
      <c r="AX37" s="2">
        <v>44793</v>
      </c>
      <c r="AY37" s="2">
        <v>40596</v>
      </c>
      <c r="AZ37" s="2">
        <v>30891</v>
      </c>
      <c r="BA37" s="2">
        <v>23463</v>
      </c>
      <c r="BB37" s="2">
        <v>18353</v>
      </c>
      <c r="BC37" s="2">
        <v>14625</v>
      </c>
      <c r="BD37" s="2">
        <v>11717</v>
      </c>
      <c r="BE37" s="2">
        <v>9557</v>
      </c>
      <c r="BF37" s="2">
        <v>7767</v>
      </c>
      <c r="BG37" s="2">
        <v>6211</v>
      </c>
      <c r="BH37" s="2">
        <v>4832</v>
      </c>
      <c r="BI37" s="2">
        <v>3630</v>
      </c>
      <c r="BJ37" s="2">
        <v>2525</v>
      </c>
      <c r="BK37" s="2">
        <v>1608</v>
      </c>
      <c r="BL37" s="2">
        <v>1453</v>
      </c>
    </row>
    <row r="38" spans="1:64">
      <c r="A38" t="s">
        <v>91</v>
      </c>
      <c r="B38" t="s">
        <v>92</v>
      </c>
      <c r="C38" t="s">
        <v>91</v>
      </c>
      <c r="D38" t="s">
        <v>244</v>
      </c>
      <c r="E38" t="s">
        <v>210</v>
      </c>
      <c r="F38" t="s">
        <v>210</v>
      </c>
      <c r="G38" t="s">
        <v>89</v>
      </c>
      <c r="H38" t="s">
        <v>90</v>
      </c>
      <c r="I38" t="s">
        <v>211</v>
      </c>
      <c r="J38" t="s">
        <v>9</v>
      </c>
      <c r="K38" s="3">
        <v>172764</v>
      </c>
      <c r="L38" s="3">
        <v>165913</v>
      </c>
      <c r="M38" s="3">
        <v>338677</v>
      </c>
      <c r="N38" s="2">
        <v>33399</v>
      </c>
      <c r="O38" s="2">
        <v>26957</v>
      </c>
      <c r="P38" s="2">
        <v>21680</v>
      </c>
      <c r="Q38" s="2">
        <v>19771</v>
      </c>
      <c r="R38" s="2">
        <v>15121</v>
      </c>
      <c r="S38" s="2">
        <v>11738</v>
      </c>
      <c r="T38" s="2">
        <v>9904</v>
      </c>
      <c r="U38" s="2">
        <v>8175</v>
      </c>
      <c r="V38" s="2">
        <v>6395</v>
      </c>
      <c r="W38" s="2">
        <v>5127</v>
      </c>
      <c r="X38" s="2">
        <v>4074</v>
      </c>
      <c r="Y38" s="2">
        <v>3208</v>
      </c>
      <c r="Z38" s="2">
        <v>2511</v>
      </c>
      <c r="AA38" s="2">
        <v>1884</v>
      </c>
      <c r="AB38" s="2">
        <v>1325</v>
      </c>
      <c r="AC38" s="2">
        <v>833</v>
      </c>
      <c r="AD38" s="2">
        <v>662</v>
      </c>
      <c r="AE38" s="2">
        <v>34893</v>
      </c>
      <c r="AF38" s="2">
        <v>28118</v>
      </c>
      <c r="AG38" s="2">
        <v>21759</v>
      </c>
      <c r="AH38" s="2">
        <v>19598</v>
      </c>
      <c r="AI38" s="2">
        <v>14836</v>
      </c>
      <c r="AJ38" s="2">
        <v>11016</v>
      </c>
      <c r="AK38" s="2">
        <v>7895</v>
      </c>
      <c r="AL38" s="2">
        <v>6007</v>
      </c>
      <c r="AM38" s="2">
        <v>4968</v>
      </c>
      <c r="AN38" s="2">
        <v>4141</v>
      </c>
      <c r="AO38" s="2">
        <v>3458</v>
      </c>
      <c r="AP38" s="2">
        <v>2815</v>
      </c>
      <c r="AQ38" s="2">
        <v>2175</v>
      </c>
      <c r="AR38" s="2">
        <v>1637</v>
      </c>
      <c r="AS38" s="2">
        <v>1123</v>
      </c>
      <c r="AT38" s="2">
        <v>727</v>
      </c>
      <c r="AU38" s="2">
        <v>747</v>
      </c>
      <c r="AV38" s="2">
        <v>68292</v>
      </c>
      <c r="AW38" s="2">
        <v>55074</v>
      </c>
      <c r="AX38" s="2">
        <v>43439</v>
      </c>
      <c r="AY38" s="2">
        <v>39368</v>
      </c>
      <c r="AZ38" s="2">
        <v>29957</v>
      </c>
      <c r="BA38" s="2">
        <v>22754</v>
      </c>
      <c r="BB38" s="2">
        <v>17799</v>
      </c>
      <c r="BC38" s="2">
        <v>14183</v>
      </c>
      <c r="BD38" s="2">
        <v>11363</v>
      </c>
      <c r="BE38" s="2">
        <v>9268</v>
      </c>
      <c r="BF38" s="2">
        <v>7532</v>
      </c>
      <c r="BG38" s="2">
        <v>6023</v>
      </c>
      <c r="BH38" s="2">
        <v>4685</v>
      </c>
      <c r="BI38" s="2">
        <v>3520</v>
      </c>
      <c r="BJ38" s="2">
        <v>2448</v>
      </c>
      <c r="BK38" s="2">
        <v>1560</v>
      </c>
      <c r="BL38" s="2">
        <v>1409</v>
      </c>
    </row>
    <row r="39" spans="1:64">
      <c r="A39" t="s">
        <v>193</v>
      </c>
      <c r="B39" t="s">
        <v>93</v>
      </c>
      <c r="C39" t="s">
        <v>94</v>
      </c>
      <c r="D39" t="s">
        <v>245</v>
      </c>
      <c r="E39" t="s">
        <v>210</v>
      </c>
      <c r="F39" t="s">
        <v>210</v>
      </c>
      <c r="G39" t="s">
        <v>89</v>
      </c>
      <c r="H39" t="s">
        <v>90</v>
      </c>
      <c r="I39" t="s">
        <v>211</v>
      </c>
      <c r="J39" t="s">
        <v>9</v>
      </c>
      <c r="K39" s="3">
        <v>61946</v>
      </c>
      <c r="L39" s="3">
        <v>59491</v>
      </c>
      <c r="M39" s="3">
        <v>121437</v>
      </c>
      <c r="N39" s="2">
        <v>11976</v>
      </c>
      <c r="O39" s="2">
        <v>9666</v>
      </c>
      <c r="P39" s="2">
        <v>7774</v>
      </c>
      <c r="Q39" s="2">
        <v>7089</v>
      </c>
      <c r="R39" s="2">
        <v>5422</v>
      </c>
      <c r="S39" s="2">
        <v>4209</v>
      </c>
      <c r="T39" s="2">
        <v>3551</v>
      </c>
      <c r="U39" s="2">
        <v>2931</v>
      </c>
      <c r="V39" s="2">
        <v>2293</v>
      </c>
      <c r="W39" s="2">
        <v>1838</v>
      </c>
      <c r="X39" s="2">
        <v>1461</v>
      </c>
      <c r="Y39" s="2">
        <v>1150</v>
      </c>
      <c r="Z39" s="2">
        <v>900</v>
      </c>
      <c r="AA39" s="2">
        <v>675</v>
      </c>
      <c r="AB39" s="2">
        <v>475</v>
      </c>
      <c r="AC39" s="2">
        <v>299</v>
      </c>
      <c r="AD39" s="2">
        <v>237</v>
      </c>
      <c r="AE39" s="2">
        <v>12511</v>
      </c>
      <c r="AF39" s="2">
        <v>10082</v>
      </c>
      <c r="AG39" s="2">
        <v>7802</v>
      </c>
      <c r="AH39" s="2">
        <v>7027</v>
      </c>
      <c r="AI39" s="2">
        <v>5320</v>
      </c>
      <c r="AJ39" s="2">
        <v>3950</v>
      </c>
      <c r="AK39" s="2">
        <v>2831</v>
      </c>
      <c r="AL39" s="2">
        <v>2154</v>
      </c>
      <c r="AM39" s="2">
        <v>1781</v>
      </c>
      <c r="AN39" s="2">
        <v>1485</v>
      </c>
      <c r="AO39" s="2">
        <v>1240</v>
      </c>
      <c r="AP39" s="2">
        <v>1009</v>
      </c>
      <c r="AQ39" s="2">
        <v>780</v>
      </c>
      <c r="AR39" s="2">
        <v>587</v>
      </c>
      <c r="AS39" s="2">
        <v>403</v>
      </c>
      <c r="AT39" s="2">
        <v>261</v>
      </c>
      <c r="AU39" s="2">
        <v>268</v>
      </c>
      <c r="AV39" s="2">
        <v>24487</v>
      </c>
      <c r="AW39" s="2">
        <v>19748</v>
      </c>
      <c r="AX39" s="2">
        <v>15576</v>
      </c>
      <c r="AY39" s="2">
        <v>14116</v>
      </c>
      <c r="AZ39" s="2">
        <v>10741</v>
      </c>
      <c r="BA39" s="2">
        <v>8159</v>
      </c>
      <c r="BB39" s="2">
        <v>6382</v>
      </c>
      <c r="BC39" s="2">
        <v>5085</v>
      </c>
      <c r="BD39" s="2">
        <v>4074</v>
      </c>
      <c r="BE39" s="2">
        <v>3323</v>
      </c>
      <c r="BF39" s="2">
        <v>2701</v>
      </c>
      <c r="BG39" s="2">
        <v>2160</v>
      </c>
      <c r="BH39" s="2">
        <v>1680</v>
      </c>
      <c r="BI39" s="2">
        <v>1262</v>
      </c>
      <c r="BJ39" s="2">
        <v>878</v>
      </c>
      <c r="BK39" s="2">
        <v>559</v>
      </c>
      <c r="BL39" s="2">
        <v>505</v>
      </c>
    </row>
    <row r="40" spans="1:64">
      <c r="A40" t="s">
        <v>95</v>
      </c>
      <c r="B40" t="s">
        <v>96</v>
      </c>
      <c r="C40" t="s">
        <v>95</v>
      </c>
      <c r="D40" t="s">
        <v>246</v>
      </c>
      <c r="E40" t="s">
        <v>210</v>
      </c>
      <c r="F40" t="s">
        <v>210</v>
      </c>
      <c r="G40" t="s">
        <v>89</v>
      </c>
      <c r="H40" t="s">
        <v>90</v>
      </c>
      <c r="I40" t="s">
        <v>211</v>
      </c>
      <c r="J40" t="s">
        <v>9</v>
      </c>
      <c r="K40" s="3">
        <v>172080</v>
      </c>
      <c r="L40" s="3">
        <v>165253</v>
      </c>
      <c r="M40" s="3">
        <v>337333</v>
      </c>
      <c r="N40" s="2">
        <v>33267</v>
      </c>
      <c r="O40" s="2">
        <v>26850</v>
      </c>
      <c r="P40" s="2">
        <v>21594</v>
      </c>
      <c r="Q40" s="2">
        <v>19693</v>
      </c>
      <c r="R40" s="2">
        <v>15061</v>
      </c>
      <c r="S40" s="2">
        <v>11692</v>
      </c>
      <c r="T40" s="2">
        <v>9865</v>
      </c>
      <c r="U40" s="2">
        <v>8143</v>
      </c>
      <c r="V40" s="2">
        <v>6369</v>
      </c>
      <c r="W40" s="2">
        <v>5107</v>
      </c>
      <c r="X40" s="2">
        <v>4058</v>
      </c>
      <c r="Y40" s="2">
        <v>3195</v>
      </c>
      <c r="Z40" s="2">
        <v>2501</v>
      </c>
      <c r="AA40" s="2">
        <v>1876</v>
      </c>
      <c r="AB40" s="2">
        <v>1320</v>
      </c>
      <c r="AC40" s="2">
        <v>829</v>
      </c>
      <c r="AD40" s="2">
        <v>660</v>
      </c>
      <c r="AE40" s="2">
        <v>34755</v>
      </c>
      <c r="AF40" s="2">
        <v>28006</v>
      </c>
      <c r="AG40" s="2">
        <v>21673</v>
      </c>
      <c r="AH40" s="2">
        <v>19520</v>
      </c>
      <c r="AI40" s="2">
        <v>14777</v>
      </c>
      <c r="AJ40" s="2">
        <v>10972</v>
      </c>
      <c r="AK40" s="2">
        <v>7864</v>
      </c>
      <c r="AL40" s="2">
        <v>5983</v>
      </c>
      <c r="AM40" s="2">
        <v>4949</v>
      </c>
      <c r="AN40" s="2">
        <v>4124</v>
      </c>
      <c r="AO40" s="2">
        <v>3444</v>
      </c>
      <c r="AP40" s="2">
        <v>2804</v>
      </c>
      <c r="AQ40" s="2">
        <v>2166</v>
      </c>
      <c r="AR40" s="2">
        <v>1630</v>
      </c>
      <c r="AS40" s="2">
        <v>1118</v>
      </c>
      <c r="AT40" s="2">
        <v>724</v>
      </c>
      <c r="AU40" s="2">
        <v>744</v>
      </c>
      <c r="AV40" s="2">
        <v>68022</v>
      </c>
      <c r="AW40" s="2">
        <v>54857</v>
      </c>
      <c r="AX40" s="2">
        <v>43267</v>
      </c>
      <c r="AY40" s="2">
        <v>39213</v>
      </c>
      <c r="AZ40" s="2">
        <v>29839</v>
      </c>
      <c r="BA40" s="2">
        <v>22664</v>
      </c>
      <c r="BB40" s="2">
        <v>17728</v>
      </c>
      <c r="BC40" s="2">
        <v>14126</v>
      </c>
      <c r="BD40" s="2">
        <v>11318</v>
      </c>
      <c r="BE40" s="2">
        <v>9232</v>
      </c>
      <c r="BF40" s="2">
        <v>7502</v>
      </c>
      <c r="BG40" s="2">
        <v>5999</v>
      </c>
      <c r="BH40" s="2">
        <v>4667</v>
      </c>
      <c r="BI40" s="2">
        <v>3506</v>
      </c>
      <c r="BJ40" s="2">
        <v>2438</v>
      </c>
      <c r="BK40" s="2">
        <v>1554</v>
      </c>
      <c r="BL40" s="2">
        <v>1404</v>
      </c>
    </row>
    <row r="41" spans="1:64">
      <c r="A41" t="s">
        <v>181</v>
      </c>
      <c r="B41" t="s">
        <v>182</v>
      </c>
      <c r="C41" t="s">
        <v>181</v>
      </c>
      <c r="D41" t="s">
        <v>279</v>
      </c>
      <c r="E41" t="s">
        <v>210</v>
      </c>
      <c r="F41" t="s">
        <v>210</v>
      </c>
      <c r="G41" t="s">
        <v>99</v>
      </c>
      <c r="H41" t="s">
        <v>100</v>
      </c>
      <c r="I41" t="s">
        <v>211</v>
      </c>
      <c r="J41" t="s">
        <v>9</v>
      </c>
      <c r="K41" s="3">
        <v>253779</v>
      </c>
      <c r="L41" s="3">
        <v>247562</v>
      </c>
      <c r="M41" s="3">
        <v>501341</v>
      </c>
      <c r="N41" s="2">
        <v>49935</v>
      </c>
      <c r="O41" s="2">
        <v>40227</v>
      </c>
      <c r="P41" s="2">
        <v>32760</v>
      </c>
      <c r="Q41" s="2">
        <v>29148</v>
      </c>
      <c r="R41" s="2">
        <v>22322</v>
      </c>
      <c r="S41" s="2">
        <v>17586</v>
      </c>
      <c r="T41" s="2">
        <v>15250</v>
      </c>
      <c r="U41" s="2">
        <v>12534</v>
      </c>
      <c r="V41" s="2">
        <v>9085</v>
      </c>
      <c r="W41" s="2">
        <v>6887</v>
      </c>
      <c r="X41" s="2">
        <v>5400</v>
      </c>
      <c r="Y41" s="2">
        <v>4129</v>
      </c>
      <c r="Z41" s="2">
        <v>2994</v>
      </c>
      <c r="AA41" s="2">
        <v>2147</v>
      </c>
      <c r="AB41" s="2">
        <v>1516</v>
      </c>
      <c r="AC41" s="2">
        <v>971</v>
      </c>
      <c r="AD41" s="2">
        <v>888</v>
      </c>
      <c r="AE41" s="2">
        <v>52168</v>
      </c>
      <c r="AF41" s="2">
        <v>41960</v>
      </c>
      <c r="AG41" s="2">
        <v>32609</v>
      </c>
      <c r="AH41" s="2">
        <v>28671</v>
      </c>
      <c r="AI41" s="2">
        <v>22359</v>
      </c>
      <c r="AJ41" s="2">
        <v>17170</v>
      </c>
      <c r="AK41" s="2">
        <v>12475</v>
      </c>
      <c r="AL41" s="2">
        <v>9471</v>
      </c>
      <c r="AM41" s="2">
        <v>7453</v>
      </c>
      <c r="AN41" s="2">
        <v>6019</v>
      </c>
      <c r="AO41" s="2">
        <v>5058</v>
      </c>
      <c r="AP41" s="2">
        <v>4052</v>
      </c>
      <c r="AQ41" s="2">
        <v>2948</v>
      </c>
      <c r="AR41" s="2">
        <v>2102</v>
      </c>
      <c r="AS41" s="2">
        <v>1355</v>
      </c>
      <c r="AT41" s="2">
        <v>835</v>
      </c>
      <c r="AU41" s="2">
        <v>857</v>
      </c>
      <c r="AV41" s="2">
        <v>102102</v>
      </c>
      <c r="AW41" s="2">
        <v>82186</v>
      </c>
      <c r="AX41" s="2">
        <v>65369</v>
      </c>
      <c r="AY41" s="2">
        <v>57819</v>
      </c>
      <c r="AZ41" s="2">
        <v>44681</v>
      </c>
      <c r="BA41" s="2">
        <v>34757</v>
      </c>
      <c r="BB41" s="2">
        <v>27725</v>
      </c>
      <c r="BC41" s="2">
        <v>22004</v>
      </c>
      <c r="BD41" s="2">
        <v>16537</v>
      </c>
      <c r="BE41" s="2">
        <v>12907</v>
      </c>
      <c r="BF41" s="2">
        <v>10458</v>
      </c>
      <c r="BG41" s="2">
        <v>8181</v>
      </c>
      <c r="BH41" s="2">
        <v>5942</v>
      </c>
      <c r="BI41" s="2">
        <v>4248</v>
      </c>
      <c r="BJ41" s="2">
        <v>2871</v>
      </c>
      <c r="BK41" s="2">
        <v>1806</v>
      </c>
      <c r="BL41" s="2">
        <v>1745</v>
      </c>
    </row>
    <row r="42" spans="1:64">
      <c r="A42" t="s">
        <v>194</v>
      </c>
      <c r="B42" t="s">
        <v>97</v>
      </c>
      <c r="C42" t="s">
        <v>98</v>
      </c>
      <c r="D42" t="s">
        <v>247</v>
      </c>
      <c r="E42" t="s">
        <v>210</v>
      </c>
      <c r="F42" t="s">
        <v>210</v>
      </c>
      <c r="G42" t="s">
        <v>99</v>
      </c>
      <c r="H42" t="s">
        <v>100</v>
      </c>
      <c r="I42" t="s">
        <v>211</v>
      </c>
      <c r="J42" t="s">
        <v>9</v>
      </c>
      <c r="K42" s="3">
        <v>132538</v>
      </c>
      <c r="L42" s="3">
        <v>129293</v>
      </c>
      <c r="M42" s="3">
        <v>261831</v>
      </c>
      <c r="N42" s="2">
        <v>26079</v>
      </c>
      <c r="O42" s="2">
        <v>21009</v>
      </c>
      <c r="P42" s="2">
        <v>17109</v>
      </c>
      <c r="Q42" s="2">
        <v>15223</v>
      </c>
      <c r="R42" s="2">
        <v>11658</v>
      </c>
      <c r="S42" s="2">
        <v>9185</v>
      </c>
      <c r="T42" s="2">
        <v>7964</v>
      </c>
      <c r="U42" s="2">
        <v>6546</v>
      </c>
      <c r="V42" s="2">
        <v>4745</v>
      </c>
      <c r="W42" s="2">
        <v>3597</v>
      </c>
      <c r="X42" s="2">
        <v>2820</v>
      </c>
      <c r="Y42" s="2">
        <v>2156</v>
      </c>
      <c r="Z42" s="2">
        <v>1563</v>
      </c>
      <c r="AA42" s="2">
        <v>1121</v>
      </c>
      <c r="AB42" s="2">
        <v>792</v>
      </c>
      <c r="AC42" s="2">
        <v>507</v>
      </c>
      <c r="AD42" s="2">
        <v>464</v>
      </c>
      <c r="AE42" s="2">
        <v>27245</v>
      </c>
      <c r="AF42" s="2">
        <v>21914</v>
      </c>
      <c r="AG42" s="2">
        <v>17031</v>
      </c>
      <c r="AH42" s="2">
        <v>14974</v>
      </c>
      <c r="AI42" s="2">
        <v>11677</v>
      </c>
      <c r="AJ42" s="2">
        <v>8967</v>
      </c>
      <c r="AK42" s="2">
        <v>6515</v>
      </c>
      <c r="AL42" s="2">
        <v>4946</v>
      </c>
      <c r="AM42" s="2">
        <v>3892</v>
      </c>
      <c r="AN42" s="2">
        <v>3144</v>
      </c>
      <c r="AO42" s="2">
        <v>2642</v>
      </c>
      <c r="AP42" s="2">
        <v>2116</v>
      </c>
      <c r="AQ42" s="2">
        <v>1540</v>
      </c>
      <c r="AR42" s="2">
        <v>1098</v>
      </c>
      <c r="AS42" s="2">
        <v>708</v>
      </c>
      <c r="AT42" s="2">
        <v>436</v>
      </c>
      <c r="AU42" s="2">
        <v>448</v>
      </c>
      <c r="AV42" s="2">
        <v>53324</v>
      </c>
      <c r="AW42" s="2">
        <v>42923</v>
      </c>
      <c r="AX42" s="2">
        <v>34140</v>
      </c>
      <c r="AY42" s="2">
        <v>30197</v>
      </c>
      <c r="AZ42" s="2">
        <v>23335</v>
      </c>
      <c r="BA42" s="2">
        <v>18152</v>
      </c>
      <c r="BB42" s="2">
        <v>14479</v>
      </c>
      <c r="BC42" s="2">
        <v>11492</v>
      </c>
      <c r="BD42" s="2">
        <v>8637</v>
      </c>
      <c r="BE42" s="2">
        <v>6741</v>
      </c>
      <c r="BF42" s="2">
        <v>5462</v>
      </c>
      <c r="BG42" s="2">
        <v>4273</v>
      </c>
      <c r="BH42" s="2">
        <v>3103</v>
      </c>
      <c r="BI42" s="2">
        <v>2219</v>
      </c>
      <c r="BJ42" s="2">
        <v>1499</v>
      </c>
      <c r="BK42" s="2">
        <v>943</v>
      </c>
      <c r="BL42" s="2">
        <v>911</v>
      </c>
    </row>
    <row r="43" spans="1:64">
      <c r="A43" t="s">
        <v>101</v>
      </c>
      <c r="B43" t="s">
        <v>102</v>
      </c>
      <c r="C43" t="s">
        <v>101</v>
      </c>
      <c r="D43" t="s">
        <v>248</v>
      </c>
      <c r="E43" t="s">
        <v>210</v>
      </c>
      <c r="F43" t="s">
        <v>210</v>
      </c>
      <c r="G43" t="s">
        <v>99</v>
      </c>
      <c r="H43" t="s">
        <v>100</v>
      </c>
      <c r="I43" t="s">
        <v>211</v>
      </c>
      <c r="J43" t="s">
        <v>9</v>
      </c>
      <c r="K43" s="3">
        <v>41624</v>
      </c>
      <c r="L43" s="3">
        <v>40602</v>
      </c>
      <c r="M43" s="3">
        <v>82226</v>
      </c>
      <c r="N43" s="2">
        <v>8190</v>
      </c>
      <c r="O43" s="2">
        <v>6598</v>
      </c>
      <c r="P43" s="2">
        <v>5373</v>
      </c>
      <c r="Q43" s="2">
        <v>4781</v>
      </c>
      <c r="R43" s="2">
        <v>3661</v>
      </c>
      <c r="S43" s="2">
        <v>2884</v>
      </c>
      <c r="T43" s="2">
        <v>2501</v>
      </c>
      <c r="U43" s="2">
        <v>2056</v>
      </c>
      <c r="V43" s="2">
        <v>1490</v>
      </c>
      <c r="W43" s="2">
        <v>1130</v>
      </c>
      <c r="X43" s="2">
        <v>886</v>
      </c>
      <c r="Y43" s="2">
        <v>677</v>
      </c>
      <c r="Z43" s="2">
        <v>491</v>
      </c>
      <c r="AA43" s="2">
        <v>352</v>
      </c>
      <c r="AB43" s="2">
        <v>249</v>
      </c>
      <c r="AC43" s="2">
        <v>159</v>
      </c>
      <c r="AD43" s="2">
        <v>146</v>
      </c>
      <c r="AE43" s="2">
        <v>8556</v>
      </c>
      <c r="AF43" s="2">
        <v>6882</v>
      </c>
      <c r="AG43" s="2">
        <v>5348</v>
      </c>
      <c r="AH43" s="2">
        <v>4702</v>
      </c>
      <c r="AI43" s="2">
        <v>3667</v>
      </c>
      <c r="AJ43" s="2">
        <v>2816</v>
      </c>
      <c r="AK43" s="2">
        <v>2046</v>
      </c>
      <c r="AL43" s="2">
        <v>1553</v>
      </c>
      <c r="AM43" s="2">
        <v>1222</v>
      </c>
      <c r="AN43" s="2">
        <v>987</v>
      </c>
      <c r="AO43" s="2">
        <v>830</v>
      </c>
      <c r="AP43" s="2">
        <v>665</v>
      </c>
      <c r="AQ43" s="2">
        <v>483</v>
      </c>
      <c r="AR43" s="2">
        <v>345</v>
      </c>
      <c r="AS43" s="2">
        <v>222</v>
      </c>
      <c r="AT43" s="2">
        <v>137</v>
      </c>
      <c r="AU43" s="2">
        <v>141</v>
      </c>
      <c r="AV43" s="2">
        <v>16746</v>
      </c>
      <c r="AW43" s="2">
        <v>13479</v>
      </c>
      <c r="AX43" s="2">
        <v>10721</v>
      </c>
      <c r="AY43" s="2">
        <v>9483</v>
      </c>
      <c r="AZ43" s="2">
        <v>7328</v>
      </c>
      <c r="BA43" s="2">
        <v>5700</v>
      </c>
      <c r="BB43" s="2">
        <v>4547</v>
      </c>
      <c r="BC43" s="2">
        <v>3609</v>
      </c>
      <c r="BD43" s="2">
        <v>2712</v>
      </c>
      <c r="BE43" s="2">
        <v>2117</v>
      </c>
      <c r="BF43" s="2">
        <v>1715</v>
      </c>
      <c r="BG43" s="2">
        <v>1342</v>
      </c>
      <c r="BH43" s="2">
        <v>974</v>
      </c>
      <c r="BI43" s="2">
        <v>697</v>
      </c>
      <c r="BJ43" s="2">
        <v>471</v>
      </c>
      <c r="BK43" s="2">
        <v>296</v>
      </c>
      <c r="BL43" s="2">
        <v>286</v>
      </c>
    </row>
    <row r="44" spans="1:64">
      <c r="A44" t="s">
        <v>272</v>
      </c>
      <c r="B44" t="s">
        <v>169</v>
      </c>
      <c r="C44" t="s">
        <v>170</v>
      </c>
      <c r="D44" t="s">
        <v>273</v>
      </c>
      <c r="E44" t="s">
        <v>210</v>
      </c>
      <c r="F44" t="s">
        <v>210</v>
      </c>
      <c r="G44" t="s">
        <v>105</v>
      </c>
      <c r="H44" t="s">
        <v>106</v>
      </c>
      <c r="I44" t="s">
        <v>211</v>
      </c>
      <c r="J44" t="s">
        <v>9</v>
      </c>
      <c r="K44" s="3">
        <v>228542</v>
      </c>
      <c r="L44" s="3">
        <v>229410</v>
      </c>
      <c r="M44" s="3">
        <v>457952</v>
      </c>
      <c r="N44" s="2">
        <v>44469</v>
      </c>
      <c r="O44" s="2">
        <v>36724</v>
      </c>
      <c r="P44" s="2">
        <v>29091</v>
      </c>
      <c r="Q44" s="2">
        <v>25660</v>
      </c>
      <c r="R44" s="2">
        <v>19352</v>
      </c>
      <c r="S44" s="2">
        <v>15221</v>
      </c>
      <c r="T44" s="2">
        <v>13576</v>
      </c>
      <c r="U44" s="2">
        <v>11528</v>
      </c>
      <c r="V44" s="2">
        <v>9122</v>
      </c>
      <c r="W44" s="2">
        <v>7216</v>
      </c>
      <c r="X44" s="2">
        <v>5346</v>
      </c>
      <c r="Y44" s="2">
        <v>3911</v>
      </c>
      <c r="Z44" s="2">
        <v>2747</v>
      </c>
      <c r="AA44" s="2">
        <v>1896</v>
      </c>
      <c r="AB44" s="2">
        <v>1291</v>
      </c>
      <c r="AC44" s="2">
        <v>786</v>
      </c>
      <c r="AD44" s="2">
        <v>606</v>
      </c>
      <c r="AE44" s="2">
        <v>46458</v>
      </c>
      <c r="AF44" s="2">
        <v>38306</v>
      </c>
      <c r="AG44" s="2">
        <v>29828</v>
      </c>
      <c r="AH44" s="2">
        <v>26398</v>
      </c>
      <c r="AI44" s="2">
        <v>20002</v>
      </c>
      <c r="AJ44" s="2">
        <v>15166</v>
      </c>
      <c r="AK44" s="2">
        <v>11538</v>
      </c>
      <c r="AL44" s="2">
        <v>9190</v>
      </c>
      <c r="AM44" s="2">
        <v>7681</v>
      </c>
      <c r="AN44" s="2">
        <v>6490</v>
      </c>
      <c r="AO44" s="2">
        <v>5646</v>
      </c>
      <c r="AP44" s="2">
        <v>4569</v>
      </c>
      <c r="AQ44" s="2">
        <v>3230</v>
      </c>
      <c r="AR44" s="2">
        <v>2215</v>
      </c>
      <c r="AS44" s="2">
        <v>1348</v>
      </c>
      <c r="AT44" s="2">
        <v>755</v>
      </c>
      <c r="AU44" s="2">
        <v>590</v>
      </c>
      <c r="AV44" s="2">
        <v>90928</v>
      </c>
      <c r="AW44" s="2">
        <v>75030</v>
      </c>
      <c r="AX44" s="2">
        <v>58918</v>
      </c>
      <c r="AY44" s="2">
        <v>52058</v>
      </c>
      <c r="AZ44" s="2">
        <v>39354</v>
      </c>
      <c r="BA44" s="2">
        <v>30388</v>
      </c>
      <c r="BB44" s="2">
        <v>25115</v>
      </c>
      <c r="BC44" s="2">
        <v>20718</v>
      </c>
      <c r="BD44" s="2">
        <v>16803</v>
      </c>
      <c r="BE44" s="2">
        <v>13706</v>
      </c>
      <c r="BF44" s="2">
        <v>10991</v>
      </c>
      <c r="BG44" s="2">
        <v>8480</v>
      </c>
      <c r="BH44" s="2">
        <v>5978</v>
      </c>
      <c r="BI44" s="2">
        <v>4112</v>
      </c>
      <c r="BJ44" s="2">
        <v>2638</v>
      </c>
      <c r="BK44" s="2">
        <v>1540</v>
      </c>
      <c r="BL44" s="2">
        <v>1196</v>
      </c>
    </row>
    <row r="45" spans="1:64">
      <c r="A45" t="s">
        <v>103</v>
      </c>
      <c r="B45" t="s">
        <v>104</v>
      </c>
      <c r="C45" t="s">
        <v>103</v>
      </c>
      <c r="D45" t="s">
        <v>249</v>
      </c>
      <c r="E45" t="s">
        <v>210</v>
      </c>
      <c r="F45" t="s">
        <v>210</v>
      </c>
      <c r="G45" t="s">
        <v>105</v>
      </c>
      <c r="H45" t="s">
        <v>106</v>
      </c>
      <c r="I45" t="s">
        <v>211</v>
      </c>
      <c r="J45" t="s">
        <v>9</v>
      </c>
      <c r="K45" s="3">
        <v>79743</v>
      </c>
      <c r="L45" s="3">
        <v>80046</v>
      </c>
      <c r="M45" s="3">
        <v>159789</v>
      </c>
      <c r="N45" s="2">
        <v>15516</v>
      </c>
      <c r="O45" s="2">
        <v>12814</v>
      </c>
      <c r="P45" s="2">
        <v>10150</v>
      </c>
      <c r="Q45" s="2">
        <v>8953</v>
      </c>
      <c r="R45" s="2">
        <v>6752</v>
      </c>
      <c r="S45" s="2">
        <v>5311</v>
      </c>
      <c r="T45" s="2">
        <v>4737</v>
      </c>
      <c r="U45" s="2">
        <v>4022</v>
      </c>
      <c r="V45" s="2">
        <v>3183</v>
      </c>
      <c r="W45" s="2">
        <v>2518</v>
      </c>
      <c r="X45" s="2">
        <v>1865</v>
      </c>
      <c r="Y45" s="2">
        <v>1365</v>
      </c>
      <c r="Z45" s="2">
        <v>959</v>
      </c>
      <c r="AA45" s="2">
        <v>662</v>
      </c>
      <c r="AB45" s="2">
        <v>450</v>
      </c>
      <c r="AC45" s="2">
        <v>274</v>
      </c>
      <c r="AD45" s="2">
        <v>212</v>
      </c>
      <c r="AE45" s="2">
        <v>16210</v>
      </c>
      <c r="AF45" s="2">
        <v>13366</v>
      </c>
      <c r="AG45" s="2">
        <v>10407</v>
      </c>
      <c r="AH45" s="2">
        <v>9211</v>
      </c>
      <c r="AI45" s="2">
        <v>6979</v>
      </c>
      <c r="AJ45" s="2">
        <v>5292</v>
      </c>
      <c r="AK45" s="2">
        <v>4026</v>
      </c>
      <c r="AL45" s="2">
        <v>3207</v>
      </c>
      <c r="AM45" s="2">
        <v>2680</v>
      </c>
      <c r="AN45" s="2">
        <v>2265</v>
      </c>
      <c r="AO45" s="2">
        <v>1970</v>
      </c>
      <c r="AP45" s="2">
        <v>1594</v>
      </c>
      <c r="AQ45" s="2">
        <v>1127</v>
      </c>
      <c r="AR45" s="2">
        <v>773</v>
      </c>
      <c r="AS45" s="2">
        <v>470</v>
      </c>
      <c r="AT45" s="2">
        <v>263</v>
      </c>
      <c r="AU45" s="2">
        <v>206</v>
      </c>
      <c r="AV45" s="2">
        <v>31726</v>
      </c>
      <c r="AW45" s="2">
        <v>26179</v>
      </c>
      <c r="AX45" s="2">
        <v>20557</v>
      </c>
      <c r="AY45" s="2">
        <v>18164</v>
      </c>
      <c r="AZ45" s="2">
        <v>13731</v>
      </c>
      <c r="BA45" s="2">
        <v>10603</v>
      </c>
      <c r="BB45" s="2">
        <v>8763</v>
      </c>
      <c r="BC45" s="2">
        <v>7229</v>
      </c>
      <c r="BD45" s="2">
        <v>5863</v>
      </c>
      <c r="BE45" s="2">
        <v>4782</v>
      </c>
      <c r="BF45" s="2">
        <v>3835</v>
      </c>
      <c r="BG45" s="2">
        <v>2959</v>
      </c>
      <c r="BH45" s="2">
        <v>2086</v>
      </c>
      <c r="BI45" s="2">
        <v>1435</v>
      </c>
      <c r="BJ45" s="2">
        <v>921</v>
      </c>
      <c r="BK45" s="2">
        <v>537</v>
      </c>
      <c r="BL45" s="2">
        <v>417</v>
      </c>
    </row>
    <row r="46" spans="1:64">
      <c r="A46" t="s">
        <v>107</v>
      </c>
      <c r="B46" t="s">
        <v>108</v>
      </c>
      <c r="C46" t="s">
        <v>107</v>
      </c>
      <c r="D46" t="s">
        <v>250</v>
      </c>
      <c r="E46" t="s">
        <v>210</v>
      </c>
      <c r="F46" t="s">
        <v>210</v>
      </c>
      <c r="G46" t="s">
        <v>105</v>
      </c>
      <c r="H46" t="s">
        <v>106</v>
      </c>
      <c r="I46" t="s">
        <v>211</v>
      </c>
      <c r="J46" t="s">
        <v>9</v>
      </c>
      <c r="K46" s="3">
        <v>129772</v>
      </c>
      <c r="L46" s="3">
        <v>130266</v>
      </c>
      <c r="M46" s="3">
        <v>260038</v>
      </c>
      <c r="N46" s="2">
        <v>25251</v>
      </c>
      <c r="O46" s="2">
        <v>20853</v>
      </c>
      <c r="P46" s="2">
        <v>16518</v>
      </c>
      <c r="Q46" s="2">
        <v>14570</v>
      </c>
      <c r="R46" s="2">
        <v>10989</v>
      </c>
      <c r="S46" s="2">
        <v>8643</v>
      </c>
      <c r="T46" s="2">
        <v>7709</v>
      </c>
      <c r="U46" s="2">
        <v>6546</v>
      </c>
      <c r="V46" s="2">
        <v>5180</v>
      </c>
      <c r="W46" s="2">
        <v>4097</v>
      </c>
      <c r="X46" s="2">
        <v>3035</v>
      </c>
      <c r="Y46" s="2">
        <v>2221</v>
      </c>
      <c r="Z46" s="2">
        <v>1560</v>
      </c>
      <c r="AA46" s="2">
        <v>1077</v>
      </c>
      <c r="AB46" s="2">
        <v>733</v>
      </c>
      <c r="AC46" s="2">
        <v>446</v>
      </c>
      <c r="AD46" s="2">
        <v>344</v>
      </c>
      <c r="AE46" s="2">
        <v>26380</v>
      </c>
      <c r="AF46" s="2">
        <v>21751</v>
      </c>
      <c r="AG46" s="2">
        <v>16937</v>
      </c>
      <c r="AH46" s="2">
        <v>14990</v>
      </c>
      <c r="AI46" s="2">
        <v>11358</v>
      </c>
      <c r="AJ46" s="2">
        <v>8612</v>
      </c>
      <c r="AK46" s="2">
        <v>6552</v>
      </c>
      <c r="AL46" s="2">
        <v>5218</v>
      </c>
      <c r="AM46" s="2">
        <v>4362</v>
      </c>
      <c r="AN46" s="2">
        <v>3685</v>
      </c>
      <c r="AO46" s="2">
        <v>3206</v>
      </c>
      <c r="AP46" s="2">
        <v>2594</v>
      </c>
      <c r="AQ46" s="2">
        <v>1834</v>
      </c>
      <c r="AR46" s="2">
        <v>1258</v>
      </c>
      <c r="AS46" s="2">
        <v>765</v>
      </c>
      <c r="AT46" s="2">
        <v>429</v>
      </c>
      <c r="AU46" s="2">
        <v>335</v>
      </c>
      <c r="AV46" s="2">
        <v>51631</v>
      </c>
      <c r="AW46" s="2">
        <v>42604</v>
      </c>
      <c r="AX46" s="2">
        <v>33455</v>
      </c>
      <c r="AY46" s="2">
        <v>29560</v>
      </c>
      <c r="AZ46" s="2">
        <v>22346</v>
      </c>
      <c r="BA46" s="2">
        <v>17255</v>
      </c>
      <c r="BB46" s="2">
        <v>14261</v>
      </c>
      <c r="BC46" s="2">
        <v>11764</v>
      </c>
      <c r="BD46" s="2">
        <v>9541</v>
      </c>
      <c r="BE46" s="2">
        <v>7783</v>
      </c>
      <c r="BF46" s="2">
        <v>6241</v>
      </c>
      <c r="BG46" s="2">
        <v>4815</v>
      </c>
      <c r="BH46" s="2">
        <v>3394</v>
      </c>
      <c r="BI46" s="2">
        <v>2335</v>
      </c>
      <c r="BJ46" s="2">
        <v>1498</v>
      </c>
      <c r="BK46" s="2">
        <v>875</v>
      </c>
      <c r="BL46" s="2">
        <v>679</v>
      </c>
    </row>
    <row r="47" spans="1:64">
      <c r="A47" t="s">
        <v>109</v>
      </c>
      <c r="B47" t="s">
        <v>110</v>
      </c>
      <c r="C47" t="s">
        <v>109</v>
      </c>
      <c r="D47" t="s">
        <v>251</v>
      </c>
      <c r="E47" t="s">
        <v>210</v>
      </c>
      <c r="F47" t="s">
        <v>210</v>
      </c>
      <c r="G47" t="s">
        <v>202</v>
      </c>
      <c r="H47" t="s">
        <v>111</v>
      </c>
      <c r="I47" t="s">
        <v>211</v>
      </c>
      <c r="J47" t="s">
        <v>9</v>
      </c>
      <c r="K47" s="3">
        <v>247031</v>
      </c>
      <c r="L47" s="3">
        <v>240105</v>
      </c>
      <c r="M47" s="3">
        <v>487136</v>
      </c>
      <c r="N47" s="2">
        <v>47420</v>
      </c>
      <c r="O47" s="2">
        <v>39549</v>
      </c>
      <c r="P47" s="2">
        <v>31025</v>
      </c>
      <c r="Q47" s="2">
        <v>28263</v>
      </c>
      <c r="R47" s="2">
        <v>20411</v>
      </c>
      <c r="S47" s="2">
        <v>15509</v>
      </c>
      <c r="T47" s="2">
        <v>14552</v>
      </c>
      <c r="U47" s="2">
        <v>12709</v>
      </c>
      <c r="V47" s="2">
        <v>10273</v>
      </c>
      <c r="W47" s="2">
        <v>8220</v>
      </c>
      <c r="X47" s="2">
        <v>6064</v>
      </c>
      <c r="Y47" s="2">
        <v>4395</v>
      </c>
      <c r="Z47" s="2">
        <v>2894</v>
      </c>
      <c r="AA47" s="2">
        <v>1994</v>
      </c>
      <c r="AB47" s="2">
        <v>1585</v>
      </c>
      <c r="AC47" s="2">
        <v>1089</v>
      </c>
      <c r="AD47" s="2">
        <v>1079</v>
      </c>
      <c r="AE47" s="2">
        <v>49540</v>
      </c>
      <c r="AF47" s="2">
        <v>41252</v>
      </c>
      <c r="AG47" s="2">
        <v>31673</v>
      </c>
      <c r="AH47" s="2">
        <v>28955</v>
      </c>
      <c r="AI47" s="2">
        <v>20923</v>
      </c>
      <c r="AJ47" s="2">
        <v>14787</v>
      </c>
      <c r="AK47" s="2">
        <v>10266</v>
      </c>
      <c r="AL47" s="2">
        <v>7985</v>
      </c>
      <c r="AM47" s="2">
        <v>7696</v>
      </c>
      <c r="AN47" s="2">
        <v>6942</v>
      </c>
      <c r="AO47" s="2">
        <v>5973</v>
      </c>
      <c r="AP47" s="2">
        <v>4801</v>
      </c>
      <c r="AQ47" s="2">
        <v>3210</v>
      </c>
      <c r="AR47" s="2">
        <v>2238</v>
      </c>
      <c r="AS47" s="2">
        <v>1700</v>
      </c>
      <c r="AT47" s="2">
        <v>1119</v>
      </c>
      <c r="AU47" s="2">
        <v>1045</v>
      </c>
      <c r="AV47" s="2">
        <v>96960</v>
      </c>
      <c r="AW47" s="2">
        <v>80800</v>
      </c>
      <c r="AX47" s="2">
        <v>62698</v>
      </c>
      <c r="AY47" s="2">
        <v>57217</v>
      </c>
      <c r="AZ47" s="2">
        <v>41334</v>
      </c>
      <c r="BA47" s="2">
        <v>30297</v>
      </c>
      <c r="BB47" s="2">
        <v>24818</v>
      </c>
      <c r="BC47" s="2">
        <v>20694</v>
      </c>
      <c r="BD47" s="2">
        <v>17969</v>
      </c>
      <c r="BE47" s="2">
        <v>15162</v>
      </c>
      <c r="BF47" s="2">
        <v>12037</v>
      </c>
      <c r="BG47" s="2">
        <v>9196</v>
      </c>
      <c r="BH47" s="2">
        <v>6103</v>
      </c>
      <c r="BI47" s="2">
        <v>4231</v>
      </c>
      <c r="BJ47" s="2">
        <v>3286</v>
      </c>
      <c r="BK47" s="2">
        <v>2208</v>
      </c>
      <c r="BL47" s="2">
        <v>2125</v>
      </c>
    </row>
    <row r="48" spans="1:64">
      <c r="A48" t="s">
        <v>112</v>
      </c>
      <c r="B48" t="s">
        <v>113</v>
      </c>
      <c r="C48" t="s">
        <v>112</v>
      </c>
      <c r="D48" t="s">
        <v>252</v>
      </c>
      <c r="E48" t="s">
        <v>210</v>
      </c>
      <c r="F48" t="s">
        <v>210</v>
      </c>
      <c r="G48" t="s">
        <v>202</v>
      </c>
      <c r="H48" t="s">
        <v>111</v>
      </c>
      <c r="I48" t="s">
        <v>211</v>
      </c>
      <c r="J48" t="s">
        <v>9</v>
      </c>
      <c r="K48" s="3">
        <v>80338</v>
      </c>
      <c r="L48" s="3">
        <v>78089</v>
      </c>
      <c r="M48" s="3">
        <v>158427</v>
      </c>
      <c r="N48" s="2">
        <v>15422</v>
      </c>
      <c r="O48" s="2">
        <v>12862</v>
      </c>
      <c r="P48" s="2">
        <v>10090</v>
      </c>
      <c r="Q48" s="2">
        <v>9191</v>
      </c>
      <c r="R48" s="2">
        <v>6638</v>
      </c>
      <c r="S48" s="2">
        <v>5044</v>
      </c>
      <c r="T48" s="2">
        <v>4733</v>
      </c>
      <c r="U48" s="2">
        <v>4133</v>
      </c>
      <c r="V48" s="2">
        <v>3341</v>
      </c>
      <c r="W48" s="2">
        <v>2673</v>
      </c>
      <c r="X48" s="2">
        <v>1972</v>
      </c>
      <c r="Y48" s="2">
        <v>1429</v>
      </c>
      <c r="Z48" s="2">
        <v>941</v>
      </c>
      <c r="AA48" s="2">
        <v>648</v>
      </c>
      <c r="AB48" s="2">
        <v>516</v>
      </c>
      <c r="AC48" s="2">
        <v>354</v>
      </c>
      <c r="AD48" s="2">
        <v>351</v>
      </c>
      <c r="AE48" s="2">
        <v>16111</v>
      </c>
      <c r="AF48" s="2">
        <v>13416</v>
      </c>
      <c r="AG48" s="2">
        <v>10300</v>
      </c>
      <c r="AH48" s="2">
        <v>9417</v>
      </c>
      <c r="AI48" s="2">
        <v>6805</v>
      </c>
      <c r="AJ48" s="2">
        <v>4809</v>
      </c>
      <c r="AK48" s="2">
        <v>3339</v>
      </c>
      <c r="AL48" s="2">
        <v>2597</v>
      </c>
      <c r="AM48" s="2">
        <v>2503</v>
      </c>
      <c r="AN48" s="2">
        <v>2258</v>
      </c>
      <c r="AO48" s="2">
        <v>1943</v>
      </c>
      <c r="AP48" s="2">
        <v>1562</v>
      </c>
      <c r="AQ48" s="2">
        <v>1044</v>
      </c>
      <c r="AR48" s="2">
        <v>728</v>
      </c>
      <c r="AS48" s="2">
        <v>553</v>
      </c>
      <c r="AT48" s="2">
        <v>364</v>
      </c>
      <c r="AU48" s="2">
        <v>340</v>
      </c>
      <c r="AV48" s="2">
        <v>31533</v>
      </c>
      <c r="AW48" s="2">
        <v>26278</v>
      </c>
      <c r="AX48" s="2">
        <v>20390</v>
      </c>
      <c r="AY48" s="2">
        <v>18608</v>
      </c>
      <c r="AZ48" s="2">
        <v>13442</v>
      </c>
      <c r="BA48" s="2">
        <v>9853</v>
      </c>
      <c r="BB48" s="2">
        <v>8071</v>
      </c>
      <c r="BC48" s="2">
        <v>6730</v>
      </c>
      <c r="BD48" s="2">
        <v>5844</v>
      </c>
      <c r="BE48" s="2">
        <v>4931</v>
      </c>
      <c r="BF48" s="2">
        <v>3915</v>
      </c>
      <c r="BG48" s="2">
        <v>2991</v>
      </c>
      <c r="BH48" s="2">
        <v>1985</v>
      </c>
      <c r="BI48" s="2">
        <v>1376</v>
      </c>
      <c r="BJ48" s="2">
        <v>1069</v>
      </c>
      <c r="BK48" s="2">
        <v>718</v>
      </c>
      <c r="BL48" s="2">
        <v>691</v>
      </c>
    </row>
    <row r="49" spans="1:64">
      <c r="A49" t="s">
        <v>114</v>
      </c>
      <c r="B49" t="s">
        <v>115</v>
      </c>
      <c r="C49" t="s">
        <v>114</v>
      </c>
      <c r="D49" t="s">
        <v>253</v>
      </c>
      <c r="E49" t="s">
        <v>210</v>
      </c>
      <c r="F49" t="s">
        <v>210</v>
      </c>
      <c r="G49" t="s">
        <v>202</v>
      </c>
      <c r="H49" t="s">
        <v>111</v>
      </c>
      <c r="I49" t="s">
        <v>211</v>
      </c>
      <c r="J49" t="s">
        <v>9</v>
      </c>
      <c r="K49" s="3">
        <v>214703</v>
      </c>
      <c r="L49" s="3">
        <v>208685</v>
      </c>
      <c r="M49" s="3">
        <v>423388</v>
      </c>
      <c r="N49" s="2">
        <v>41214</v>
      </c>
      <c r="O49" s="2">
        <v>34373</v>
      </c>
      <c r="P49" s="2">
        <v>26965</v>
      </c>
      <c r="Q49" s="2">
        <v>24564</v>
      </c>
      <c r="R49" s="2">
        <v>17740</v>
      </c>
      <c r="S49" s="2">
        <v>13480</v>
      </c>
      <c r="T49" s="2">
        <v>12648</v>
      </c>
      <c r="U49" s="2">
        <v>11046</v>
      </c>
      <c r="V49" s="2">
        <v>8928</v>
      </c>
      <c r="W49" s="2">
        <v>7144</v>
      </c>
      <c r="X49" s="2">
        <v>5271</v>
      </c>
      <c r="Y49" s="2">
        <v>3820</v>
      </c>
      <c r="Z49" s="2">
        <v>2515</v>
      </c>
      <c r="AA49" s="2">
        <v>1733</v>
      </c>
      <c r="AB49" s="2">
        <v>1378</v>
      </c>
      <c r="AC49" s="2">
        <v>946</v>
      </c>
      <c r="AD49" s="2">
        <v>938</v>
      </c>
      <c r="AE49" s="2">
        <v>43057</v>
      </c>
      <c r="AF49" s="2">
        <v>35854</v>
      </c>
      <c r="AG49" s="2">
        <v>27528</v>
      </c>
      <c r="AH49" s="2">
        <v>25166</v>
      </c>
      <c r="AI49" s="2">
        <v>18185</v>
      </c>
      <c r="AJ49" s="2">
        <v>12852</v>
      </c>
      <c r="AK49" s="2">
        <v>8922</v>
      </c>
      <c r="AL49" s="2">
        <v>6940</v>
      </c>
      <c r="AM49" s="2">
        <v>6689</v>
      </c>
      <c r="AN49" s="2">
        <v>6034</v>
      </c>
      <c r="AO49" s="2">
        <v>5191</v>
      </c>
      <c r="AP49" s="2">
        <v>4173</v>
      </c>
      <c r="AQ49" s="2">
        <v>2790</v>
      </c>
      <c r="AR49" s="2">
        <v>1945</v>
      </c>
      <c r="AS49" s="2">
        <v>1477</v>
      </c>
      <c r="AT49" s="2">
        <v>973</v>
      </c>
      <c r="AU49" s="2">
        <v>909</v>
      </c>
      <c r="AV49" s="2">
        <v>84271</v>
      </c>
      <c r="AW49" s="2">
        <v>70226</v>
      </c>
      <c r="AX49" s="2">
        <v>54493</v>
      </c>
      <c r="AY49" s="2">
        <v>49729</v>
      </c>
      <c r="AZ49" s="2">
        <v>35925</v>
      </c>
      <c r="BA49" s="2">
        <v>26332</v>
      </c>
      <c r="BB49" s="2">
        <v>21570</v>
      </c>
      <c r="BC49" s="2">
        <v>17986</v>
      </c>
      <c r="BD49" s="2">
        <v>15617</v>
      </c>
      <c r="BE49" s="2">
        <v>13178</v>
      </c>
      <c r="BF49" s="2">
        <v>10462</v>
      </c>
      <c r="BG49" s="2">
        <v>7993</v>
      </c>
      <c r="BH49" s="2">
        <v>5305</v>
      </c>
      <c r="BI49" s="2">
        <v>3678</v>
      </c>
      <c r="BJ49" s="2">
        <v>2856</v>
      </c>
      <c r="BK49" s="2">
        <v>1919</v>
      </c>
      <c r="BL49" s="2">
        <v>1847</v>
      </c>
    </row>
    <row r="50" spans="1:64">
      <c r="A50" t="s">
        <v>116</v>
      </c>
      <c r="B50" t="s">
        <v>117</v>
      </c>
      <c r="C50" t="s">
        <v>116</v>
      </c>
      <c r="D50" t="s">
        <v>254</v>
      </c>
      <c r="E50" t="s">
        <v>210</v>
      </c>
      <c r="F50" t="s">
        <v>210</v>
      </c>
      <c r="G50" t="s">
        <v>118</v>
      </c>
      <c r="H50" t="s">
        <v>119</v>
      </c>
      <c r="I50" t="s">
        <v>211</v>
      </c>
      <c r="J50" t="s">
        <v>9</v>
      </c>
      <c r="K50" s="3">
        <v>137329</v>
      </c>
      <c r="L50" s="3">
        <v>134204</v>
      </c>
      <c r="M50" s="3">
        <v>271533</v>
      </c>
      <c r="N50" s="2">
        <v>26611</v>
      </c>
      <c r="O50" s="2">
        <v>22067</v>
      </c>
      <c r="P50" s="2">
        <v>17635</v>
      </c>
      <c r="Q50" s="2">
        <v>15814</v>
      </c>
      <c r="R50" s="2">
        <v>11386</v>
      </c>
      <c r="S50" s="2">
        <v>8724</v>
      </c>
      <c r="T50" s="2">
        <v>8361</v>
      </c>
      <c r="U50" s="2">
        <v>7247</v>
      </c>
      <c r="V50" s="2">
        <v>5461</v>
      </c>
      <c r="W50" s="2">
        <v>4182</v>
      </c>
      <c r="X50" s="2">
        <v>3040</v>
      </c>
      <c r="Y50" s="2">
        <v>2204</v>
      </c>
      <c r="Z50" s="2">
        <v>1553</v>
      </c>
      <c r="AA50" s="2">
        <v>1110</v>
      </c>
      <c r="AB50" s="2">
        <v>844</v>
      </c>
      <c r="AC50" s="2">
        <v>561</v>
      </c>
      <c r="AD50" s="2">
        <v>529</v>
      </c>
      <c r="AE50" s="2">
        <v>27801</v>
      </c>
      <c r="AF50" s="2">
        <v>23018</v>
      </c>
      <c r="AG50" s="2">
        <v>18538</v>
      </c>
      <c r="AH50" s="2">
        <v>16681</v>
      </c>
      <c r="AI50" s="2">
        <v>11638</v>
      </c>
      <c r="AJ50" s="2">
        <v>8057</v>
      </c>
      <c r="AK50" s="2">
        <v>5616</v>
      </c>
      <c r="AL50" s="2">
        <v>4348</v>
      </c>
      <c r="AM50" s="2">
        <v>4120</v>
      </c>
      <c r="AN50" s="2">
        <v>3675</v>
      </c>
      <c r="AO50" s="2">
        <v>3087</v>
      </c>
      <c r="AP50" s="2">
        <v>2484</v>
      </c>
      <c r="AQ50" s="2">
        <v>1780</v>
      </c>
      <c r="AR50" s="2">
        <v>1286</v>
      </c>
      <c r="AS50" s="2">
        <v>931</v>
      </c>
      <c r="AT50" s="2">
        <v>596</v>
      </c>
      <c r="AU50" s="2">
        <v>548</v>
      </c>
      <c r="AV50" s="2">
        <v>54412</v>
      </c>
      <c r="AW50" s="2">
        <v>45085</v>
      </c>
      <c r="AX50" s="2">
        <v>36174</v>
      </c>
      <c r="AY50" s="2">
        <v>32495</v>
      </c>
      <c r="AZ50" s="2">
        <v>23024</v>
      </c>
      <c r="BA50" s="2">
        <v>16781</v>
      </c>
      <c r="BB50" s="2">
        <v>13977</v>
      </c>
      <c r="BC50" s="2">
        <v>11595</v>
      </c>
      <c r="BD50" s="2">
        <v>9580</v>
      </c>
      <c r="BE50" s="2">
        <v>7857</v>
      </c>
      <c r="BF50" s="2">
        <v>6127</v>
      </c>
      <c r="BG50" s="2">
        <v>4688</v>
      </c>
      <c r="BH50" s="2">
        <v>3334</v>
      </c>
      <c r="BI50" s="2">
        <v>2396</v>
      </c>
      <c r="BJ50" s="2">
        <v>1774</v>
      </c>
      <c r="BK50" s="2">
        <v>1157</v>
      </c>
      <c r="BL50" s="2">
        <v>1077</v>
      </c>
    </row>
    <row r="51" spans="1:64">
      <c r="A51" t="s">
        <v>195</v>
      </c>
      <c r="B51" t="s">
        <v>120</v>
      </c>
      <c r="C51" t="s">
        <v>121</v>
      </c>
      <c r="D51" t="s">
        <v>255</v>
      </c>
      <c r="E51" t="s">
        <v>210</v>
      </c>
      <c r="F51" t="s">
        <v>210</v>
      </c>
      <c r="G51" t="s">
        <v>118</v>
      </c>
      <c r="H51" t="s">
        <v>119</v>
      </c>
      <c r="I51" t="s">
        <v>211</v>
      </c>
      <c r="J51" t="s">
        <v>9</v>
      </c>
      <c r="K51" s="3">
        <v>48748</v>
      </c>
      <c r="L51" s="3">
        <v>47641</v>
      </c>
      <c r="M51" s="3">
        <v>96389</v>
      </c>
      <c r="N51" s="2">
        <v>9446</v>
      </c>
      <c r="O51" s="2">
        <v>7833</v>
      </c>
      <c r="P51" s="2">
        <v>6260</v>
      </c>
      <c r="Q51" s="2">
        <v>5614</v>
      </c>
      <c r="R51" s="2">
        <v>4042</v>
      </c>
      <c r="S51" s="2">
        <v>3097</v>
      </c>
      <c r="T51" s="2">
        <v>2968</v>
      </c>
      <c r="U51" s="2">
        <v>2573</v>
      </c>
      <c r="V51" s="2">
        <v>1938</v>
      </c>
      <c r="W51" s="2">
        <v>1484</v>
      </c>
      <c r="X51" s="2">
        <v>1079</v>
      </c>
      <c r="Y51" s="2">
        <v>782</v>
      </c>
      <c r="Z51" s="2">
        <v>551</v>
      </c>
      <c r="AA51" s="2">
        <v>394</v>
      </c>
      <c r="AB51" s="2">
        <v>300</v>
      </c>
      <c r="AC51" s="2">
        <v>199</v>
      </c>
      <c r="AD51" s="2">
        <v>188</v>
      </c>
      <c r="AE51" s="2">
        <v>9869</v>
      </c>
      <c r="AF51" s="2">
        <v>8171</v>
      </c>
      <c r="AG51" s="2">
        <v>6581</v>
      </c>
      <c r="AH51" s="2">
        <v>5921</v>
      </c>
      <c r="AI51" s="2">
        <v>4131</v>
      </c>
      <c r="AJ51" s="2">
        <v>2860</v>
      </c>
      <c r="AK51" s="2">
        <v>1994</v>
      </c>
      <c r="AL51" s="2">
        <v>1543</v>
      </c>
      <c r="AM51" s="2">
        <v>1463</v>
      </c>
      <c r="AN51" s="2">
        <v>1305</v>
      </c>
      <c r="AO51" s="2">
        <v>1096</v>
      </c>
      <c r="AP51" s="2">
        <v>882</v>
      </c>
      <c r="AQ51" s="2">
        <v>632</v>
      </c>
      <c r="AR51" s="2">
        <v>457</v>
      </c>
      <c r="AS51" s="2">
        <v>330</v>
      </c>
      <c r="AT51" s="2">
        <v>212</v>
      </c>
      <c r="AU51" s="2">
        <v>194</v>
      </c>
      <c r="AV51" s="2">
        <v>19315</v>
      </c>
      <c r="AW51" s="2">
        <v>16004</v>
      </c>
      <c r="AX51" s="2">
        <v>12841</v>
      </c>
      <c r="AY51" s="2">
        <v>11535</v>
      </c>
      <c r="AZ51" s="2">
        <v>8173</v>
      </c>
      <c r="BA51" s="2">
        <v>5957</v>
      </c>
      <c r="BB51" s="2">
        <v>4962</v>
      </c>
      <c r="BC51" s="2">
        <v>4116</v>
      </c>
      <c r="BD51" s="2">
        <v>3401</v>
      </c>
      <c r="BE51" s="2">
        <v>2789</v>
      </c>
      <c r="BF51" s="2">
        <v>2175</v>
      </c>
      <c r="BG51" s="2">
        <v>1664</v>
      </c>
      <c r="BH51" s="2">
        <v>1183</v>
      </c>
      <c r="BI51" s="2">
        <v>850</v>
      </c>
      <c r="BJ51" s="2">
        <v>630</v>
      </c>
      <c r="BK51" s="2">
        <v>411</v>
      </c>
      <c r="BL51" s="2">
        <v>382</v>
      </c>
    </row>
    <row r="52" spans="1:64">
      <c r="A52" t="s">
        <v>122</v>
      </c>
      <c r="B52" t="s">
        <v>123</v>
      </c>
      <c r="C52" t="s">
        <v>122</v>
      </c>
      <c r="D52" t="s">
        <v>256</v>
      </c>
      <c r="E52" t="s">
        <v>210</v>
      </c>
      <c r="F52" t="s">
        <v>210</v>
      </c>
      <c r="G52" t="s">
        <v>118</v>
      </c>
      <c r="H52" t="s">
        <v>119</v>
      </c>
      <c r="I52" t="s">
        <v>211</v>
      </c>
      <c r="J52" t="s">
        <v>9</v>
      </c>
      <c r="K52" s="3">
        <v>41764</v>
      </c>
      <c r="L52" s="3">
        <v>40814</v>
      </c>
      <c r="M52" s="3">
        <v>82578</v>
      </c>
      <c r="N52" s="2">
        <v>8093</v>
      </c>
      <c r="O52" s="2">
        <v>6711</v>
      </c>
      <c r="P52" s="2">
        <v>5363</v>
      </c>
      <c r="Q52" s="2">
        <v>4809</v>
      </c>
      <c r="R52" s="2">
        <v>3463</v>
      </c>
      <c r="S52" s="2">
        <v>2653</v>
      </c>
      <c r="T52" s="2">
        <v>2543</v>
      </c>
      <c r="U52" s="2">
        <v>2204</v>
      </c>
      <c r="V52" s="2">
        <v>1661</v>
      </c>
      <c r="W52" s="2">
        <v>1272</v>
      </c>
      <c r="X52" s="2">
        <v>925</v>
      </c>
      <c r="Y52" s="2">
        <v>670</v>
      </c>
      <c r="Z52" s="2">
        <v>472</v>
      </c>
      <c r="AA52" s="2">
        <v>337</v>
      </c>
      <c r="AB52" s="2">
        <v>257</v>
      </c>
      <c r="AC52" s="2">
        <v>170</v>
      </c>
      <c r="AD52" s="2">
        <v>161</v>
      </c>
      <c r="AE52" s="2">
        <v>8455</v>
      </c>
      <c r="AF52" s="2">
        <v>7000</v>
      </c>
      <c r="AG52" s="2">
        <v>5638</v>
      </c>
      <c r="AH52" s="2">
        <v>5073</v>
      </c>
      <c r="AI52" s="2">
        <v>3540</v>
      </c>
      <c r="AJ52" s="2">
        <v>2450</v>
      </c>
      <c r="AK52" s="2">
        <v>1708</v>
      </c>
      <c r="AL52" s="2">
        <v>1322</v>
      </c>
      <c r="AM52" s="2">
        <v>1253</v>
      </c>
      <c r="AN52" s="2">
        <v>1118</v>
      </c>
      <c r="AO52" s="2">
        <v>939</v>
      </c>
      <c r="AP52" s="2">
        <v>755</v>
      </c>
      <c r="AQ52" s="2">
        <v>541</v>
      </c>
      <c r="AR52" s="2">
        <v>391</v>
      </c>
      <c r="AS52" s="2">
        <v>283</v>
      </c>
      <c r="AT52" s="2">
        <v>181</v>
      </c>
      <c r="AU52" s="2">
        <v>167</v>
      </c>
      <c r="AV52" s="2">
        <v>16548</v>
      </c>
      <c r="AW52" s="2">
        <v>13712</v>
      </c>
      <c r="AX52" s="2">
        <v>11002</v>
      </c>
      <c r="AY52" s="2">
        <v>9883</v>
      </c>
      <c r="AZ52" s="2">
        <v>7002</v>
      </c>
      <c r="BA52" s="2">
        <v>5104</v>
      </c>
      <c r="BB52" s="2">
        <v>4251</v>
      </c>
      <c r="BC52" s="2">
        <v>3526</v>
      </c>
      <c r="BD52" s="2">
        <v>2914</v>
      </c>
      <c r="BE52" s="2">
        <v>2390</v>
      </c>
      <c r="BF52" s="2">
        <v>1863</v>
      </c>
      <c r="BG52" s="2">
        <v>1426</v>
      </c>
      <c r="BH52" s="2">
        <v>1014</v>
      </c>
      <c r="BI52" s="2">
        <v>729</v>
      </c>
      <c r="BJ52" s="2">
        <v>540</v>
      </c>
      <c r="BK52" s="2">
        <v>352</v>
      </c>
      <c r="BL52" s="2">
        <v>328</v>
      </c>
    </row>
    <row r="53" spans="1:64">
      <c r="A53" t="s">
        <v>196</v>
      </c>
      <c r="B53" t="s">
        <v>124</v>
      </c>
      <c r="C53" t="s">
        <v>125</v>
      </c>
      <c r="D53" t="s">
        <v>257</v>
      </c>
      <c r="E53" t="s">
        <v>210</v>
      </c>
      <c r="F53" t="s">
        <v>210</v>
      </c>
      <c r="G53" t="s">
        <v>203</v>
      </c>
      <c r="H53" t="s">
        <v>126</v>
      </c>
      <c r="I53" t="s">
        <v>211</v>
      </c>
      <c r="J53" t="s">
        <v>9</v>
      </c>
      <c r="K53" s="3">
        <v>195692</v>
      </c>
      <c r="L53" s="3">
        <v>187545</v>
      </c>
      <c r="M53" s="3">
        <v>383237</v>
      </c>
      <c r="N53" s="2">
        <v>37961</v>
      </c>
      <c r="O53" s="2">
        <v>31018</v>
      </c>
      <c r="P53" s="2">
        <v>24872</v>
      </c>
      <c r="Q53" s="2">
        <v>22091</v>
      </c>
      <c r="R53" s="2">
        <v>16857</v>
      </c>
      <c r="S53" s="2">
        <v>13242</v>
      </c>
      <c r="T53" s="2">
        <v>11379</v>
      </c>
      <c r="U53" s="2">
        <v>9511</v>
      </c>
      <c r="V53" s="2">
        <v>7567</v>
      </c>
      <c r="W53" s="2">
        <v>6059</v>
      </c>
      <c r="X53" s="2">
        <v>4657</v>
      </c>
      <c r="Y53" s="2">
        <v>3520</v>
      </c>
      <c r="Z53" s="2">
        <v>2543</v>
      </c>
      <c r="AA53" s="2">
        <v>1804</v>
      </c>
      <c r="AB53" s="2">
        <v>1268</v>
      </c>
      <c r="AC53" s="2">
        <v>781</v>
      </c>
      <c r="AD53" s="2">
        <v>562</v>
      </c>
      <c r="AE53" s="2">
        <v>39658</v>
      </c>
      <c r="AF53" s="2">
        <v>32354</v>
      </c>
      <c r="AG53" s="2">
        <v>24961</v>
      </c>
      <c r="AH53" s="2">
        <v>22063</v>
      </c>
      <c r="AI53" s="2">
        <v>16965</v>
      </c>
      <c r="AJ53" s="2">
        <v>12698</v>
      </c>
      <c r="AK53" s="2">
        <v>8644</v>
      </c>
      <c r="AL53" s="2">
        <v>6410</v>
      </c>
      <c r="AM53" s="2">
        <v>5539</v>
      </c>
      <c r="AN53" s="2">
        <v>4706</v>
      </c>
      <c r="AO53" s="2">
        <v>3889</v>
      </c>
      <c r="AP53" s="2">
        <v>3141</v>
      </c>
      <c r="AQ53" s="2">
        <v>2453</v>
      </c>
      <c r="AR53" s="2">
        <v>1797</v>
      </c>
      <c r="AS53" s="2">
        <v>1106</v>
      </c>
      <c r="AT53" s="2">
        <v>634</v>
      </c>
      <c r="AU53" s="2">
        <v>527</v>
      </c>
      <c r="AV53" s="2">
        <v>77619</v>
      </c>
      <c r="AW53" s="2">
        <v>63371</v>
      </c>
      <c r="AX53" s="2">
        <v>49833</v>
      </c>
      <c r="AY53" s="2">
        <v>44155</v>
      </c>
      <c r="AZ53" s="2">
        <v>33822</v>
      </c>
      <c r="BA53" s="2">
        <v>25940</v>
      </c>
      <c r="BB53" s="2">
        <v>20023</v>
      </c>
      <c r="BC53" s="2">
        <v>15921</v>
      </c>
      <c r="BD53" s="2">
        <v>13106</v>
      </c>
      <c r="BE53" s="2">
        <v>10766</v>
      </c>
      <c r="BF53" s="2">
        <v>8546</v>
      </c>
      <c r="BG53" s="2">
        <v>6661</v>
      </c>
      <c r="BH53" s="2">
        <v>4996</v>
      </c>
      <c r="BI53" s="2">
        <v>3601</v>
      </c>
      <c r="BJ53" s="2">
        <v>2374</v>
      </c>
      <c r="BK53" s="2">
        <v>1415</v>
      </c>
      <c r="BL53" s="2">
        <v>1089</v>
      </c>
    </row>
    <row r="54" spans="1:64">
      <c r="A54" t="s">
        <v>171</v>
      </c>
      <c r="B54" t="s">
        <v>172</v>
      </c>
      <c r="C54" t="s">
        <v>171</v>
      </c>
      <c r="D54" t="s">
        <v>274</v>
      </c>
      <c r="E54" t="s">
        <v>210</v>
      </c>
      <c r="F54" t="s">
        <v>210</v>
      </c>
      <c r="G54" t="s">
        <v>203</v>
      </c>
      <c r="H54" t="s">
        <v>126</v>
      </c>
      <c r="I54" t="s">
        <v>211</v>
      </c>
      <c r="J54" t="s">
        <v>9</v>
      </c>
      <c r="K54" s="3">
        <v>245361</v>
      </c>
      <c r="L54" s="3">
        <v>235147</v>
      </c>
      <c r="M54" s="3">
        <v>480508</v>
      </c>
      <c r="N54" s="2">
        <v>47596</v>
      </c>
      <c r="O54" s="2">
        <v>38890</v>
      </c>
      <c r="P54" s="2">
        <v>31185</v>
      </c>
      <c r="Q54" s="2">
        <v>27698</v>
      </c>
      <c r="R54" s="2">
        <v>21136</v>
      </c>
      <c r="S54" s="2">
        <v>16603</v>
      </c>
      <c r="T54" s="2">
        <v>14268</v>
      </c>
      <c r="U54" s="2">
        <v>11925</v>
      </c>
      <c r="V54" s="2">
        <v>9488</v>
      </c>
      <c r="W54" s="2">
        <v>7597</v>
      </c>
      <c r="X54" s="2">
        <v>5839</v>
      </c>
      <c r="Y54" s="2">
        <v>4413</v>
      </c>
      <c r="Z54" s="2">
        <v>3188</v>
      </c>
      <c r="AA54" s="2">
        <v>2262</v>
      </c>
      <c r="AB54" s="2">
        <v>1589</v>
      </c>
      <c r="AC54" s="2">
        <v>980</v>
      </c>
      <c r="AD54" s="2">
        <v>704</v>
      </c>
      <c r="AE54" s="2">
        <v>49724</v>
      </c>
      <c r="AF54" s="2">
        <v>40565</v>
      </c>
      <c r="AG54" s="2">
        <v>31296</v>
      </c>
      <c r="AH54" s="2">
        <v>27663</v>
      </c>
      <c r="AI54" s="2">
        <v>21271</v>
      </c>
      <c r="AJ54" s="2">
        <v>15921</v>
      </c>
      <c r="AK54" s="2">
        <v>10838</v>
      </c>
      <c r="AL54" s="2">
        <v>8037</v>
      </c>
      <c r="AM54" s="2">
        <v>6945</v>
      </c>
      <c r="AN54" s="2">
        <v>5901</v>
      </c>
      <c r="AO54" s="2">
        <v>4876</v>
      </c>
      <c r="AP54" s="2">
        <v>3938</v>
      </c>
      <c r="AQ54" s="2">
        <v>3076</v>
      </c>
      <c r="AR54" s="2">
        <v>2253</v>
      </c>
      <c r="AS54" s="2">
        <v>1387</v>
      </c>
      <c r="AT54" s="2">
        <v>795</v>
      </c>
      <c r="AU54" s="2">
        <v>661</v>
      </c>
      <c r="AV54" s="2">
        <v>97319</v>
      </c>
      <c r="AW54" s="2">
        <v>79455</v>
      </c>
      <c r="AX54" s="2">
        <v>62481</v>
      </c>
      <c r="AY54" s="2">
        <v>55362</v>
      </c>
      <c r="AZ54" s="2">
        <v>42407</v>
      </c>
      <c r="BA54" s="2">
        <v>32524</v>
      </c>
      <c r="BB54" s="2">
        <v>25105</v>
      </c>
      <c r="BC54" s="2">
        <v>19962</v>
      </c>
      <c r="BD54" s="2">
        <v>16433</v>
      </c>
      <c r="BE54" s="2">
        <v>13499</v>
      </c>
      <c r="BF54" s="2">
        <v>10715</v>
      </c>
      <c r="BG54" s="2">
        <v>8351</v>
      </c>
      <c r="BH54" s="2">
        <v>6264</v>
      </c>
      <c r="BI54" s="2">
        <v>4515</v>
      </c>
      <c r="BJ54" s="2">
        <v>2977</v>
      </c>
      <c r="BK54" s="2">
        <v>1775</v>
      </c>
      <c r="BL54" s="2">
        <v>1366</v>
      </c>
    </row>
    <row r="55" spans="1:64">
      <c r="A55" t="s">
        <v>199</v>
      </c>
      <c r="B55" t="s">
        <v>173</v>
      </c>
      <c r="C55" t="s">
        <v>174</v>
      </c>
      <c r="D55" t="s">
        <v>275</v>
      </c>
      <c r="E55" t="s">
        <v>210</v>
      </c>
      <c r="F55" t="s">
        <v>210</v>
      </c>
      <c r="G55" t="s">
        <v>203</v>
      </c>
      <c r="H55" t="s">
        <v>126</v>
      </c>
      <c r="I55" t="s">
        <v>211</v>
      </c>
      <c r="J55" t="s">
        <v>9</v>
      </c>
      <c r="K55" s="3">
        <v>67634</v>
      </c>
      <c r="L55" s="3">
        <v>64819</v>
      </c>
      <c r="M55" s="3">
        <v>132453</v>
      </c>
      <c r="N55" s="2">
        <v>13120</v>
      </c>
      <c r="O55" s="2">
        <v>10720</v>
      </c>
      <c r="P55" s="2">
        <v>8596</v>
      </c>
      <c r="Q55" s="2">
        <v>7635</v>
      </c>
      <c r="R55" s="2">
        <v>5826</v>
      </c>
      <c r="S55" s="2">
        <v>4577</v>
      </c>
      <c r="T55" s="2">
        <v>3933</v>
      </c>
      <c r="U55" s="2">
        <v>3287</v>
      </c>
      <c r="V55" s="2">
        <v>2615</v>
      </c>
      <c r="W55" s="2">
        <v>2094</v>
      </c>
      <c r="X55" s="2">
        <v>1610</v>
      </c>
      <c r="Y55" s="2">
        <v>1217</v>
      </c>
      <c r="Z55" s="2">
        <v>879</v>
      </c>
      <c r="AA55" s="2">
        <v>623</v>
      </c>
      <c r="AB55" s="2">
        <v>438</v>
      </c>
      <c r="AC55" s="2">
        <v>270</v>
      </c>
      <c r="AD55" s="2">
        <v>194</v>
      </c>
      <c r="AE55" s="2">
        <v>13707</v>
      </c>
      <c r="AF55" s="2">
        <v>11182</v>
      </c>
      <c r="AG55" s="2">
        <v>8627</v>
      </c>
      <c r="AH55" s="2">
        <v>7626</v>
      </c>
      <c r="AI55" s="2">
        <v>5864</v>
      </c>
      <c r="AJ55" s="2">
        <v>4389</v>
      </c>
      <c r="AK55" s="2">
        <v>2987</v>
      </c>
      <c r="AL55" s="2">
        <v>2215</v>
      </c>
      <c r="AM55" s="2">
        <v>1914</v>
      </c>
      <c r="AN55" s="2">
        <v>1627</v>
      </c>
      <c r="AO55" s="2">
        <v>1344</v>
      </c>
      <c r="AP55" s="2">
        <v>1085</v>
      </c>
      <c r="AQ55" s="2">
        <v>848</v>
      </c>
      <c r="AR55" s="2">
        <v>621</v>
      </c>
      <c r="AS55" s="2">
        <v>382</v>
      </c>
      <c r="AT55" s="2">
        <v>219</v>
      </c>
      <c r="AU55" s="2">
        <v>182</v>
      </c>
      <c r="AV55" s="2">
        <v>26827</v>
      </c>
      <c r="AW55" s="2">
        <v>21902</v>
      </c>
      <c r="AX55" s="2">
        <v>17223</v>
      </c>
      <c r="AY55" s="2">
        <v>15261</v>
      </c>
      <c r="AZ55" s="2">
        <v>11690</v>
      </c>
      <c r="BA55" s="2">
        <v>8965</v>
      </c>
      <c r="BB55" s="2">
        <v>6920</v>
      </c>
      <c r="BC55" s="2">
        <v>5503</v>
      </c>
      <c r="BD55" s="2">
        <v>4530</v>
      </c>
      <c r="BE55" s="2">
        <v>3721</v>
      </c>
      <c r="BF55" s="2">
        <v>2954</v>
      </c>
      <c r="BG55" s="2">
        <v>2302</v>
      </c>
      <c r="BH55" s="2">
        <v>1727</v>
      </c>
      <c r="BI55" s="2">
        <v>1245</v>
      </c>
      <c r="BJ55" s="2">
        <v>821</v>
      </c>
      <c r="BK55" s="2">
        <v>489</v>
      </c>
      <c r="BL55" s="2">
        <v>376</v>
      </c>
    </row>
    <row r="56" spans="1:64">
      <c r="A56" t="s">
        <v>127</v>
      </c>
      <c r="B56" t="s">
        <v>128</v>
      </c>
      <c r="C56" t="s">
        <v>127</v>
      </c>
      <c r="D56" t="s">
        <v>258</v>
      </c>
      <c r="E56" t="s">
        <v>210</v>
      </c>
      <c r="F56" t="s">
        <v>210</v>
      </c>
      <c r="G56" t="s">
        <v>129</v>
      </c>
      <c r="H56" t="s">
        <v>130</v>
      </c>
      <c r="I56" t="s">
        <v>211</v>
      </c>
      <c r="J56" t="s">
        <v>9</v>
      </c>
      <c r="K56" s="3">
        <v>127641</v>
      </c>
      <c r="L56" s="3">
        <v>123328</v>
      </c>
      <c r="M56" s="3">
        <v>250969</v>
      </c>
      <c r="N56" s="2">
        <v>24911</v>
      </c>
      <c r="O56" s="2">
        <v>20274</v>
      </c>
      <c r="P56" s="2">
        <v>15402</v>
      </c>
      <c r="Q56" s="2">
        <v>14763</v>
      </c>
      <c r="R56" s="2">
        <v>11236</v>
      </c>
      <c r="S56" s="2">
        <v>8553</v>
      </c>
      <c r="T56" s="2">
        <v>7325</v>
      </c>
      <c r="U56" s="2">
        <v>6162</v>
      </c>
      <c r="V56" s="2">
        <v>5125</v>
      </c>
      <c r="W56" s="2">
        <v>4162</v>
      </c>
      <c r="X56" s="2">
        <v>3084</v>
      </c>
      <c r="Y56" s="2">
        <v>2242</v>
      </c>
      <c r="Z56" s="2">
        <v>1463</v>
      </c>
      <c r="AA56" s="2">
        <v>1005</v>
      </c>
      <c r="AB56" s="2">
        <v>811</v>
      </c>
      <c r="AC56" s="2">
        <v>560</v>
      </c>
      <c r="AD56" s="2">
        <v>563</v>
      </c>
      <c r="AE56" s="2">
        <v>26025</v>
      </c>
      <c r="AF56" s="2">
        <v>21148</v>
      </c>
      <c r="AG56" s="2">
        <v>16172</v>
      </c>
      <c r="AH56" s="2">
        <v>15435</v>
      </c>
      <c r="AI56" s="2">
        <v>11446</v>
      </c>
      <c r="AJ56" s="2">
        <v>7968</v>
      </c>
      <c r="AK56" s="2">
        <v>4923</v>
      </c>
      <c r="AL56" s="2">
        <v>3495</v>
      </c>
      <c r="AM56" s="2">
        <v>3422</v>
      </c>
      <c r="AN56" s="2">
        <v>3125</v>
      </c>
      <c r="AO56" s="2">
        <v>2713</v>
      </c>
      <c r="AP56" s="2">
        <v>2254</v>
      </c>
      <c r="AQ56" s="2">
        <v>1685</v>
      </c>
      <c r="AR56" s="2">
        <v>1272</v>
      </c>
      <c r="AS56" s="2">
        <v>965</v>
      </c>
      <c r="AT56" s="2">
        <v>645</v>
      </c>
      <c r="AU56" s="2">
        <v>635</v>
      </c>
      <c r="AV56" s="2">
        <v>50936</v>
      </c>
      <c r="AW56" s="2">
        <v>41422</v>
      </c>
      <c r="AX56" s="2">
        <v>31574</v>
      </c>
      <c r="AY56" s="2">
        <v>30198</v>
      </c>
      <c r="AZ56" s="2">
        <v>22682</v>
      </c>
      <c r="BA56" s="2">
        <v>16522</v>
      </c>
      <c r="BB56" s="2">
        <v>12248</v>
      </c>
      <c r="BC56" s="2">
        <v>9657</v>
      </c>
      <c r="BD56" s="2">
        <v>8547</v>
      </c>
      <c r="BE56" s="2">
        <v>7287</v>
      </c>
      <c r="BF56" s="2">
        <v>5797</v>
      </c>
      <c r="BG56" s="2">
        <v>4495</v>
      </c>
      <c r="BH56" s="2">
        <v>3148</v>
      </c>
      <c r="BI56" s="2">
        <v>2277</v>
      </c>
      <c r="BJ56" s="2">
        <v>1777</v>
      </c>
      <c r="BK56" s="2">
        <v>1205</v>
      </c>
      <c r="BL56" s="2">
        <v>1198</v>
      </c>
    </row>
    <row r="57" spans="1:64">
      <c r="A57" t="s">
        <v>131</v>
      </c>
      <c r="B57" t="s">
        <v>132</v>
      </c>
      <c r="C57" t="s">
        <v>131</v>
      </c>
      <c r="D57" t="s">
        <v>259</v>
      </c>
      <c r="E57" t="s">
        <v>210</v>
      </c>
      <c r="F57" t="s">
        <v>210</v>
      </c>
      <c r="G57" t="s">
        <v>129</v>
      </c>
      <c r="H57" t="s">
        <v>130</v>
      </c>
      <c r="I57" t="s">
        <v>211</v>
      </c>
      <c r="J57" t="s">
        <v>9</v>
      </c>
      <c r="K57" s="3">
        <v>135442</v>
      </c>
      <c r="L57" s="3">
        <v>130863</v>
      </c>
      <c r="M57" s="3">
        <v>266305</v>
      </c>
      <c r="N57" s="2">
        <v>26433</v>
      </c>
      <c r="O57" s="2">
        <v>21513</v>
      </c>
      <c r="P57" s="2">
        <v>16343</v>
      </c>
      <c r="Q57" s="2">
        <v>15665</v>
      </c>
      <c r="R57" s="2">
        <v>11922</v>
      </c>
      <c r="S57" s="2">
        <v>9076</v>
      </c>
      <c r="T57" s="2">
        <v>7772</v>
      </c>
      <c r="U57" s="2">
        <v>6539</v>
      </c>
      <c r="V57" s="2">
        <v>5438</v>
      </c>
      <c r="W57" s="2">
        <v>4417</v>
      </c>
      <c r="X57" s="2">
        <v>3273</v>
      </c>
      <c r="Y57" s="2">
        <v>2379</v>
      </c>
      <c r="Z57" s="2">
        <v>1553</v>
      </c>
      <c r="AA57" s="2">
        <v>1067</v>
      </c>
      <c r="AB57" s="2">
        <v>861</v>
      </c>
      <c r="AC57" s="2">
        <v>594</v>
      </c>
      <c r="AD57" s="2">
        <v>597</v>
      </c>
      <c r="AE57" s="2">
        <v>27615</v>
      </c>
      <c r="AF57" s="2">
        <v>22440</v>
      </c>
      <c r="AG57" s="2">
        <v>17160</v>
      </c>
      <c r="AH57" s="2">
        <v>16378</v>
      </c>
      <c r="AI57" s="2">
        <v>12146</v>
      </c>
      <c r="AJ57" s="2">
        <v>8455</v>
      </c>
      <c r="AK57" s="2">
        <v>5224</v>
      </c>
      <c r="AL57" s="2">
        <v>3708</v>
      </c>
      <c r="AM57" s="2">
        <v>3631</v>
      </c>
      <c r="AN57" s="2">
        <v>3316</v>
      </c>
      <c r="AO57" s="2">
        <v>2879</v>
      </c>
      <c r="AP57" s="2">
        <v>2391</v>
      </c>
      <c r="AQ57" s="2">
        <v>1788</v>
      </c>
      <c r="AR57" s="2">
        <v>1350</v>
      </c>
      <c r="AS57" s="2">
        <v>1024</v>
      </c>
      <c r="AT57" s="2">
        <v>684</v>
      </c>
      <c r="AU57" s="2">
        <v>674</v>
      </c>
      <c r="AV57" s="2">
        <v>54049</v>
      </c>
      <c r="AW57" s="2">
        <v>43953</v>
      </c>
      <c r="AX57" s="2">
        <v>33503</v>
      </c>
      <c r="AY57" s="2">
        <v>32044</v>
      </c>
      <c r="AZ57" s="2">
        <v>24068</v>
      </c>
      <c r="BA57" s="2">
        <v>17531</v>
      </c>
      <c r="BB57" s="2">
        <v>12997</v>
      </c>
      <c r="BC57" s="2">
        <v>10247</v>
      </c>
      <c r="BD57" s="2">
        <v>9070</v>
      </c>
      <c r="BE57" s="2">
        <v>7733</v>
      </c>
      <c r="BF57" s="2">
        <v>6151</v>
      </c>
      <c r="BG57" s="2">
        <v>4770</v>
      </c>
      <c r="BH57" s="2">
        <v>3340</v>
      </c>
      <c r="BI57" s="2">
        <v>2416</v>
      </c>
      <c r="BJ57" s="2">
        <v>1886</v>
      </c>
      <c r="BK57" s="2">
        <v>1279</v>
      </c>
      <c r="BL57" s="2">
        <v>1271</v>
      </c>
    </row>
    <row r="58" spans="1:64">
      <c r="A58" t="s">
        <v>197</v>
      </c>
      <c r="B58" t="s">
        <v>133</v>
      </c>
      <c r="C58" t="s">
        <v>134</v>
      </c>
      <c r="D58" t="s">
        <v>260</v>
      </c>
      <c r="E58" t="s">
        <v>210</v>
      </c>
      <c r="F58" t="s">
        <v>210</v>
      </c>
      <c r="G58" t="s">
        <v>129</v>
      </c>
      <c r="H58" t="s">
        <v>130</v>
      </c>
      <c r="I58" t="s">
        <v>211</v>
      </c>
      <c r="J58" t="s">
        <v>9</v>
      </c>
      <c r="K58" s="3">
        <v>105505</v>
      </c>
      <c r="L58" s="3">
        <v>101936</v>
      </c>
      <c r="M58" s="3">
        <v>207441</v>
      </c>
      <c r="N58" s="2">
        <v>20591</v>
      </c>
      <c r="O58" s="2">
        <v>16758</v>
      </c>
      <c r="P58" s="2">
        <v>12731</v>
      </c>
      <c r="Q58" s="2">
        <v>12203</v>
      </c>
      <c r="R58" s="2">
        <v>9287</v>
      </c>
      <c r="S58" s="2">
        <v>7070</v>
      </c>
      <c r="T58" s="2">
        <v>6054</v>
      </c>
      <c r="U58" s="2">
        <v>5093</v>
      </c>
      <c r="V58" s="2">
        <v>4236</v>
      </c>
      <c r="W58" s="2">
        <v>3440</v>
      </c>
      <c r="X58" s="2">
        <v>2549</v>
      </c>
      <c r="Y58" s="2">
        <v>1853</v>
      </c>
      <c r="Z58" s="2">
        <v>1210</v>
      </c>
      <c r="AA58" s="2">
        <v>831</v>
      </c>
      <c r="AB58" s="2">
        <v>671</v>
      </c>
      <c r="AC58" s="2">
        <v>463</v>
      </c>
      <c r="AD58" s="2">
        <v>465</v>
      </c>
      <c r="AE58" s="2">
        <v>21511</v>
      </c>
      <c r="AF58" s="2">
        <v>17480</v>
      </c>
      <c r="AG58" s="2">
        <v>13367</v>
      </c>
      <c r="AH58" s="2">
        <v>12758</v>
      </c>
      <c r="AI58" s="2">
        <v>9461</v>
      </c>
      <c r="AJ58" s="2">
        <v>6586</v>
      </c>
      <c r="AK58" s="2">
        <v>4069</v>
      </c>
      <c r="AL58" s="2">
        <v>2888</v>
      </c>
      <c r="AM58" s="2">
        <v>2829</v>
      </c>
      <c r="AN58" s="2">
        <v>2583</v>
      </c>
      <c r="AO58" s="2">
        <v>2242</v>
      </c>
      <c r="AP58" s="2">
        <v>1863</v>
      </c>
      <c r="AQ58" s="2">
        <v>1392</v>
      </c>
      <c r="AR58" s="2">
        <v>1051</v>
      </c>
      <c r="AS58" s="2">
        <v>798</v>
      </c>
      <c r="AT58" s="2">
        <v>533</v>
      </c>
      <c r="AU58" s="2">
        <v>525</v>
      </c>
      <c r="AV58" s="2">
        <v>42102</v>
      </c>
      <c r="AW58" s="2">
        <v>34238</v>
      </c>
      <c r="AX58" s="2">
        <v>26098</v>
      </c>
      <c r="AY58" s="2">
        <v>24961</v>
      </c>
      <c r="AZ58" s="2">
        <v>18748</v>
      </c>
      <c r="BA58" s="2">
        <v>13656</v>
      </c>
      <c r="BB58" s="2">
        <v>10124</v>
      </c>
      <c r="BC58" s="2">
        <v>7982</v>
      </c>
      <c r="BD58" s="2">
        <v>7065</v>
      </c>
      <c r="BE58" s="2">
        <v>6023</v>
      </c>
      <c r="BF58" s="2">
        <v>4791</v>
      </c>
      <c r="BG58" s="2">
        <v>3716</v>
      </c>
      <c r="BH58" s="2">
        <v>2602</v>
      </c>
      <c r="BI58" s="2">
        <v>1882</v>
      </c>
      <c r="BJ58" s="2">
        <v>1469</v>
      </c>
      <c r="BK58" s="2">
        <v>996</v>
      </c>
      <c r="BL58" s="2">
        <v>990</v>
      </c>
    </row>
    <row r="59" spans="1:64">
      <c r="A59" t="s">
        <v>200</v>
      </c>
      <c r="B59" t="s">
        <v>179</v>
      </c>
      <c r="C59" t="s">
        <v>180</v>
      </c>
      <c r="D59" t="s">
        <v>278</v>
      </c>
      <c r="E59" t="s">
        <v>210</v>
      </c>
      <c r="F59" t="s">
        <v>210</v>
      </c>
      <c r="G59" t="s">
        <v>129</v>
      </c>
      <c r="H59" t="s">
        <v>130</v>
      </c>
      <c r="I59" t="s">
        <v>211</v>
      </c>
      <c r="J59" t="s">
        <v>9</v>
      </c>
      <c r="K59" s="3">
        <v>15267</v>
      </c>
      <c r="L59" s="3">
        <v>14753</v>
      </c>
      <c r="M59" s="3">
        <v>30020</v>
      </c>
      <c r="N59" s="2">
        <v>2980</v>
      </c>
      <c r="O59" s="2">
        <v>2425</v>
      </c>
      <c r="P59" s="2">
        <v>1842</v>
      </c>
      <c r="Q59" s="2">
        <v>1766</v>
      </c>
      <c r="R59" s="2">
        <v>1344</v>
      </c>
      <c r="S59" s="2">
        <v>1023</v>
      </c>
      <c r="T59" s="2">
        <v>876</v>
      </c>
      <c r="U59" s="2">
        <v>737</v>
      </c>
      <c r="V59" s="2">
        <v>613</v>
      </c>
      <c r="W59" s="2">
        <v>498</v>
      </c>
      <c r="X59" s="2">
        <v>369</v>
      </c>
      <c r="Y59" s="2">
        <v>268</v>
      </c>
      <c r="Z59" s="2">
        <v>175</v>
      </c>
      <c r="AA59" s="2">
        <v>120</v>
      </c>
      <c r="AB59" s="2">
        <v>97</v>
      </c>
      <c r="AC59" s="2">
        <v>67</v>
      </c>
      <c r="AD59" s="2">
        <v>67</v>
      </c>
      <c r="AE59" s="2">
        <v>3113</v>
      </c>
      <c r="AF59" s="2">
        <v>2530</v>
      </c>
      <c r="AG59" s="2">
        <v>1935</v>
      </c>
      <c r="AH59" s="2">
        <v>1846</v>
      </c>
      <c r="AI59" s="2">
        <v>1369</v>
      </c>
      <c r="AJ59" s="2">
        <v>953</v>
      </c>
      <c r="AK59" s="2">
        <v>589</v>
      </c>
      <c r="AL59" s="2">
        <v>418</v>
      </c>
      <c r="AM59" s="2">
        <v>409</v>
      </c>
      <c r="AN59" s="2">
        <v>374</v>
      </c>
      <c r="AO59" s="2">
        <v>325</v>
      </c>
      <c r="AP59" s="2">
        <v>270</v>
      </c>
      <c r="AQ59" s="2">
        <v>202</v>
      </c>
      <c r="AR59" s="2">
        <v>152</v>
      </c>
      <c r="AS59" s="2">
        <v>115</v>
      </c>
      <c r="AT59" s="2">
        <v>77</v>
      </c>
      <c r="AU59" s="2">
        <v>76</v>
      </c>
      <c r="AV59" s="2">
        <v>6093</v>
      </c>
      <c r="AW59" s="2">
        <v>4955</v>
      </c>
      <c r="AX59" s="2">
        <v>3777</v>
      </c>
      <c r="AY59" s="2">
        <v>3613</v>
      </c>
      <c r="AZ59" s="2">
        <v>2713</v>
      </c>
      <c r="BA59" s="2">
        <v>1976</v>
      </c>
      <c r="BB59" s="2">
        <v>1465</v>
      </c>
      <c r="BC59" s="2">
        <v>1155</v>
      </c>
      <c r="BD59" s="2">
        <v>1022</v>
      </c>
      <c r="BE59" s="2">
        <v>872</v>
      </c>
      <c r="BF59" s="2">
        <v>693</v>
      </c>
      <c r="BG59" s="2">
        <v>538</v>
      </c>
      <c r="BH59" s="2">
        <v>377</v>
      </c>
      <c r="BI59" s="2">
        <v>272</v>
      </c>
      <c r="BJ59" s="2">
        <v>213</v>
      </c>
      <c r="BK59" s="2">
        <v>144</v>
      </c>
      <c r="BL59" s="2">
        <v>143</v>
      </c>
    </row>
    <row r="60" spans="1:64">
      <c r="A60" t="s">
        <v>198</v>
      </c>
      <c r="B60" t="s">
        <v>135</v>
      </c>
      <c r="C60" t="s">
        <v>136</v>
      </c>
      <c r="D60" t="s">
        <v>261</v>
      </c>
      <c r="E60" t="s">
        <v>210</v>
      </c>
      <c r="F60" t="s">
        <v>210</v>
      </c>
      <c r="G60" t="s">
        <v>137</v>
      </c>
      <c r="H60" t="s">
        <v>138</v>
      </c>
      <c r="I60" t="s">
        <v>211</v>
      </c>
      <c r="J60" t="s">
        <v>9</v>
      </c>
      <c r="K60" s="3">
        <v>798001</v>
      </c>
      <c r="L60" s="3">
        <v>794257</v>
      </c>
      <c r="M60" s="3">
        <v>1592258</v>
      </c>
      <c r="N60" s="2">
        <v>153729</v>
      </c>
      <c r="O60" s="2">
        <v>126040</v>
      </c>
      <c r="P60" s="2">
        <v>103810</v>
      </c>
      <c r="Q60" s="2">
        <v>92370</v>
      </c>
      <c r="R60" s="2">
        <v>67726</v>
      </c>
      <c r="S60" s="2">
        <v>52119</v>
      </c>
      <c r="T60" s="2">
        <v>46733</v>
      </c>
      <c r="U60" s="2">
        <v>39673</v>
      </c>
      <c r="V60" s="2">
        <v>30956</v>
      </c>
      <c r="W60" s="2">
        <v>24467</v>
      </c>
      <c r="X60" s="2">
        <v>18634</v>
      </c>
      <c r="Y60" s="2">
        <v>13968</v>
      </c>
      <c r="Z60" s="2">
        <v>9997</v>
      </c>
      <c r="AA60" s="2">
        <v>7070</v>
      </c>
      <c r="AB60" s="2">
        <v>4975</v>
      </c>
      <c r="AC60" s="2">
        <v>3126</v>
      </c>
      <c r="AD60" s="2">
        <v>2608</v>
      </c>
      <c r="AE60" s="2">
        <v>165724</v>
      </c>
      <c r="AF60" s="2">
        <v>123724</v>
      </c>
      <c r="AG60" s="2">
        <v>108419</v>
      </c>
      <c r="AH60" s="2">
        <v>96249</v>
      </c>
      <c r="AI60" s="2">
        <v>70947</v>
      </c>
      <c r="AJ60" s="2">
        <v>52133</v>
      </c>
      <c r="AK60" s="2">
        <v>37800</v>
      </c>
      <c r="AL60" s="2">
        <v>29382</v>
      </c>
      <c r="AM60" s="2">
        <v>25518</v>
      </c>
      <c r="AN60" s="2">
        <v>21804</v>
      </c>
      <c r="AO60" s="2">
        <v>18225</v>
      </c>
      <c r="AP60" s="2">
        <v>14651</v>
      </c>
      <c r="AQ60" s="2">
        <v>10832</v>
      </c>
      <c r="AR60" s="2">
        <v>7802</v>
      </c>
      <c r="AS60" s="2">
        <v>5129</v>
      </c>
      <c r="AT60" s="2">
        <v>3113</v>
      </c>
      <c r="AU60" s="2">
        <v>2805</v>
      </c>
      <c r="AV60" s="2">
        <v>316915</v>
      </c>
      <c r="AW60" s="2">
        <v>259623</v>
      </c>
      <c r="AX60" s="2">
        <v>210596</v>
      </c>
      <c r="AY60" s="2">
        <v>187170</v>
      </c>
      <c r="AZ60" s="2">
        <v>137602</v>
      </c>
      <c r="BA60" s="2">
        <v>103485</v>
      </c>
      <c r="BB60" s="2">
        <v>84050</v>
      </c>
      <c r="BC60" s="2">
        <v>68706</v>
      </c>
      <c r="BD60" s="2">
        <v>56143</v>
      </c>
      <c r="BE60" s="2">
        <v>45972</v>
      </c>
      <c r="BF60" s="2">
        <v>36594</v>
      </c>
      <c r="BG60" s="2">
        <v>28398</v>
      </c>
      <c r="BH60" s="2">
        <v>20662</v>
      </c>
      <c r="BI60" s="2">
        <v>14751</v>
      </c>
      <c r="BJ60" s="2">
        <v>10028</v>
      </c>
      <c r="BK60" s="2">
        <v>6194</v>
      </c>
      <c r="BL60" s="2">
        <v>5370</v>
      </c>
    </row>
    <row r="61" spans="1:64">
      <c r="A61" t="s">
        <v>139</v>
      </c>
      <c r="B61" t="s">
        <v>140</v>
      </c>
      <c r="C61" t="s">
        <v>139</v>
      </c>
      <c r="D61" t="s">
        <v>262</v>
      </c>
      <c r="E61" t="s">
        <v>210</v>
      </c>
      <c r="F61" t="s">
        <v>210</v>
      </c>
      <c r="G61" t="s">
        <v>141</v>
      </c>
      <c r="H61" t="s">
        <v>142</v>
      </c>
      <c r="I61" t="s">
        <v>211</v>
      </c>
      <c r="J61" t="s">
        <v>9</v>
      </c>
      <c r="K61" s="3">
        <v>98084</v>
      </c>
      <c r="L61" s="3">
        <v>107310</v>
      </c>
      <c r="M61" s="3">
        <v>205394</v>
      </c>
      <c r="N61" s="2">
        <v>19458</v>
      </c>
      <c r="O61" s="2">
        <v>15796</v>
      </c>
      <c r="P61" s="2">
        <v>10866</v>
      </c>
      <c r="Q61" s="2">
        <v>10493</v>
      </c>
      <c r="R61" s="2">
        <v>8968</v>
      </c>
      <c r="S61" s="2">
        <v>7201</v>
      </c>
      <c r="T61" s="2">
        <v>5476</v>
      </c>
      <c r="U61" s="2">
        <v>4419</v>
      </c>
      <c r="V61" s="2">
        <v>3962</v>
      </c>
      <c r="W61" s="2">
        <v>3398</v>
      </c>
      <c r="X61" s="2">
        <v>2732</v>
      </c>
      <c r="Y61" s="2">
        <v>2070</v>
      </c>
      <c r="Z61" s="2">
        <v>1328</v>
      </c>
      <c r="AA61" s="2">
        <v>843</v>
      </c>
      <c r="AB61" s="2">
        <v>542</v>
      </c>
      <c r="AC61" s="2">
        <v>311</v>
      </c>
      <c r="AD61" s="2">
        <v>221</v>
      </c>
      <c r="AE61" s="2">
        <v>20328</v>
      </c>
      <c r="AF61" s="2">
        <v>16477</v>
      </c>
      <c r="AG61" s="2">
        <v>13126</v>
      </c>
      <c r="AH61" s="2">
        <v>13094</v>
      </c>
      <c r="AI61" s="2">
        <v>11173</v>
      </c>
      <c r="AJ61" s="2">
        <v>8554</v>
      </c>
      <c r="AK61" s="2">
        <v>5201</v>
      </c>
      <c r="AL61" s="2">
        <v>3512</v>
      </c>
      <c r="AM61" s="2">
        <v>2885</v>
      </c>
      <c r="AN61" s="2">
        <v>2565</v>
      </c>
      <c r="AO61" s="2">
        <v>2716</v>
      </c>
      <c r="AP61" s="2">
        <v>2449</v>
      </c>
      <c r="AQ61" s="2">
        <v>1816</v>
      </c>
      <c r="AR61" s="2">
        <v>1345</v>
      </c>
      <c r="AS61" s="2">
        <v>975</v>
      </c>
      <c r="AT61" s="2">
        <v>615</v>
      </c>
      <c r="AU61" s="2">
        <v>479</v>
      </c>
      <c r="AV61" s="2">
        <v>39785</v>
      </c>
      <c r="AW61" s="2">
        <v>32274</v>
      </c>
      <c r="AX61" s="2">
        <v>23993</v>
      </c>
      <c r="AY61" s="2">
        <v>23587</v>
      </c>
      <c r="AZ61" s="2">
        <v>20141</v>
      </c>
      <c r="BA61" s="2">
        <v>15755</v>
      </c>
      <c r="BB61" s="2">
        <v>10678</v>
      </c>
      <c r="BC61" s="2">
        <v>7932</v>
      </c>
      <c r="BD61" s="2">
        <v>6847</v>
      </c>
      <c r="BE61" s="2">
        <v>5963</v>
      </c>
      <c r="BF61" s="2">
        <v>5448</v>
      </c>
      <c r="BG61" s="2">
        <v>4518</v>
      </c>
      <c r="BH61" s="2">
        <v>3144</v>
      </c>
      <c r="BI61" s="2">
        <v>2188</v>
      </c>
      <c r="BJ61" s="2">
        <v>1516</v>
      </c>
      <c r="BK61" s="2">
        <v>926</v>
      </c>
      <c r="BL61" s="2">
        <v>700</v>
      </c>
    </row>
    <row r="62" spans="1:64">
      <c r="A62" t="s">
        <v>177</v>
      </c>
      <c r="B62" t="s">
        <v>178</v>
      </c>
      <c r="C62" t="s">
        <v>177</v>
      </c>
      <c r="D62" t="s">
        <v>277</v>
      </c>
      <c r="E62" t="s">
        <v>210</v>
      </c>
      <c r="F62" t="s">
        <v>210</v>
      </c>
      <c r="G62" t="s">
        <v>141</v>
      </c>
      <c r="H62" t="s">
        <v>142</v>
      </c>
      <c r="I62" t="s">
        <v>211</v>
      </c>
      <c r="J62" t="s">
        <v>9</v>
      </c>
      <c r="K62" s="3">
        <v>37450</v>
      </c>
      <c r="L62" s="3">
        <v>40972</v>
      </c>
      <c r="M62" s="3">
        <v>78422</v>
      </c>
      <c r="N62" s="2">
        <v>7429</v>
      </c>
      <c r="O62" s="2">
        <v>6031</v>
      </c>
      <c r="P62" s="2">
        <v>4149</v>
      </c>
      <c r="Q62" s="2">
        <v>4007</v>
      </c>
      <c r="R62" s="2">
        <v>3424</v>
      </c>
      <c r="S62" s="2">
        <v>2750</v>
      </c>
      <c r="T62" s="2">
        <v>2091</v>
      </c>
      <c r="U62" s="2">
        <v>1687</v>
      </c>
      <c r="V62" s="2">
        <v>1513</v>
      </c>
      <c r="W62" s="2">
        <v>1297</v>
      </c>
      <c r="X62" s="2">
        <v>1043</v>
      </c>
      <c r="Y62" s="2">
        <v>790</v>
      </c>
      <c r="Z62" s="2">
        <v>507</v>
      </c>
      <c r="AA62" s="2">
        <v>322</v>
      </c>
      <c r="AB62" s="2">
        <v>207</v>
      </c>
      <c r="AC62" s="2">
        <v>119</v>
      </c>
      <c r="AD62" s="2">
        <v>84</v>
      </c>
      <c r="AE62" s="2">
        <v>7762</v>
      </c>
      <c r="AF62" s="2">
        <v>6291</v>
      </c>
      <c r="AG62" s="2">
        <v>5012</v>
      </c>
      <c r="AH62" s="2">
        <v>4999</v>
      </c>
      <c r="AI62" s="2">
        <v>4266</v>
      </c>
      <c r="AJ62" s="2">
        <v>3266</v>
      </c>
      <c r="AK62" s="2">
        <v>1986</v>
      </c>
      <c r="AL62" s="2">
        <v>1341</v>
      </c>
      <c r="AM62" s="2">
        <v>1101</v>
      </c>
      <c r="AN62" s="2">
        <v>979</v>
      </c>
      <c r="AO62" s="2">
        <v>1037</v>
      </c>
      <c r="AP62" s="2">
        <v>935</v>
      </c>
      <c r="AQ62" s="2">
        <v>693</v>
      </c>
      <c r="AR62" s="2">
        <v>514</v>
      </c>
      <c r="AS62" s="2">
        <v>372</v>
      </c>
      <c r="AT62" s="2">
        <v>235</v>
      </c>
      <c r="AU62" s="2">
        <v>183</v>
      </c>
      <c r="AV62" s="2">
        <v>15191</v>
      </c>
      <c r="AW62" s="2">
        <v>12323</v>
      </c>
      <c r="AX62" s="2">
        <v>9161</v>
      </c>
      <c r="AY62" s="2">
        <v>9006</v>
      </c>
      <c r="AZ62" s="2">
        <v>7690</v>
      </c>
      <c r="BA62" s="2">
        <v>6015</v>
      </c>
      <c r="BB62" s="2">
        <v>4077</v>
      </c>
      <c r="BC62" s="2">
        <v>3028</v>
      </c>
      <c r="BD62" s="2">
        <v>2614</v>
      </c>
      <c r="BE62" s="2">
        <v>2277</v>
      </c>
      <c r="BF62" s="2">
        <v>2080</v>
      </c>
      <c r="BG62" s="2">
        <v>1725</v>
      </c>
      <c r="BH62" s="2">
        <v>1200</v>
      </c>
      <c r="BI62" s="2">
        <v>836</v>
      </c>
      <c r="BJ62" s="2">
        <v>579</v>
      </c>
      <c r="BK62" s="2">
        <v>354</v>
      </c>
      <c r="BL62" s="2">
        <v>267</v>
      </c>
    </row>
    <row r="63" spans="1:64">
      <c r="A63" t="s">
        <v>143</v>
      </c>
      <c r="B63" t="s">
        <v>144</v>
      </c>
      <c r="C63" t="s">
        <v>143</v>
      </c>
      <c r="D63" t="s">
        <v>263</v>
      </c>
      <c r="E63" t="s">
        <v>210</v>
      </c>
      <c r="F63" t="s">
        <v>210</v>
      </c>
      <c r="G63" t="s">
        <v>141</v>
      </c>
      <c r="H63" t="s">
        <v>142</v>
      </c>
      <c r="I63" t="s">
        <v>211</v>
      </c>
      <c r="J63" t="s">
        <v>9</v>
      </c>
      <c r="K63" s="3">
        <v>42800</v>
      </c>
      <c r="L63" s="3">
        <v>46827</v>
      </c>
      <c r="M63" s="3">
        <v>89627</v>
      </c>
      <c r="N63" s="2">
        <v>8491</v>
      </c>
      <c r="O63" s="2">
        <v>6893</v>
      </c>
      <c r="P63" s="2">
        <v>4742</v>
      </c>
      <c r="Q63" s="2">
        <v>4579</v>
      </c>
      <c r="R63" s="2">
        <v>3913</v>
      </c>
      <c r="S63" s="2">
        <v>3142</v>
      </c>
      <c r="T63" s="2">
        <v>2390</v>
      </c>
      <c r="U63" s="2">
        <v>1928</v>
      </c>
      <c r="V63" s="2">
        <v>1729</v>
      </c>
      <c r="W63" s="2">
        <v>1483</v>
      </c>
      <c r="X63" s="2">
        <v>1192</v>
      </c>
      <c r="Y63" s="2">
        <v>903</v>
      </c>
      <c r="Z63" s="2">
        <v>579</v>
      </c>
      <c r="AA63" s="2">
        <v>368</v>
      </c>
      <c r="AB63" s="2">
        <v>236</v>
      </c>
      <c r="AC63" s="2">
        <v>136</v>
      </c>
      <c r="AD63" s="2">
        <v>96</v>
      </c>
      <c r="AE63" s="2">
        <v>8870</v>
      </c>
      <c r="AF63" s="2">
        <v>7190</v>
      </c>
      <c r="AG63" s="2">
        <v>5728</v>
      </c>
      <c r="AH63" s="2">
        <v>5714</v>
      </c>
      <c r="AI63" s="2">
        <v>4876</v>
      </c>
      <c r="AJ63" s="2">
        <v>3732</v>
      </c>
      <c r="AK63" s="2">
        <v>2270</v>
      </c>
      <c r="AL63" s="2">
        <v>1533</v>
      </c>
      <c r="AM63" s="2">
        <v>1259</v>
      </c>
      <c r="AN63" s="2">
        <v>1119</v>
      </c>
      <c r="AO63" s="2">
        <v>1185</v>
      </c>
      <c r="AP63" s="2">
        <v>1068</v>
      </c>
      <c r="AQ63" s="2">
        <v>792</v>
      </c>
      <c r="AR63" s="2">
        <v>587</v>
      </c>
      <c r="AS63" s="2">
        <v>426</v>
      </c>
      <c r="AT63" s="2">
        <v>269</v>
      </c>
      <c r="AU63" s="2">
        <v>209</v>
      </c>
      <c r="AV63" s="2">
        <v>17361</v>
      </c>
      <c r="AW63" s="2">
        <v>14083</v>
      </c>
      <c r="AX63" s="2">
        <v>10469</v>
      </c>
      <c r="AY63" s="2">
        <v>10293</v>
      </c>
      <c r="AZ63" s="2">
        <v>8789</v>
      </c>
      <c r="BA63" s="2">
        <v>6875</v>
      </c>
      <c r="BB63" s="2">
        <v>4659</v>
      </c>
      <c r="BC63" s="2">
        <v>3461</v>
      </c>
      <c r="BD63" s="2">
        <v>2988</v>
      </c>
      <c r="BE63" s="2">
        <v>2602</v>
      </c>
      <c r="BF63" s="2">
        <v>2377</v>
      </c>
      <c r="BG63" s="2">
        <v>1972</v>
      </c>
      <c r="BH63" s="2">
        <v>1372</v>
      </c>
      <c r="BI63" s="2">
        <v>955</v>
      </c>
      <c r="BJ63" s="2">
        <v>662</v>
      </c>
      <c r="BK63" s="2">
        <v>404</v>
      </c>
      <c r="BL63" s="2">
        <v>306</v>
      </c>
    </row>
    <row r="64" spans="1:64">
      <c r="A64" t="s">
        <v>145</v>
      </c>
      <c r="B64" t="s">
        <v>146</v>
      </c>
      <c r="C64" t="s">
        <v>145</v>
      </c>
      <c r="D64" t="s">
        <v>264</v>
      </c>
      <c r="E64" t="s">
        <v>210</v>
      </c>
      <c r="F64" t="s">
        <v>210</v>
      </c>
      <c r="G64" t="s">
        <v>147</v>
      </c>
      <c r="H64" t="s">
        <v>148</v>
      </c>
      <c r="I64" t="s">
        <v>211</v>
      </c>
      <c r="J64" t="s">
        <v>9</v>
      </c>
      <c r="K64" s="3">
        <v>54695</v>
      </c>
      <c r="L64" s="3">
        <v>62313</v>
      </c>
      <c r="M64" s="3">
        <v>117008</v>
      </c>
      <c r="N64" s="2">
        <v>11083</v>
      </c>
      <c r="O64" s="2">
        <v>9301</v>
      </c>
      <c r="P64" s="2">
        <v>5325</v>
      </c>
      <c r="Q64" s="2">
        <v>5204</v>
      </c>
      <c r="R64" s="2">
        <v>4922</v>
      </c>
      <c r="S64" s="2">
        <v>4182</v>
      </c>
      <c r="T64" s="2">
        <v>3307</v>
      </c>
      <c r="U64" s="2">
        <v>2698</v>
      </c>
      <c r="V64" s="2">
        <v>2284</v>
      </c>
      <c r="W64" s="2">
        <v>1915</v>
      </c>
      <c r="X64" s="2">
        <v>1607</v>
      </c>
      <c r="Y64" s="2">
        <v>1223</v>
      </c>
      <c r="Z64" s="2">
        <v>705</v>
      </c>
      <c r="AA64" s="2">
        <v>408</v>
      </c>
      <c r="AB64" s="2">
        <v>272</v>
      </c>
      <c r="AC64" s="2">
        <v>158</v>
      </c>
      <c r="AD64" s="2">
        <v>101</v>
      </c>
      <c r="AE64" s="2">
        <v>11579</v>
      </c>
      <c r="AF64" s="2">
        <v>9700</v>
      </c>
      <c r="AG64" s="2">
        <v>6576</v>
      </c>
      <c r="AH64" s="2">
        <v>6736</v>
      </c>
      <c r="AI64" s="2">
        <v>6415</v>
      </c>
      <c r="AJ64" s="2">
        <v>5356</v>
      </c>
      <c r="AK64" s="2">
        <v>3934</v>
      </c>
      <c r="AL64" s="2">
        <v>2927</v>
      </c>
      <c r="AM64" s="2">
        <v>1937</v>
      </c>
      <c r="AN64" s="2">
        <v>1482</v>
      </c>
      <c r="AO64" s="2">
        <v>1563</v>
      </c>
      <c r="AP64" s="2">
        <v>1381</v>
      </c>
      <c r="AQ64" s="2">
        <v>970</v>
      </c>
      <c r="AR64" s="2">
        <v>695</v>
      </c>
      <c r="AS64" s="2">
        <v>517</v>
      </c>
      <c r="AT64" s="2">
        <v>324</v>
      </c>
      <c r="AU64" s="2">
        <v>221</v>
      </c>
      <c r="AV64" s="2">
        <v>22661</v>
      </c>
      <c r="AW64" s="2">
        <v>19001</v>
      </c>
      <c r="AX64" s="2">
        <v>11901</v>
      </c>
      <c r="AY64" s="2">
        <v>11940</v>
      </c>
      <c r="AZ64" s="2">
        <v>11336</v>
      </c>
      <c r="BA64" s="2">
        <v>9538</v>
      </c>
      <c r="BB64" s="2">
        <v>7240</v>
      </c>
      <c r="BC64" s="2">
        <v>5625</v>
      </c>
      <c r="BD64" s="2">
        <v>4221</v>
      </c>
      <c r="BE64" s="2">
        <v>3398</v>
      </c>
      <c r="BF64" s="2">
        <v>3171</v>
      </c>
      <c r="BG64" s="2">
        <v>2604</v>
      </c>
      <c r="BH64" s="2">
        <v>1675</v>
      </c>
      <c r="BI64" s="2">
        <v>1103</v>
      </c>
      <c r="BJ64" s="2">
        <v>790</v>
      </c>
      <c r="BK64" s="2">
        <v>483</v>
      </c>
      <c r="BL64" s="2">
        <v>322</v>
      </c>
    </row>
    <row r="65" spans="1:64">
      <c r="A65" t="s">
        <v>149</v>
      </c>
      <c r="B65" t="s">
        <v>150</v>
      </c>
      <c r="C65" t="s">
        <v>149</v>
      </c>
      <c r="D65" t="s">
        <v>265</v>
      </c>
      <c r="E65" t="s">
        <v>210</v>
      </c>
      <c r="F65" t="s">
        <v>210</v>
      </c>
      <c r="G65" t="s">
        <v>147</v>
      </c>
      <c r="H65" t="s">
        <v>148</v>
      </c>
      <c r="I65" t="s">
        <v>211</v>
      </c>
      <c r="J65" t="s">
        <v>9</v>
      </c>
      <c r="K65" s="3">
        <v>19205</v>
      </c>
      <c r="L65" s="3">
        <v>21885</v>
      </c>
      <c r="M65" s="3">
        <v>41090</v>
      </c>
      <c r="N65" s="2">
        <v>3892</v>
      </c>
      <c r="O65" s="2">
        <v>3266</v>
      </c>
      <c r="P65" s="2">
        <v>1870</v>
      </c>
      <c r="Q65" s="2">
        <v>1828</v>
      </c>
      <c r="R65" s="2">
        <v>1728</v>
      </c>
      <c r="S65" s="2">
        <v>1469</v>
      </c>
      <c r="T65" s="2">
        <v>1161</v>
      </c>
      <c r="U65" s="2">
        <v>947</v>
      </c>
      <c r="V65" s="2">
        <v>802</v>
      </c>
      <c r="W65" s="2">
        <v>672</v>
      </c>
      <c r="X65" s="2">
        <v>565</v>
      </c>
      <c r="Y65" s="2">
        <v>429</v>
      </c>
      <c r="Z65" s="2">
        <v>247</v>
      </c>
      <c r="AA65" s="2">
        <v>143</v>
      </c>
      <c r="AB65" s="2">
        <v>95</v>
      </c>
      <c r="AC65" s="2">
        <v>55</v>
      </c>
      <c r="AD65" s="2">
        <v>36</v>
      </c>
      <c r="AE65" s="2">
        <v>4066</v>
      </c>
      <c r="AF65" s="2">
        <v>3407</v>
      </c>
      <c r="AG65" s="2">
        <v>2310</v>
      </c>
      <c r="AH65" s="2">
        <v>2366</v>
      </c>
      <c r="AI65" s="2">
        <v>2253</v>
      </c>
      <c r="AJ65" s="2">
        <v>1881</v>
      </c>
      <c r="AK65" s="2">
        <v>1381</v>
      </c>
      <c r="AL65" s="2">
        <v>1028</v>
      </c>
      <c r="AM65" s="2">
        <v>680</v>
      </c>
      <c r="AN65" s="2">
        <v>521</v>
      </c>
      <c r="AO65" s="2">
        <v>549</v>
      </c>
      <c r="AP65" s="2">
        <v>485</v>
      </c>
      <c r="AQ65" s="2">
        <v>341</v>
      </c>
      <c r="AR65" s="2">
        <v>244</v>
      </c>
      <c r="AS65" s="2">
        <v>182</v>
      </c>
      <c r="AT65" s="2">
        <v>114</v>
      </c>
      <c r="AU65" s="2">
        <v>77</v>
      </c>
      <c r="AV65" s="2">
        <v>7959</v>
      </c>
      <c r="AW65" s="2">
        <v>6673</v>
      </c>
      <c r="AX65" s="2">
        <v>4180</v>
      </c>
      <c r="AY65" s="2">
        <v>4194</v>
      </c>
      <c r="AZ65" s="2">
        <v>3981</v>
      </c>
      <c r="BA65" s="2">
        <v>3350</v>
      </c>
      <c r="BB65" s="2">
        <v>2543</v>
      </c>
      <c r="BC65" s="2">
        <v>1975</v>
      </c>
      <c r="BD65" s="2">
        <v>1482</v>
      </c>
      <c r="BE65" s="2">
        <v>1193</v>
      </c>
      <c r="BF65" s="2">
        <v>1113</v>
      </c>
      <c r="BG65" s="2">
        <v>914</v>
      </c>
      <c r="BH65" s="2">
        <v>588</v>
      </c>
      <c r="BI65" s="2">
        <v>388</v>
      </c>
      <c r="BJ65" s="2">
        <v>277</v>
      </c>
      <c r="BK65" s="2">
        <v>169</v>
      </c>
      <c r="BL65" s="2">
        <v>113</v>
      </c>
    </row>
    <row r="66" spans="1:64">
      <c r="A66" t="s">
        <v>151</v>
      </c>
      <c r="B66" t="s">
        <v>152</v>
      </c>
      <c r="C66" t="s">
        <v>151</v>
      </c>
      <c r="D66" t="s">
        <v>266</v>
      </c>
      <c r="E66" t="s">
        <v>210</v>
      </c>
      <c r="F66" t="s">
        <v>210</v>
      </c>
      <c r="G66" t="s">
        <v>153</v>
      </c>
      <c r="H66" t="s">
        <v>154</v>
      </c>
      <c r="I66" t="s">
        <v>211</v>
      </c>
      <c r="J66" t="s">
        <v>9</v>
      </c>
      <c r="K66" s="3">
        <v>222387</v>
      </c>
      <c r="L66" s="3">
        <v>222715</v>
      </c>
      <c r="M66" s="3">
        <v>445102</v>
      </c>
      <c r="N66" s="2">
        <v>41774</v>
      </c>
      <c r="O66" s="2">
        <v>34321</v>
      </c>
      <c r="P66" s="2">
        <v>29449</v>
      </c>
      <c r="Q66" s="2">
        <v>28137</v>
      </c>
      <c r="R66" s="2">
        <v>19728</v>
      </c>
      <c r="S66" s="2">
        <v>14141</v>
      </c>
      <c r="T66" s="2">
        <v>12092</v>
      </c>
      <c r="U66" s="2">
        <v>10296</v>
      </c>
      <c r="V66" s="2">
        <v>9147</v>
      </c>
      <c r="W66" s="2">
        <v>7592</v>
      </c>
      <c r="X66" s="2">
        <v>5318</v>
      </c>
      <c r="Y66" s="2">
        <v>3689</v>
      </c>
      <c r="Z66" s="2">
        <v>2321</v>
      </c>
      <c r="AA66" s="2">
        <v>1537</v>
      </c>
      <c r="AB66" s="2">
        <v>1258</v>
      </c>
      <c r="AC66" s="2">
        <v>850</v>
      </c>
      <c r="AD66" s="2">
        <v>737</v>
      </c>
      <c r="AE66" s="2">
        <v>43642</v>
      </c>
      <c r="AF66" s="2">
        <v>35799</v>
      </c>
      <c r="AG66" s="2">
        <v>33914</v>
      </c>
      <c r="AH66" s="2">
        <v>30878</v>
      </c>
      <c r="AI66" s="2">
        <v>20648</v>
      </c>
      <c r="AJ66" s="2">
        <v>13508</v>
      </c>
      <c r="AK66" s="2">
        <v>7987</v>
      </c>
      <c r="AL66" s="2">
        <v>5709</v>
      </c>
      <c r="AM66" s="2">
        <v>6418</v>
      </c>
      <c r="AN66" s="2">
        <v>6201</v>
      </c>
      <c r="AO66" s="2">
        <v>5554</v>
      </c>
      <c r="AP66" s="2">
        <v>4527</v>
      </c>
      <c r="AQ66" s="2">
        <v>2939</v>
      </c>
      <c r="AR66" s="2">
        <v>1966</v>
      </c>
      <c r="AS66" s="2">
        <v>1402</v>
      </c>
      <c r="AT66" s="2">
        <v>878</v>
      </c>
      <c r="AU66" s="2">
        <v>745</v>
      </c>
      <c r="AV66" s="2">
        <v>85415</v>
      </c>
      <c r="AW66" s="2">
        <v>70120</v>
      </c>
      <c r="AX66" s="2">
        <v>63363</v>
      </c>
      <c r="AY66" s="2">
        <v>59015</v>
      </c>
      <c r="AZ66" s="2">
        <v>40376</v>
      </c>
      <c r="BA66" s="2">
        <v>27649</v>
      </c>
      <c r="BB66" s="2">
        <v>20079</v>
      </c>
      <c r="BC66" s="2">
        <v>16005</v>
      </c>
      <c r="BD66" s="2">
        <v>15564</v>
      </c>
      <c r="BE66" s="2">
        <v>13793</v>
      </c>
      <c r="BF66" s="2">
        <v>10872</v>
      </c>
      <c r="BG66" s="2">
        <v>8216</v>
      </c>
      <c r="BH66" s="2">
        <v>5261</v>
      </c>
      <c r="BI66" s="2">
        <v>3503</v>
      </c>
      <c r="BJ66" s="2">
        <v>2659</v>
      </c>
      <c r="BK66" s="2">
        <v>1728</v>
      </c>
      <c r="BL66" s="2">
        <v>1483</v>
      </c>
    </row>
    <row r="67" spans="1:64">
      <c r="A67" t="s">
        <v>155</v>
      </c>
      <c r="B67" t="s">
        <v>156</v>
      </c>
      <c r="C67" t="s">
        <v>155</v>
      </c>
      <c r="D67" t="s">
        <v>267</v>
      </c>
      <c r="E67" t="s">
        <v>210</v>
      </c>
      <c r="F67" t="s">
        <v>210</v>
      </c>
      <c r="G67" t="s">
        <v>153</v>
      </c>
      <c r="H67" t="s">
        <v>154</v>
      </c>
      <c r="I67" t="s">
        <v>211</v>
      </c>
      <c r="J67" t="s">
        <v>9</v>
      </c>
      <c r="K67" s="3">
        <v>59262</v>
      </c>
      <c r="L67" s="3">
        <v>59352</v>
      </c>
      <c r="M67" s="3">
        <v>118614</v>
      </c>
      <c r="N67" s="2">
        <v>11132</v>
      </c>
      <c r="O67" s="2">
        <v>9146</v>
      </c>
      <c r="P67" s="2">
        <v>7848</v>
      </c>
      <c r="Q67" s="2">
        <v>7498</v>
      </c>
      <c r="R67" s="2">
        <v>5257</v>
      </c>
      <c r="S67" s="2">
        <v>3768</v>
      </c>
      <c r="T67" s="2">
        <v>3222</v>
      </c>
      <c r="U67" s="2">
        <v>2744</v>
      </c>
      <c r="V67" s="2">
        <v>2437</v>
      </c>
      <c r="W67" s="2">
        <v>2023</v>
      </c>
      <c r="X67" s="2">
        <v>1417</v>
      </c>
      <c r="Y67" s="2">
        <v>983</v>
      </c>
      <c r="Z67" s="2">
        <v>619</v>
      </c>
      <c r="AA67" s="2">
        <v>410</v>
      </c>
      <c r="AB67" s="2">
        <v>335</v>
      </c>
      <c r="AC67" s="2">
        <v>226</v>
      </c>
      <c r="AD67" s="2">
        <v>197</v>
      </c>
      <c r="AE67" s="2">
        <v>11630</v>
      </c>
      <c r="AF67" s="2">
        <v>9540</v>
      </c>
      <c r="AG67" s="2">
        <v>9038</v>
      </c>
      <c r="AH67" s="2">
        <v>8229</v>
      </c>
      <c r="AI67" s="2">
        <v>5503</v>
      </c>
      <c r="AJ67" s="2">
        <v>3600</v>
      </c>
      <c r="AK67" s="2">
        <v>2129</v>
      </c>
      <c r="AL67" s="2">
        <v>1521</v>
      </c>
      <c r="AM67" s="2">
        <v>1710</v>
      </c>
      <c r="AN67" s="2">
        <v>1653</v>
      </c>
      <c r="AO67" s="2">
        <v>1480</v>
      </c>
      <c r="AP67" s="2">
        <v>1206</v>
      </c>
      <c r="AQ67" s="2">
        <v>783</v>
      </c>
      <c r="AR67" s="2">
        <v>524</v>
      </c>
      <c r="AS67" s="2">
        <v>373</v>
      </c>
      <c r="AT67" s="2">
        <v>234</v>
      </c>
      <c r="AU67" s="2">
        <v>199</v>
      </c>
      <c r="AV67" s="2">
        <v>22762</v>
      </c>
      <c r="AW67" s="2">
        <v>18686</v>
      </c>
      <c r="AX67" s="2">
        <v>16886</v>
      </c>
      <c r="AY67" s="2">
        <v>15727</v>
      </c>
      <c r="AZ67" s="2">
        <v>10760</v>
      </c>
      <c r="BA67" s="2">
        <v>7368</v>
      </c>
      <c r="BB67" s="2">
        <v>5351</v>
      </c>
      <c r="BC67" s="2">
        <v>4265</v>
      </c>
      <c r="BD67" s="2">
        <v>4148</v>
      </c>
      <c r="BE67" s="2">
        <v>3676</v>
      </c>
      <c r="BF67" s="2">
        <v>2897</v>
      </c>
      <c r="BG67" s="2">
        <v>2189</v>
      </c>
      <c r="BH67" s="2">
        <v>1402</v>
      </c>
      <c r="BI67" s="2">
        <v>934</v>
      </c>
      <c r="BJ67" s="2">
        <v>709</v>
      </c>
      <c r="BK67" s="2">
        <v>461</v>
      </c>
      <c r="BL67" s="2">
        <v>395</v>
      </c>
    </row>
    <row r="68" spans="1:64">
      <c r="A68" t="s">
        <v>157</v>
      </c>
      <c r="B68" t="s">
        <v>158</v>
      </c>
      <c r="C68" t="s">
        <v>157</v>
      </c>
      <c r="D68" t="s">
        <v>268</v>
      </c>
      <c r="E68" t="s">
        <v>210</v>
      </c>
      <c r="F68" t="s">
        <v>210</v>
      </c>
      <c r="G68" t="s">
        <v>159</v>
      </c>
      <c r="H68" t="s">
        <v>160</v>
      </c>
      <c r="I68" t="s">
        <v>211</v>
      </c>
      <c r="J68" t="s">
        <v>9</v>
      </c>
      <c r="K68" s="3">
        <v>10171</v>
      </c>
      <c r="L68" s="3">
        <v>11160</v>
      </c>
      <c r="M68" s="3">
        <v>21331</v>
      </c>
      <c r="N68" s="2">
        <v>2077</v>
      </c>
      <c r="O68" s="2">
        <v>1747</v>
      </c>
      <c r="P68" s="2">
        <v>959</v>
      </c>
      <c r="Q68" s="2">
        <v>900</v>
      </c>
      <c r="R68" s="2">
        <v>895</v>
      </c>
      <c r="S68" s="2">
        <v>788</v>
      </c>
      <c r="T68" s="2">
        <v>626</v>
      </c>
      <c r="U68" s="2">
        <v>510</v>
      </c>
      <c r="V68" s="2">
        <v>429</v>
      </c>
      <c r="W68" s="2">
        <v>356</v>
      </c>
      <c r="X68" s="2">
        <v>282</v>
      </c>
      <c r="Y68" s="2">
        <v>216</v>
      </c>
      <c r="Z68" s="2">
        <v>158</v>
      </c>
      <c r="AA68" s="2">
        <v>107</v>
      </c>
      <c r="AB68" s="2">
        <v>58</v>
      </c>
      <c r="AC68" s="2">
        <v>32</v>
      </c>
      <c r="AD68" s="2">
        <v>31</v>
      </c>
      <c r="AE68" s="2">
        <v>2170</v>
      </c>
      <c r="AF68" s="2">
        <v>1822</v>
      </c>
      <c r="AG68" s="2">
        <v>1186</v>
      </c>
      <c r="AH68" s="2">
        <v>1101</v>
      </c>
      <c r="AI68" s="2">
        <v>997</v>
      </c>
      <c r="AJ68" s="2">
        <v>834</v>
      </c>
      <c r="AK68" s="2">
        <v>634</v>
      </c>
      <c r="AL68" s="2">
        <v>503</v>
      </c>
      <c r="AM68" s="2">
        <v>395</v>
      </c>
      <c r="AN68" s="2">
        <v>336</v>
      </c>
      <c r="AO68" s="2">
        <v>342</v>
      </c>
      <c r="AP68" s="2">
        <v>296</v>
      </c>
      <c r="AQ68" s="2">
        <v>195</v>
      </c>
      <c r="AR68" s="2">
        <v>134</v>
      </c>
      <c r="AS68" s="2">
        <v>98</v>
      </c>
      <c r="AT68" s="2">
        <v>63</v>
      </c>
      <c r="AU68" s="2">
        <v>54</v>
      </c>
      <c r="AV68" s="2">
        <v>4248</v>
      </c>
      <c r="AW68" s="2">
        <v>3569</v>
      </c>
      <c r="AX68" s="2">
        <v>2145</v>
      </c>
      <c r="AY68" s="2">
        <v>2001</v>
      </c>
      <c r="AZ68" s="2">
        <v>1892</v>
      </c>
      <c r="BA68" s="2">
        <v>1621</v>
      </c>
      <c r="BB68" s="2">
        <v>1260</v>
      </c>
      <c r="BC68" s="2">
        <v>1013</v>
      </c>
      <c r="BD68" s="2">
        <v>823</v>
      </c>
      <c r="BE68" s="2">
        <v>693</v>
      </c>
      <c r="BF68" s="2">
        <v>624</v>
      </c>
      <c r="BG68" s="2">
        <v>512</v>
      </c>
      <c r="BH68" s="2">
        <v>353</v>
      </c>
      <c r="BI68" s="2">
        <v>242</v>
      </c>
      <c r="BJ68" s="2">
        <v>156</v>
      </c>
      <c r="BK68" s="2">
        <v>94</v>
      </c>
      <c r="BL68" s="2">
        <v>85</v>
      </c>
    </row>
    <row r="69" spans="1:64">
      <c r="A69" t="s">
        <v>161</v>
      </c>
      <c r="B69" t="s">
        <v>162</v>
      </c>
      <c r="C69" t="s">
        <v>161</v>
      </c>
      <c r="D69" t="s">
        <v>269</v>
      </c>
      <c r="E69" t="s">
        <v>210</v>
      </c>
      <c r="F69" t="s">
        <v>210</v>
      </c>
      <c r="G69" t="s">
        <v>159</v>
      </c>
      <c r="H69" t="s">
        <v>160</v>
      </c>
      <c r="I69" t="s">
        <v>211</v>
      </c>
      <c r="J69" t="s">
        <v>9</v>
      </c>
      <c r="K69" s="3">
        <v>7844</v>
      </c>
      <c r="L69" s="3">
        <v>8608</v>
      </c>
      <c r="M69" s="3">
        <v>16452</v>
      </c>
      <c r="N69" s="2">
        <v>1602</v>
      </c>
      <c r="O69" s="2">
        <v>1347</v>
      </c>
      <c r="P69" s="2">
        <v>739</v>
      </c>
      <c r="Q69" s="2">
        <v>694</v>
      </c>
      <c r="R69" s="2">
        <v>690</v>
      </c>
      <c r="S69" s="2">
        <v>607</v>
      </c>
      <c r="T69" s="2">
        <v>482</v>
      </c>
      <c r="U69" s="2">
        <v>394</v>
      </c>
      <c r="V69" s="2">
        <v>330</v>
      </c>
      <c r="W69" s="2">
        <v>275</v>
      </c>
      <c r="X69" s="2">
        <v>218</v>
      </c>
      <c r="Y69" s="2">
        <v>167</v>
      </c>
      <c r="Z69" s="2">
        <v>122</v>
      </c>
      <c r="AA69" s="2">
        <v>83</v>
      </c>
      <c r="AB69" s="2">
        <v>45</v>
      </c>
      <c r="AC69" s="2">
        <v>25</v>
      </c>
      <c r="AD69" s="2">
        <v>24</v>
      </c>
      <c r="AE69" s="2">
        <v>1674</v>
      </c>
      <c r="AF69" s="2">
        <v>1405</v>
      </c>
      <c r="AG69" s="2">
        <v>915</v>
      </c>
      <c r="AH69" s="2">
        <v>849</v>
      </c>
      <c r="AI69" s="2">
        <v>769</v>
      </c>
      <c r="AJ69" s="2">
        <v>643</v>
      </c>
      <c r="AK69" s="2">
        <v>489</v>
      </c>
      <c r="AL69" s="2">
        <v>388</v>
      </c>
      <c r="AM69" s="2">
        <v>304</v>
      </c>
      <c r="AN69" s="2">
        <v>260</v>
      </c>
      <c r="AO69" s="2">
        <v>264</v>
      </c>
      <c r="AP69" s="2">
        <v>228</v>
      </c>
      <c r="AQ69" s="2">
        <v>151</v>
      </c>
      <c r="AR69" s="2">
        <v>104</v>
      </c>
      <c r="AS69" s="2">
        <v>76</v>
      </c>
      <c r="AT69" s="2">
        <v>48</v>
      </c>
      <c r="AU69" s="2">
        <v>41</v>
      </c>
      <c r="AV69" s="2">
        <v>3276</v>
      </c>
      <c r="AW69" s="2">
        <v>2752</v>
      </c>
      <c r="AX69" s="2">
        <v>1654</v>
      </c>
      <c r="AY69" s="2">
        <v>1543</v>
      </c>
      <c r="AZ69" s="2">
        <v>1460</v>
      </c>
      <c r="BA69" s="2">
        <v>1251</v>
      </c>
      <c r="BB69" s="2">
        <v>971</v>
      </c>
      <c r="BC69" s="2">
        <v>782</v>
      </c>
      <c r="BD69" s="2">
        <v>635</v>
      </c>
      <c r="BE69" s="2">
        <v>534</v>
      </c>
      <c r="BF69" s="2">
        <v>482</v>
      </c>
      <c r="BG69" s="2">
        <v>395</v>
      </c>
      <c r="BH69" s="2">
        <v>273</v>
      </c>
      <c r="BI69" s="2">
        <v>186</v>
      </c>
      <c r="BJ69" s="2">
        <v>121</v>
      </c>
      <c r="BK69" s="2">
        <v>73</v>
      </c>
      <c r="BL69" s="2">
        <v>65</v>
      </c>
    </row>
    <row r="70" spans="1:64">
      <c r="A70" t="s">
        <v>163</v>
      </c>
      <c r="B70" t="s">
        <v>164</v>
      </c>
      <c r="C70" t="s">
        <v>163</v>
      </c>
      <c r="D70" t="s">
        <v>270</v>
      </c>
      <c r="E70" t="s">
        <v>210</v>
      </c>
      <c r="F70" t="s">
        <v>210</v>
      </c>
      <c r="G70" t="s">
        <v>165</v>
      </c>
      <c r="H70" t="s">
        <v>166</v>
      </c>
      <c r="I70" t="s">
        <v>211</v>
      </c>
      <c r="J70" t="s">
        <v>9</v>
      </c>
      <c r="K70" s="3">
        <v>27137</v>
      </c>
      <c r="L70" s="3">
        <v>30916</v>
      </c>
      <c r="M70" s="3">
        <v>58053</v>
      </c>
      <c r="N70" s="2">
        <v>5499</v>
      </c>
      <c r="O70" s="2">
        <v>4614</v>
      </c>
      <c r="P70" s="2">
        <v>2642</v>
      </c>
      <c r="Q70" s="2">
        <v>2582</v>
      </c>
      <c r="R70" s="2">
        <v>2441</v>
      </c>
      <c r="S70" s="2">
        <v>2075</v>
      </c>
      <c r="T70" s="2">
        <v>1641</v>
      </c>
      <c r="U70" s="2">
        <v>1338</v>
      </c>
      <c r="V70" s="2">
        <v>1133</v>
      </c>
      <c r="W70" s="2">
        <v>950</v>
      </c>
      <c r="X70" s="2">
        <v>798</v>
      </c>
      <c r="Y70" s="2">
        <v>606</v>
      </c>
      <c r="Z70" s="2">
        <v>350</v>
      </c>
      <c r="AA70" s="2">
        <v>203</v>
      </c>
      <c r="AB70" s="2">
        <v>135</v>
      </c>
      <c r="AC70" s="2">
        <v>79</v>
      </c>
      <c r="AD70" s="2">
        <v>51</v>
      </c>
      <c r="AE70" s="2">
        <v>5745</v>
      </c>
      <c r="AF70" s="2">
        <v>4813</v>
      </c>
      <c r="AG70" s="2">
        <v>3263</v>
      </c>
      <c r="AH70" s="2">
        <v>3342</v>
      </c>
      <c r="AI70" s="2">
        <v>3182</v>
      </c>
      <c r="AJ70" s="2">
        <v>2658</v>
      </c>
      <c r="AK70" s="2">
        <v>1951</v>
      </c>
      <c r="AL70" s="2">
        <v>1452</v>
      </c>
      <c r="AM70" s="2">
        <v>961</v>
      </c>
      <c r="AN70" s="2">
        <v>736</v>
      </c>
      <c r="AO70" s="2">
        <v>775</v>
      </c>
      <c r="AP70" s="2">
        <v>685</v>
      </c>
      <c r="AQ70" s="2">
        <v>481</v>
      </c>
      <c r="AR70" s="2">
        <v>345</v>
      </c>
      <c r="AS70" s="2">
        <v>257</v>
      </c>
      <c r="AT70" s="2">
        <v>161</v>
      </c>
      <c r="AU70" s="2">
        <v>109</v>
      </c>
      <c r="AV70" s="2">
        <v>11244</v>
      </c>
      <c r="AW70" s="2">
        <v>9428</v>
      </c>
      <c r="AX70" s="2">
        <v>5905</v>
      </c>
      <c r="AY70" s="2">
        <v>5924</v>
      </c>
      <c r="AZ70" s="2">
        <v>5624</v>
      </c>
      <c r="BA70" s="2">
        <v>4733</v>
      </c>
      <c r="BB70" s="2">
        <v>3592</v>
      </c>
      <c r="BC70" s="2">
        <v>2790</v>
      </c>
      <c r="BD70" s="2">
        <v>2094</v>
      </c>
      <c r="BE70" s="2">
        <v>1685</v>
      </c>
      <c r="BF70" s="2">
        <v>1573</v>
      </c>
      <c r="BG70" s="2">
        <v>1292</v>
      </c>
      <c r="BH70" s="2">
        <v>831</v>
      </c>
      <c r="BI70" s="2">
        <v>547</v>
      </c>
      <c r="BJ70" s="2">
        <v>391</v>
      </c>
      <c r="BK70" s="2">
        <v>239</v>
      </c>
      <c r="BL70" s="2">
        <v>160</v>
      </c>
    </row>
    <row r="71" spans="1:64">
      <c r="A71" t="s">
        <v>167</v>
      </c>
      <c r="B71" t="s">
        <v>168</v>
      </c>
      <c r="C71" t="s">
        <v>167</v>
      </c>
      <c r="D71" t="s">
        <v>271</v>
      </c>
      <c r="E71" t="s">
        <v>210</v>
      </c>
      <c r="F71" t="s">
        <v>210</v>
      </c>
      <c r="G71" t="s">
        <v>165</v>
      </c>
      <c r="H71" t="s">
        <v>166</v>
      </c>
      <c r="I71" t="s">
        <v>211</v>
      </c>
      <c r="J71" t="s">
        <v>9</v>
      </c>
      <c r="K71" s="3">
        <v>14612</v>
      </c>
      <c r="L71" s="3">
        <v>16650</v>
      </c>
      <c r="M71" s="3">
        <v>31262</v>
      </c>
      <c r="N71" s="2">
        <v>2961</v>
      </c>
      <c r="O71" s="2">
        <v>2485</v>
      </c>
      <c r="P71" s="2">
        <v>1422</v>
      </c>
      <c r="Q71" s="2">
        <v>1391</v>
      </c>
      <c r="R71" s="2">
        <v>1315</v>
      </c>
      <c r="S71" s="2">
        <v>1117</v>
      </c>
      <c r="T71" s="2">
        <v>883</v>
      </c>
      <c r="U71" s="2">
        <v>721</v>
      </c>
      <c r="V71" s="2">
        <v>610</v>
      </c>
      <c r="W71" s="2">
        <v>512</v>
      </c>
      <c r="X71" s="2">
        <v>429</v>
      </c>
      <c r="Y71" s="2">
        <v>327</v>
      </c>
      <c r="Z71" s="2">
        <v>188</v>
      </c>
      <c r="AA71" s="2">
        <v>109</v>
      </c>
      <c r="AB71" s="2">
        <v>73</v>
      </c>
      <c r="AC71" s="2">
        <v>42</v>
      </c>
      <c r="AD71" s="2">
        <v>27</v>
      </c>
      <c r="AE71" s="2">
        <v>3093</v>
      </c>
      <c r="AF71" s="2">
        <v>2592</v>
      </c>
      <c r="AG71" s="2">
        <v>1757</v>
      </c>
      <c r="AH71" s="2">
        <v>1800</v>
      </c>
      <c r="AI71" s="2">
        <v>1714</v>
      </c>
      <c r="AJ71" s="2">
        <v>1431</v>
      </c>
      <c r="AK71" s="2">
        <v>1051</v>
      </c>
      <c r="AL71" s="2">
        <v>782</v>
      </c>
      <c r="AM71" s="2">
        <v>518</v>
      </c>
      <c r="AN71" s="2">
        <v>396</v>
      </c>
      <c r="AO71" s="2">
        <v>418</v>
      </c>
      <c r="AP71" s="2">
        <v>369</v>
      </c>
      <c r="AQ71" s="2">
        <v>259</v>
      </c>
      <c r="AR71" s="2">
        <v>186</v>
      </c>
      <c r="AS71" s="2">
        <v>138</v>
      </c>
      <c r="AT71" s="2">
        <v>87</v>
      </c>
      <c r="AU71" s="2">
        <v>59</v>
      </c>
      <c r="AV71" s="2">
        <v>6054</v>
      </c>
      <c r="AW71" s="2">
        <v>5076</v>
      </c>
      <c r="AX71" s="2">
        <v>3179</v>
      </c>
      <c r="AY71" s="2">
        <v>3190</v>
      </c>
      <c r="AZ71" s="2">
        <v>3029</v>
      </c>
      <c r="BA71" s="2">
        <v>2548</v>
      </c>
      <c r="BB71" s="2">
        <v>1934</v>
      </c>
      <c r="BC71" s="2">
        <v>1503</v>
      </c>
      <c r="BD71" s="2">
        <v>1128</v>
      </c>
      <c r="BE71" s="2">
        <v>908</v>
      </c>
      <c r="BF71" s="2">
        <v>847</v>
      </c>
      <c r="BG71" s="2">
        <v>695</v>
      </c>
      <c r="BH71" s="2">
        <v>447</v>
      </c>
      <c r="BI71" s="2">
        <v>295</v>
      </c>
      <c r="BJ71" s="2">
        <v>211</v>
      </c>
      <c r="BK71" s="2">
        <v>129</v>
      </c>
      <c r="BL71" s="2">
        <v>86</v>
      </c>
    </row>
    <row r="72" spans="1:64">
      <c r="K72" s="3">
        <f>SUBTOTAL(109,Table1[F])</f>
        <v>8224625</v>
      </c>
      <c r="L72" s="3">
        <f>SUBTOTAL(109,Table1[M])</f>
        <v>8120226</v>
      </c>
      <c r="M72" s="3">
        <f>SUBTOTAL(109,Table1[T])</f>
        <v>16344851</v>
      </c>
      <c r="N72" s="3">
        <f>SUBTOTAL(109,Table1[F_00_04])</f>
        <v>1558039</v>
      </c>
      <c r="O72" s="3">
        <f>SUBTOTAL(109,Table1[F_05_09])</f>
        <v>1280437</v>
      </c>
      <c r="P72" s="3">
        <f>SUBTOTAL(109,Table1[F_10_14])</f>
        <v>1150305</v>
      </c>
      <c r="Q72" s="3">
        <f>SUBTOTAL(109,Table1[F_15_19])</f>
        <v>960251</v>
      </c>
      <c r="R72" s="3">
        <f>SUBTOTAL(109,Table1[F_20_24])</f>
        <v>684656</v>
      </c>
      <c r="S72" s="3">
        <f>SUBTOTAL(109,Table1[F_25_29])</f>
        <v>530734</v>
      </c>
      <c r="T72" s="3">
        <f>SUBTOTAL(109,Table1[F_30_34])</f>
        <v>471330</v>
      </c>
      <c r="U72" s="3">
        <f>SUBTOTAL(109,Table1[F_35_39])</f>
        <v>400042</v>
      </c>
      <c r="V72" s="3">
        <f>SUBTOTAL(109,Table1[F_40_44])</f>
        <v>317515</v>
      </c>
      <c r="W72" s="3">
        <f>SUBTOTAL(109,Table1[F_45_49])</f>
        <v>253308</v>
      </c>
      <c r="X72" s="3">
        <f>SUBTOTAL(109,Table1[F_50_54])</f>
        <v>192846</v>
      </c>
      <c r="Y72" s="3">
        <f>SUBTOTAL(109,Table1[F_55_59])</f>
        <v>144048</v>
      </c>
      <c r="Z72" s="3">
        <f>SUBTOTAL(109,Table1[F_60_64])</f>
        <v>101435</v>
      </c>
      <c r="AA72" s="3">
        <f>SUBTOTAL(109,Table1[F_65_69])</f>
        <v>70897</v>
      </c>
      <c r="AB72" s="3">
        <f>SUBTOTAL(109,Table1[F_70_74])</f>
        <v>49852</v>
      </c>
      <c r="AC72" s="3">
        <f>SUBTOTAL(109,Table1[F_75_79])</f>
        <v>31308</v>
      </c>
      <c r="AD72" s="3">
        <f>SUBTOTAL(109,Table1[F_80plus])</f>
        <v>27622</v>
      </c>
      <c r="AE72" s="3">
        <f>SUBTOTAL(109,Table1[M_00_04])</f>
        <v>1632830</v>
      </c>
      <c r="AF72" s="3">
        <f>SUBTOTAL(109,Table1[M_05_09])</f>
        <v>1327842</v>
      </c>
      <c r="AG72" s="3">
        <f>SUBTOTAL(109,Table1[M_10_14])</f>
        <v>1175247</v>
      </c>
      <c r="AH72" s="3">
        <f>SUBTOTAL(109,Table1[M_15_19])</f>
        <v>988816</v>
      </c>
      <c r="AI72" s="3">
        <f>SUBTOTAL(109,Table1[M_20_24])</f>
        <v>707351</v>
      </c>
      <c r="AJ72" s="3">
        <f>SUBTOTAL(109,Table1[M_25_29])</f>
        <v>519878</v>
      </c>
      <c r="AK72" s="3">
        <f>SUBTOTAL(109,Table1[M_30_34])</f>
        <v>369611</v>
      </c>
      <c r="AL72" s="3">
        <f>SUBTOTAL(109,Table1[M_35_39])</f>
        <v>284832</v>
      </c>
      <c r="AM72" s="3">
        <f>SUBTOTAL(109,Table1[M_40_44])</f>
        <v>250149</v>
      </c>
      <c r="AN72" s="3">
        <f>SUBTOTAL(109,Table1[M_45_49])</f>
        <v>216528</v>
      </c>
      <c r="AO72" s="3">
        <f>SUBTOTAL(109,Table1[M_50_54])</f>
        <v>186154</v>
      </c>
      <c r="AP72" s="3">
        <f>SUBTOTAL(109,Table1[M_55_59])</f>
        <v>151776</v>
      </c>
      <c r="AQ72" s="3">
        <f>SUBTOTAL(109,Table1[M_60_64])</f>
        <v>110983</v>
      </c>
      <c r="AR72" s="3">
        <f>SUBTOTAL(109,Table1[M_65_69])</f>
        <v>79986</v>
      </c>
      <c r="AS72" s="3">
        <f>SUBTOTAL(109,Table1[M_70_74])</f>
        <v>54372</v>
      </c>
      <c r="AT72" s="3">
        <f>SUBTOTAL(109,Table1[M_75_79])</f>
        <v>33492</v>
      </c>
      <c r="AU72" s="3">
        <f>SUBTOTAL(109,Table1[M_80plus])</f>
        <v>30379</v>
      </c>
      <c r="AV72" s="3">
        <f>SUBTOTAL(109,Table1[T_00_04])</f>
        <v>3188330</v>
      </c>
      <c r="AW72" s="3">
        <f>SUBTOTAL(109,Table1[T_05_09])</f>
        <v>2618133</v>
      </c>
      <c r="AX72" s="3">
        <f>SUBTOTAL(109,Table1[T_10_14])</f>
        <v>2323919</v>
      </c>
      <c r="AY72" s="3">
        <f>SUBTOTAL(109,Table1[T_15_19])</f>
        <v>1947614</v>
      </c>
      <c r="AZ72" s="3">
        <f>SUBTOTAL(109,Table1[T_20_24])</f>
        <v>1390937</v>
      </c>
      <c r="BA72" s="3">
        <f>SUBTOTAL(109,Table1[T_25_29])</f>
        <v>1049847</v>
      </c>
      <c r="BB72" s="3">
        <f>SUBTOTAL(109,Table1[T_30_34])</f>
        <v>840454</v>
      </c>
      <c r="BC72" s="3">
        <f>SUBTOTAL(109,Table1[T_35_39])</f>
        <v>684528</v>
      </c>
      <c r="BD72" s="3">
        <f>SUBTOTAL(109,Table1[T_40_44])</f>
        <v>567333</v>
      </c>
      <c r="BE72" s="3">
        <f>SUBTOTAL(109,Table1[T_45_49])</f>
        <v>469539</v>
      </c>
      <c r="BF72" s="3">
        <f>SUBTOTAL(109,Table1[T_50_54])</f>
        <v>378737</v>
      </c>
      <c r="BG72" s="3">
        <f>SUBTOTAL(109,Table1[T_55_59])</f>
        <v>295604</v>
      </c>
      <c r="BH72" s="3">
        <f>SUBTOTAL(109,Table1[T_60_64])</f>
        <v>212254</v>
      </c>
      <c r="BI72" s="3">
        <f>SUBTOTAL(109,Table1[T_65_69])</f>
        <v>150762</v>
      </c>
      <c r="BJ72" s="3">
        <f>SUBTOTAL(109,Table1[T_70_74])</f>
        <v>104153</v>
      </c>
      <c r="BK72" s="3">
        <f>SUBTOTAL(109,Table1[T_75_79])</f>
        <v>64756</v>
      </c>
      <c r="BL72" s="3">
        <f>SUBTOTAL(109,Table1[T_80plus])</f>
        <v>57957</v>
      </c>
    </row>
  </sheetData>
  <phoneticPr fontId="23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2290-6243-48F9-9EE8-5414DCE0304D}">
  <dimension ref="A3:C27"/>
  <sheetViews>
    <sheetView workbookViewId="0">
      <selection activeCell="A26" sqref="A4:A26"/>
      <pivotSelection pane="bottomRight" showHeader="1" axis="axisRow" activeRow="25" previousRow="25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baseColWidth="10" defaultColWidth="8.83203125" defaultRowHeight="17"/>
  <cols>
    <col min="1" max="1" width="17.6640625" bestFit="1" customWidth="1"/>
    <col min="2" max="2" width="9.5" bestFit="1" customWidth="1"/>
    <col min="3" max="3" width="8.5" bestFit="1" customWidth="1"/>
  </cols>
  <sheetData>
    <row r="3" spans="1:3">
      <c r="A3" s="6" t="s">
        <v>336</v>
      </c>
      <c r="B3" t="s">
        <v>338</v>
      </c>
      <c r="C3" t="s">
        <v>339</v>
      </c>
    </row>
    <row r="4" spans="1:3">
      <c r="A4" s="7" t="s">
        <v>141</v>
      </c>
      <c r="B4">
        <v>200762</v>
      </c>
      <c r="C4">
        <v>183501</v>
      </c>
    </row>
    <row r="5" spans="1:3">
      <c r="A5" s="7" t="s">
        <v>7</v>
      </c>
      <c r="B5">
        <v>348179</v>
      </c>
      <c r="C5">
        <v>361645</v>
      </c>
    </row>
    <row r="6" spans="1:3">
      <c r="A6" s="7" t="s">
        <v>14</v>
      </c>
      <c r="B6">
        <v>74325</v>
      </c>
      <c r="C6">
        <v>67778</v>
      </c>
    </row>
    <row r="7" spans="1:3">
      <c r="A7" s="7" t="s">
        <v>19</v>
      </c>
      <c r="B7">
        <v>433638</v>
      </c>
      <c r="C7">
        <v>435934</v>
      </c>
    </row>
    <row r="8" spans="1:3">
      <c r="A8" s="7" t="s">
        <v>147</v>
      </c>
      <c r="B8">
        <v>86637</v>
      </c>
      <c r="C8">
        <v>76041</v>
      </c>
    </row>
    <row r="9" spans="1:3">
      <c r="A9" s="7" t="s">
        <v>165</v>
      </c>
      <c r="B9">
        <v>48944</v>
      </c>
      <c r="C9">
        <v>42958</v>
      </c>
    </row>
    <row r="10" spans="1:3">
      <c r="A10" s="7" t="s">
        <v>187</v>
      </c>
      <c r="B10">
        <v>320517</v>
      </c>
      <c r="C10">
        <v>333723</v>
      </c>
    </row>
    <row r="11" spans="1:3">
      <c r="A11" s="7" t="s">
        <v>201</v>
      </c>
      <c r="B11">
        <v>424234</v>
      </c>
      <c r="C11">
        <v>421811</v>
      </c>
    </row>
    <row r="12" spans="1:3">
      <c r="A12" s="7" t="s">
        <v>41</v>
      </c>
      <c r="B12">
        <v>253535</v>
      </c>
      <c r="C12">
        <v>259169</v>
      </c>
    </row>
    <row r="13" spans="1:3">
      <c r="A13" s="7" t="s">
        <v>51</v>
      </c>
      <c r="B13">
        <v>331366</v>
      </c>
      <c r="C13">
        <v>325799</v>
      </c>
    </row>
    <row r="14" spans="1:3">
      <c r="A14" s="7" t="s">
        <v>57</v>
      </c>
      <c r="B14">
        <v>525707</v>
      </c>
      <c r="C14">
        <v>536746</v>
      </c>
    </row>
    <row r="15" spans="1:3">
      <c r="A15" s="7" t="s">
        <v>67</v>
      </c>
      <c r="B15">
        <v>591850</v>
      </c>
      <c r="C15">
        <v>602942</v>
      </c>
    </row>
    <row r="16" spans="1:3">
      <c r="A16" s="7" t="s">
        <v>81</v>
      </c>
      <c r="B16">
        <v>473403</v>
      </c>
      <c r="C16">
        <v>481801</v>
      </c>
    </row>
    <row r="17" spans="1:3">
      <c r="A17" s="7" t="s">
        <v>89</v>
      </c>
      <c r="B17">
        <v>578016</v>
      </c>
      <c r="C17">
        <v>601885</v>
      </c>
    </row>
    <row r="18" spans="1:3">
      <c r="A18" s="7" t="s">
        <v>99</v>
      </c>
      <c r="B18">
        <v>429551</v>
      </c>
      <c r="C18">
        <v>440339</v>
      </c>
    </row>
    <row r="19" spans="1:3">
      <c r="A19" s="7" t="s">
        <v>105</v>
      </c>
      <c r="B19">
        <v>452461</v>
      </c>
      <c r="C19">
        <v>450748</v>
      </c>
    </row>
    <row r="20" spans="1:3">
      <c r="A20" s="7" t="s">
        <v>137</v>
      </c>
      <c r="B20">
        <v>817268</v>
      </c>
      <c r="C20">
        <v>821121</v>
      </c>
    </row>
    <row r="21" spans="1:3">
      <c r="A21" s="7" t="s">
        <v>202</v>
      </c>
      <c r="B21">
        <v>542143</v>
      </c>
      <c r="C21">
        <v>557777</v>
      </c>
    </row>
    <row r="22" spans="1:3">
      <c r="A22" s="7" t="s">
        <v>118</v>
      </c>
      <c r="B22">
        <v>229109</v>
      </c>
      <c r="C22">
        <v>234442</v>
      </c>
    </row>
    <row r="23" spans="1:3">
      <c r="A23" s="7" t="s">
        <v>153</v>
      </c>
      <c r="B23">
        <v>290239</v>
      </c>
      <c r="C23">
        <v>289809</v>
      </c>
    </row>
    <row r="24" spans="1:3">
      <c r="A24" s="7" t="s">
        <v>203</v>
      </c>
      <c r="B24">
        <v>501636</v>
      </c>
      <c r="C24">
        <v>523425</v>
      </c>
    </row>
    <row r="25" spans="1:3">
      <c r="A25" s="7" t="s">
        <v>159</v>
      </c>
      <c r="B25">
        <v>20340</v>
      </c>
      <c r="C25">
        <v>18537</v>
      </c>
    </row>
    <row r="26" spans="1:3">
      <c r="A26" s="7" t="s">
        <v>129</v>
      </c>
      <c r="B26">
        <v>381624</v>
      </c>
      <c r="C26">
        <v>394976</v>
      </c>
    </row>
    <row r="27" spans="1:3">
      <c r="A27" s="7" t="s">
        <v>337</v>
      </c>
      <c r="B27">
        <v>8355484</v>
      </c>
      <c r="C27">
        <v>8462907</v>
      </c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C7D7-69EE-41AC-A7EB-D4186656A9AE}">
  <dimension ref="A3:AI27"/>
  <sheetViews>
    <sheetView topLeftCell="Z23" workbookViewId="0">
      <selection activeCell="A3" sqref="A3:AI26"/>
    </sheetView>
  </sheetViews>
  <sheetFormatPr baseColWidth="10" defaultColWidth="8.83203125" defaultRowHeight="17"/>
  <cols>
    <col min="1" max="1" width="17.6640625" bestFit="1" customWidth="1"/>
    <col min="2" max="17" width="14.6640625" bestFit="1" customWidth="1"/>
    <col min="18" max="34" width="15.5" bestFit="1" customWidth="1"/>
    <col min="35" max="35" width="16.33203125" bestFit="1" customWidth="1"/>
  </cols>
  <sheetData>
    <row r="3" spans="1:35">
      <c r="A3" s="6" t="s">
        <v>336</v>
      </c>
      <c r="B3" t="s">
        <v>340</v>
      </c>
      <c r="C3" t="s">
        <v>341</v>
      </c>
      <c r="D3" t="s">
        <v>342</v>
      </c>
      <c r="E3" t="s">
        <v>343</v>
      </c>
      <c r="F3" t="s">
        <v>344</v>
      </c>
      <c r="G3" t="s">
        <v>345</v>
      </c>
      <c r="H3" t="s">
        <v>346</v>
      </c>
      <c r="I3" t="s">
        <v>347</v>
      </c>
      <c r="J3" t="s">
        <v>348</v>
      </c>
      <c r="K3" t="s">
        <v>349</v>
      </c>
      <c r="L3" t="s">
        <v>350</v>
      </c>
      <c r="M3" t="s">
        <v>351</v>
      </c>
      <c r="N3" t="s">
        <v>352</v>
      </c>
      <c r="O3" t="s">
        <v>353</v>
      </c>
      <c r="P3" t="s">
        <v>354</v>
      </c>
      <c r="Q3" t="s">
        <v>355</v>
      </c>
      <c r="R3" t="s">
        <v>356</v>
      </c>
      <c r="S3" t="s">
        <v>357</v>
      </c>
      <c r="T3" t="s">
        <v>358</v>
      </c>
      <c r="U3" t="s">
        <v>359</v>
      </c>
      <c r="V3" t="s">
        <v>360</v>
      </c>
      <c r="W3" t="s">
        <v>361</v>
      </c>
      <c r="X3" t="s">
        <v>362</v>
      </c>
      <c r="Y3" t="s">
        <v>363</v>
      </c>
      <c r="Z3" t="s">
        <v>364</v>
      </c>
      <c r="AA3" t="s">
        <v>365</v>
      </c>
      <c r="AB3" t="s">
        <v>366</v>
      </c>
      <c r="AC3" t="s">
        <v>367</v>
      </c>
      <c r="AD3" t="s">
        <v>368</v>
      </c>
      <c r="AE3" t="s">
        <v>369</v>
      </c>
      <c r="AF3" t="s">
        <v>370</v>
      </c>
      <c r="AG3" t="s">
        <v>371</v>
      </c>
      <c r="AH3" t="s">
        <v>372</v>
      </c>
      <c r="AI3" t="s">
        <v>373</v>
      </c>
    </row>
    <row r="4" spans="1:35">
      <c r="A4" s="7" t="s">
        <v>141</v>
      </c>
      <c r="B4">
        <v>36403</v>
      </c>
      <c r="C4">
        <v>29553</v>
      </c>
      <c r="D4">
        <v>20329</v>
      </c>
      <c r="E4">
        <v>19632</v>
      </c>
      <c r="F4">
        <v>16777</v>
      </c>
      <c r="G4">
        <v>13473</v>
      </c>
      <c r="H4">
        <v>10246</v>
      </c>
      <c r="I4">
        <v>8267</v>
      </c>
      <c r="J4">
        <v>7413</v>
      </c>
      <c r="K4">
        <v>6357</v>
      </c>
      <c r="L4">
        <v>5111</v>
      </c>
      <c r="M4">
        <v>3872</v>
      </c>
      <c r="N4">
        <v>2484</v>
      </c>
      <c r="O4">
        <v>1577</v>
      </c>
      <c r="P4">
        <v>1014</v>
      </c>
      <c r="Q4">
        <v>582</v>
      </c>
      <c r="R4">
        <v>412</v>
      </c>
      <c r="S4">
        <v>38031</v>
      </c>
      <c r="T4">
        <v>30825</v>
      </c>
      <c r="U4">
        <v>24557</v>
      </c>
      <c r="V4">
        <v>24497</v>
      </c>
      <c r="W4">
        <v>20904</v>
      </c>
      <c r="X4">
        <v>16003</v>
      </c>
      <c r="Y4">
        <v>9732</v>
      </c>
      <c r="Z4">
        <v>6571</v>
      </c>
      <c r="AA4">
        <v>5397</v>
      </c>
      <c r="AB4">
        <v>4797</v>
      </c>
      <c r="AC4">
        <v>5081</v>
      </c>
      <c r="AD4">
        <v>4581</v>
      </c>
      <c r="AE4">
        <v>3397</v>
      </c>
      <c r="AF4">
        <v>2517</v>
      </c>
      <c r="AG4">
        <v>1824</v>
      </c>
      <c r="AH4">
        <v>1152</v>
      </c>
      <c r="AI4">
        <v>896</v>
      </c>
    </row>
    <row r="5" spans="1:35">
      <c r="A5" s="7" t="s">
        <v>7</v>
      </c>
      <c r="B5">
        <v>64409</v>
      </c>
      <c r="C5">
        <v>52907</v>
      </c>
      <c r="D5">
        <v>61258</v>
      </c>
      <c r="E5">
        <v>46150</v>
      </c>
      <c r="F5">
        <v>28055</v>
      </c>
      <c r="G5">
        <v>20645</v>
      </c>
      <c r="H5">
        <v>19348</v>
      </c>
      <c r="I5">
        <v>16885</v>
      </c>
      <c r="J5">
        <v>13559</v>
      </c>
      <c r="K5">
        <v>10928</v>
      </c>
      <c r="L5">
        <v>8384</v>
      </c>
      <c r="M5">
        <v>6293</v>
      </c>
      <c r="N5">
        <v>4361</v>
      </c>
      <c r="O5">
        <v>3077</v>
      </c>
      <c r="P5">
        <v>2299</v>
      </c>
      <c r="Q5">
        <v>1530</v>
      </c>
      <c r="R5">
        <v>1561</v>
      </c>
      <c r="S5">
        <v>67288</v>
      </c>
      <c r="T5">
        <v>55185</v>
      </c>
      <c r="U5">
        <v>62726</v>
      </c>
      <c r="V5">
        <v>46805</v>
      </c>
      <c r="W5">
        <v>27692</v>
      </c>
      <c r="X5">
        <v>18509</v>
      </c>
      <c r="Y5">
        <v>12340</v>
      </c>
      <c r="Z5">
        <v>9569</v>
      </c>
      <c r="AA5">
        <v>10066</v>
      </c>
      <c r="AB5">
        <v>9416</v>
      </c>
      <c r="AC5">
        <v>7982</v>
      </c>
      <c r="AD5">
        <v>6482</v>
      </c>
      <c r="AE5">
        <v>4621</v>
      </c>
      <c r="AF5">
        <v>3397</v>
      </c>
      <c r="AG5">
        <v>2636</v>
      </c>
      <c r="AH5">
        <v>1764</v>
      </c>
      <c r="AI5">
        <v>1700</v>
      </c>
    </row>
    <row r="6" spans="1:35">
      <c r="A6" s="7" t="s">
        <v>14</v>
      </c>
      <c r="B6">
        <v>13501</v>
      </c>
      <c r="C6">
        <v>11438</v>
      </c>
      <c r="D6">
        <v>6894</v>
      </c>
      <c r="E6">
        <v>6641</v>
      </c>
      <c r="F6">
        <v>5761</v>
      </c>
      <c r="G6">
        <v>4757</v>
      </c>
      <c r="H6">
        <v>4095</v>
      </c>
      <c r="I6">
        <v>3495</v>
      </c>
      <c r="J6">
        <v>2972</v>
      </c>
      <c r="K6">
        <v>2474</v>
      </c>
      <c r="L6">
        <v>1941</v>
      </c>
      <c r="M6">
        <v>1450</v>
      </c>
      <c r="N6">
        <v>933</v>
      </c>
      <c r="O6">
        <v>602</v>
      </c>
      <c r="P6">
        <v>403</v>
      </c>
      <c r="Q6">
        <v>243</v>
      </c>
      <c r="R6">
        <v>179</v>
      </c>
      <c r="S6">
        <v>14105</v>
      </c>
      <c r="T6">
        <v>11930</v>
      </c>
      <c r="U6">
        <v>8456</v>
      </c>
      <c r="V6">
        <v>8130</v>
      </c>
      <c r="W6">
        <v>6792</v>
      </c>
      <c r="X6">
        <v>5387</v>
      </c>
      <c r="Y6">
        <v>4224</v>
      </c>
      <c r="Z6">
        <v>3361</v>
      </c>
      <c r="AA6">
        <v>2514</v>
      </c>
      <c r="AB6">
        <v>2083</v>
      </c>
      <c r="AC6">
        <v>2111</v>
      </c>
      <c r="AD6">
        <v>1829</v>
      </c>
      <c r="AE6">
        <v>1250</v>
      </c>
      <c r="AF6">
        <v>872</v>
      </c>
      <c r="AG6">
        <v>631</v>
      </c>
      <c r="AH6">
        <v>388</v>
      </c>
      <c r="AI6">
        <v>263</v>
      </c>
    </row>
    <row r="7" spans="1:35">
      <c r="A7" s="7" t="s">
        <v>19</v>
      </c>
      <c r="B7">
        <v>83700</v>
      </c>
      <c r="C7">
        <v>67968</v>
      </c>
      <c r="D7">
        <v>58360</v>
      </c>
      <c r="E7">
        <v>51920</v>
      </c>
      <c r="F7">
        <v>37354</v>
      </c>
      <c r="G7">
        <v>28325</v>
      </c>
      <c r="H7">
        <v>25189</v>
      </c>
      <c r="I7">
        <v>21271</v>
      </c>
      <c r="J7">
        <v>16543</v>
      </c>
      <c r="K7">
        <v>13060</v>
      </c>
      <c r="L7">
        <v>10003</v>
      </c>
      <c r="M7">
        <v>7513</v>
      </c>
      <c r="N7">
        <v>5347</v>
      </c>
      <c r="O7">
        <v>3751</v>
      </c>
      <c r="P7">
        <v>2588</v>
      </c>
      <c r="Q7">
        <v>1614</v>
      </c>
      <c r="R7">
        <v>1426</v>
      </c>
      <c r="S7">
        <v>87445</v>
      </c>
      <c r="T7">
        <v>70894</v>
      </c>
      <c r="U7">
        <v>59474</v>
      </c>
      <c r="V7">
        <v>52590</v>
      </c>
      <c r="W7">
        <v>36848</v>
      </c>
      <c r="X7">
        <v>26227</v>
      </c>
      <c r="Y7">
        <v>19290</v>
      </c>
      <c r="Z7">
        <v>15372</v>
      </c>
      <c r="AA7">
        <v>14006</v>
      </c>
      <c r="AB7">
        <v>12387</v>
      </c>
      <c r="AC7">
        <v>10577</v>
      </c>
      <c r="AD7">
        <v>8743</v>
      </c>
      <c r="AE7">
        <v>6790</v>
      </c>
      <c r="AF7">
        <v>5119</v>
      </c>
      <c r="AG7">
        <v>3580</v>
      </c>
      <c r="AH7">
        <v>2258</v>
      </c>
      <c r="AI7">
        <v>2037</v>
      </c>
    </row>
    <row r="8" spans="1:35">
      <c r="A8" s="7" t="s">
        <v>147</v>
      </c>
      <c r="B8">
        <v>15409</v>
      </c>
      <c r="C8">
        <v>12931</v>
      </c>
      <c r="D8">
        <v>7403</v>
      </c>
      <c r="E8">
        <v>7236</v>
      </c>
      <c r="F8">
        <v>6843</v>
      </c>
      <c r="G8">
        <v>5815</v>
      </c>
      <c r="H8">
        <v>4598</v>
      </c>
      <c r="I8">
        <v>3750</v>
      </c>
      <c r="J8">
        <v>3175</v>
      </c>
      <c r="K8">
        <v>2661</v>
      </c>
      <c r="L8">
        <v>2235</v>
      </c>
      <c r="M8">
        <v>1699</v>
      </c>
      <c r="N8">
        <v>979</v>
      </c>
      <c r="O8">
        <v>567</v>
      </c>
      <c r="P8">
        <v>378</v>
      </c>
      <c r="Q8">
        <v>220</v>
      </c>
      <c r="R8">
        <v>141</v>
      </c>
      <c r="S8">
        <v>16098</v>
      </c>
      <c r="T8">
        <v>13487</v>
      </c>
      <c r="U8">
        <v>9144</v>
      </c>
      <c r="V8">
        <v>9366</v>
      </c>
      <c r="W8">
        <v>8919</v>
      </c>
      <c r="X8">
        <v>7446</v>
      </c>
      <c r="Y8">
        <v>5469</v>
      </c>
      <c r="Z8">
        <v>4070</v>
      </c>
      <c r="AA8">
        <v>2693</v>
      </c>
      <c r="AB8">
        <v>2061</v>
      </c>
      <c r="AC8">
        <v>2173</v>
      </c>
      <c r="AD8">
        <v>1920</v>
      </c>
      <c r="AE8">
        <v>1349</v>
      </c>
      <c r="AF8">
        <v>966</v>
      </c>
      <c r="AG8">
        <v>719</v>
      </c>
      <c r="AH8">
        <v>450</v>
      </c>
      <c r="AI8">
        <v>306</v>
      </c>
    </row>
    <row r="9" spans="1:35">
      <c r="A9" s="7" t="s">
        <v>165</v>
      </c>
      <c r="B9">
        <v>8705</v>
      </c>
      <c r="C9">
        <v>7305</v>
      </c>
      <c r="D9">
        <v>4182</v>
      </c>
      <c r="E9">
        <v>4088</v>
      </c>
      <c r="F9">
        <v>3865</v>
      </c>
      <c r="G9">
        <v>3284</v>
      </c>
      <c r="H9">
        <v>2598</v>
      </c>
      <c r="I9">
        <v>2119</v>
      </c>
      <c r="J9">
        <v>1794</v>
      </c>
      <c r="K9">
        <v>1505</v>
      </c>
      <c r="L9">
        <v>1262</v>
      </c>
      <c r="M9">
        <v>960</v>
      </c>
      <c r="N9">
        <v>553</v>
      </c>
      <c r="O9">
        <v>321</v>
      </c>
      <c r="P9">
        <v>214</v>
      </c>
      <c r="Q9">
        <v>124</v>
      </c>
      <c r="R9">
        <v>80</v>
      </c>
      <c r="S9">
        <v>9094</v>
      </c>
      <c r="T9">
        <v>7619</v>
      </c>
      <c r="U9">
        <v>5166</v>
      </c>
      <c r="V9">
        <v>5291</v>
      </c>
      <c r="W9">
        <v>5038</v>
      </c>
      <c r="X9">
        <v>4207</v>
      </c>
      <c r="Y9">
        <v>3089</v>
      </c>
      <c r="Z9">
        <v>2299</v>
      </c>
      <c r="AA9">
        <v>1522</v>
      </c>
      <c r="AB9">
        <v>1164</v>
      </c>
      <c r="AC9">
        <v>1227</v>
      </c>
      <c r="AD9">
        <v>1085</v>
      </c>
      <c r="AE9">
        <v>762</v>
      </c>
      <c r="AF9">
        <v>546</v>
      </c>
      <c r="AG9">
        <v>406</v>
      </c>
      <c r="AH9">
        <v>256</v>
      </c>
      <c r="AI9">
        <v>173</v>
      </c>
    </row>
    <row r="10" spans="1:35">
      <c r="A10" s="7" t="s">
        <v>187</v>
      </c>
      <c r="B10">
        <v>39130</v>
      </c>
      <c r="C10">
        <v>33521</v>
      </c>
      <c r="D10">
        <v>128469</v>
      </c>
      <c r="E10">
        <v>48715</v>
      </c>
      <c r="F10">
        <v>13691</v>
      </c>
      <c r="G10">
        <v>14212</v>
      </c>
      <c r="H10">
        <v>11914</v>
      </c>
      <c r="I10">
        <v>10163</v>
      </c>
      <c r="J10">
        <v>8647</v>
      </c>
      <c r="K10">
        <v>7193</v>
      </c>
      <c r="L10">
        <v>5644</v>
      </c>
      <c r="M10">
        <v>4217</v>
      </c>
      <c r="N10">
        <v>2717</v>
      </c>
      <c r="O10">
        <v>1750</v>
      </c>
      <c r="P10">
        <v>1172</v>
      </c>
      <c r="Q10">
        <v>706</v>
      </c>
      <c r="R10">
        <v>1864</v>
      </c>
      <c r="S10">
        <v>40880</v>
      </c>
      <c r="T10">
        <v>34965</v>
      </c>
      <c r="U10">
        <v>117453</v>
      </c>
      <c r="V10">
        <v>46736</v>
      </c>
      <c r="W10">
        <v>14807</v>
      </c>
      <c r="X10">
        <v>14195</v>
      </c>
      <c r="Y10">
        <v>10878</v>
      </c>
      <c r="Z10">
        <v>8658</v>
      </c>
      <c r="AA10">
        <v>6473</v>
      </c>
      <c r="AB10">
        <v>5360</v>
      </c>
      <c r="AC10">
        <v>5438</v>
      </c>
      <c r="AD10">
        <v>4705</v>
      </c>
      <c r="AE10">
        <v>3218</v>
      </c>
      <c r="AF10">
        <v>2244</v>
      </c>
      <c r="AG10">
        <v>1626</v>
      </c>
      <c r="AH10">
        <v>999</v>
      </c>
      <c r="AI10">
        <v>1878</v>
      </c>
    </row>
    <row r="11" spans="1:35">
      <c r="A11" s="7" t="s">
        <v>201</v>
      </c>
      <c r="B11">
        <v>80381</v>
      </c>
      <c r="C11">
        <v>65709</v>
      </c>
      <c r="D11">
        <v>56097</v>
      </c>
      <c r="E11">
        <v>50948</v>
      </c>
      <c r="F11">
        <v>36301</v>
      </c>
      <c r="G11">
        <v>27129</v>
      </c>
      <c r="H11">
        <v>24338</v>
      </c>
      <c r="I11">
        <v>20641</v>
      </c>
      <c r="J11">
        <v>16110</v>
      </c>
      <c r="K11">
        <v>12721</v>
      </c>
      <c r="L11">
        <v>9643</v>
      </c>
      <c r="M11">
        <v>7209</v>
      </c>
      <c r="N11">
        <v>5143</v>
      </c>
      <c r="O11">
        <v>3644</v>
      </c>
      <c r="P11">
        <v>2572</v>
      </c>
      <c r="Q11">
        <v>1652</v>
      </c>
      <c r="R11">
        <v>1574</v>
      </c>
      <c r="S11">
        <v>83974</v>
      </c>
      <c r="T11">
        <v>68539</v>
      </c>
      <c r="U11">
        <v>57800</v>
      </c>
      <c r="V11">
        <v>52686</v>
      </c>
      <c r="W11">
        <v>37327</v>
      </c>
      <c r="X11">
        <v>26317</v>
      </c>
      <c r="Y11">
        <v>18563</v>
      </c>
      <c r="Z11">
        <v>14524</v>
      </c>
      <c r="AA11">
        <v>13726</v>
      </c>
      <c r="AB11">
        <v>12331</v>
      </c>
      <c r="AC11">
        <v>10546</v>
      </c>
      <c r="AD11">
        <v>8676</v>
      </c>
      <c r="AE11">
        <v>6541</v>
      </c>
      <c r="AF11">
        <v>4881</v>
      </c>
      <c r="AG11">
        <v>3536</v>
      </c>
      <c r="AH11">
        <v>2264</v>
      </c>
      <c r="AI11">
        <v>2005</v>
      </c>
    </row>
    <row r="12" spans="1:35">
      <c r="A12" s="7" t="s">
        <v>41</v>
      </c>
      <c r="B12">
        <v>50821</v>
      </c>
      <c r="C12">
        <v>42030</v>
      </c>
      <c r="D12">
        <v>28395</v>
      </c>
      <c r="E12">
        <v>27142</v>
      </c>
      <c r="F12">
        <v>22725</v>
      </c>
      <c r="G12">
        <v>18239</v>
      </c>
      <c r="H12">
        <v>14661</v>
      </c>
      <c r="I12">
        <v>12215</v>
      </c>
      <c r="J12">
        <v>10974</v>
      </c>
      <c r="K12">
        <v>9345</v>
      </c>
      <c r="L12">
        <v>7118</v>
      </c>
      <c r="M12">
        <v>5340</v>
      </c>
      <c r="N12">
        <v>3798</v>
      </c>
      <c r="O12">
        <v>2642</v>
      </c>
      <c r="P12">
        <v>1778</v>
      </c>
      <c r="Q12">
        <v>1082</v>
      </c>
      <c r="R12">
        <v>864</v>
      </c>
      <c r="S12">
        <v>53095</v>
      </c>
      <c r="T12">
        <v>43839</v>
      </c>
      <c r="U12">
        <v>30669</v>
      </c>
      <c r="V12">
        <v>29491</v>
      </c>
      <c r="W12">
        <v>23628</v>
      </c>
      <c r="X12">
        <v>17283</v>
      </c>
      <c r="Y12">
        <v>10471</v>
      </c>
      <c r="Z12">
        <v>7308</v>
      </c>
      <c r="AA12">
        <v>6923</v>
      </c>
      <c r="AB12">
        <v>6446</v>
      </c>
      <c r="AC12">
        <v>6243</v>
      </c>
      <c r="AD12">
        <v>5485</v>
      </c>
      <c r="AE12">
        <v>4151</v>
      </c>
      <c r="AF12">
        <v>3171</v>
      </c>
      <c r="AG12">
        <v>2489</v>
      </c>
      <c r="AH12">
        <v>1625</v>
      </c>
      <c r="AI12">
        <v>1218</v>
      </c>
    </row>
    <row r="13" spans="1:35">
      <c r="A13" s="7" t="s">
        <v>51</v>
      </c>
      <c r="B13">
        <v>63369</v>
      </c>
      <c r="C13">
        <v>52030</v>
      </c>
      <c r="D13">
        <v>40884</v>
      </c>
      <c r="E13">
        <v>37456</v>
      </c>
      <c r="F13">
        <v>27906</v>
      </c>
      <c r="G13">
        <v>21456</v>
      </c>
      <c r="H13">
        <v>19197</v>
      </c>
      <c r="I13">
        <v>16330</v>
      </c>
      <c r="J13">
        <v>12947</v>
      </c>
      <c r="K13">
        <v>10285</v>
      </c>
      <c r="L13">
        <v>7704</v>
      </c>
      <c r="M13">
        <v>5685</v>
      </c>
      <c r="N13">
        <v>4045</v>
      </c>
      <c r="O13">
        <v>2780</v>
      </c>
      <c r="P13">
        <v>1767</v>
      </c>
      <c r="Q13">
        <v>1044</v>
      </c>
      <c r="R13">
        <v>911</v>
      </c>
      <c r="S13">
        <v>66202</v>
      </c>
      <c r="T13">
        <v>54272</v>
      </c>
      <c r="U13">
        <v>44193</v>
      </c>
      <c r="V13">
        <v>40549</v>
      </c>
      <c r="W13">
        <v>29046</v>
      </c>
      <c r="X13">
        <v>20443</v>
      </c>
      <c r="Y13">
        <v>13961</v>
      </c>
      <c r="Z13">
        <v>10828</v>
      </c>
      <c r="AA13">
        <v>10598</v>
      </c>
      <c r="AB13">
        <v>9795</v>
      </c>
      <c r="AC13">
        <v>8818</v>
      </c>
      <c r="AD13">
        <v>7387</v>
      </c>
      <c r="AE13">
        <v>5407</v>
      </c>
      <c r="AF13">
        <v>3936</v>
      </c>
      <c r="AG13">
        <v>2809</v>
      </c>
      <c r="AH13">
        <v>1747</v>
      </c>
      <c r="AI13">
        <v>1373</v>
      </c>
    </row>
    <row r="14" spans="1:35">
      <c r="A14" s="7" t="s">
        <v>57</v>
      </c>
      <c r="B14">
        <v>103762</v>
      </c>
      <c r="C14">
        <v>85030</v>
      </c>
      <c r="D14">
        <v>71626</v>
      </c>
      <c r="E14">
        <v>60821</v>
      </c>
      <c r="F14">
        <v>45251</v>
      </c>
      <c r="G14">
        <v>35842</v>
      </c>
      <c r="H14">
        <v>32055</v>
      </c>
      <c r="I14">
        <v>26923</v>
      </c>
      <c r="J14">
        <v>19949</v>
      </c>
      <c r="K14">
        <v>15435</v>
      </c>
      <c r="L14">
        <v>12330</v>
      </c>
      <c r="M14">
        <v>9524</v>
      </c>
      <c r="N14">
        <v>6973</v>
      </c>
      <c r="O14">
        <v>4903</v>
      </c>
      <c r="P14">
        <v>3162</v>
      </c>
      <c r="Q14">
        <v>1846</v>
      </c>
      <c r="R14">
        <v>1314</v>
      </c>
      <c r="S14">
        <v>108401</v>
      </c>
      <c r="T14">
        <v>88689</v>
      </c>
      <c r="U14">
        <v>70937</v>
      </c>
      <c r="V14">
        <v>59701</v>
      </c>
      <c r="W14">
        <v>44980</v>
      </c>
      <c r="X14">
        <v>34936</v>
      </c>
      <c r="Y14">
        <v>27832</v>
      </c>
      <c r="Z14">
        <v>22308</v>
      </c>
      <c r="AA14">
        <v>17320</v>
      </c>
      <c r="AB14">
        <v>13794</v>
      </c>
      <c r="AC14">
        <v>11139</v>
      </c>
      <c r="AD14">
        <v>8790</v>
      </c>
      <c r="AE14">
        <v>6774</v>
      </c>
      <c r="AF14">
        <v>4828</v>
      </c>
      <c r="AG14">
        <v>2711</v>
      </c>
      <c r="AH14">
        <v>1437</v>
      </c>
      <c r="AI14">
        <v>1124</v>
      </c>
    </row>
    <row r="15" spans="1:35">
      <c r="A15" s="7" t="s">
        <v>67</v>
      </c>
      <c r="B15">
        <v>114977</v>
      </c>
      <c r="C15">
        <v>94988</v>
      </c>
      <c r="D15">
        <v>83855</v>
      </c>
      <c r="E15">
        <v>71253</v>
      </c>
      <c r="F15">
        <v>49483</v>
      </c>
      <c r="G15">
        <v>37764</v>
      </c>
      <c r="H15">
        <v>35780</v>
      </c>
      <c r="I15">
        <v>30936</v>
      </c>
      <c r="J15">
        <v>23505</v>
      </c>
      <c r="K15">
        <v>18178</v>
      </c>
      <c r="L15">
        <v>13480</v>
      </c>
      <c r="M15">
        <v>9900</v>
      </c>
      <c r="N15">
        <v>7124</v>
      </c>
      <c r="O15">
        <v>4972</v>
      </c>
      <c r="P15">
        <v>3307</v>
      </c>
      <c r="Q15">
        <v>1977</v>
      </c>
      <c r="R15">
        <v>1462</v>
      </c>
      <c r="S15">
        <v>120118</v>
      </c>
      <c r="T15">
        <v>99078</v>
      </c>
      <c r="U15">
        <v>83702</v>
      </c>
      <c r="V15">
        <v>70909</v>
      </c>
      <c r="W15">
        <v>50355</v>
      </c>
      <c r="X15">
        <v>37208</v>
      </c>
      <c r="Y15">
        <v>28715</v>
      </c>
      <c r="Z15">
        <v>23155</v>
      </c>
      <c r="AA15">
        <v>20011</v>
      </c>
      <c r="AB15">
        <v>16813</v>
      </c>
      <c r="AC15">
        <v>13318</v>
      </c>
      <c r="AD15">
        <v>10264</v>
      </c>
      <c r="AE15">
        <v>7406</v>
      </c>
      <c r="AF15">
        <v>5073</v>
      </c>
      <c r="AG15">
        <v>2899</v>
      </c>
      <c r="AH15">
        <v>1556</v>
      </c>
      <c r="AI15">
        <v>1265</v>
      </c>
    </row>
    <row r="16" spans="1:35">
      <c r="A16" s="7" t="s">
        <v>81</v>
      </c>
      <c r="B16">
        <v>90376</v>
      </c>
      <c r="C16">
        <v>75712</v>
      </c>
      <c r="D16">
        <v>64846</v>
      </c>
      <c r="E16">
        <v>57073</v>
      </c>
      <c r="F16">
        <v>38493</v>
      </c>
      <c r="G16">
        <v>28450</v>
      </c>
      <c r="H16">
        <v>28007</v>
      </c>
      <c r="I16">
        <v>24925</v>
      </c>
      <c r="J16">
        <v>19926</v>
      </c>
      <c r="K16">
        <v>15959</v>
      </c>
      <c r="L16">
        <v>11969</v>
      </c>
      <c r="M16">
        <v>8893</v>
      </c>
      <c r="N16">
        <v>6440</v>
      </c>
      <c r="O16">
        <v>4528</v>
      </c>
      <c r="P16">
        <v>3061</v>
      </c>
      <c r="Q16">
        <v>1839</v>
      </c>
      <c r="R16">
        <v>1307</v>
      </c>
      <c r="S16">
        <v>94418</v>
      </c>
      <c r="T16">
        <v>78973</v>
      </c>
      <c r="U16">
        <v>65917</v>
      </c>
      <c r="V16">
        <v>58711</v>
      </c>
      <c r="W16">
        <v>41942</v>
      </c>
      <c r="X16">
        <v>30166</v>
      </c>
      <c r="Y16">
        <v>22266</v>
      </c>
      <c r="Z16">
        <v>17575</v>
      </c>
      <c r="AA16">
        <v>15603</v>
      </c>
      <c r="AB16">
        <v>13344</v>
      </c>
      <c r="AC16">
        <v>10766</v>
      </c>
      <c r="AD16">
        <v>8405</v>
      </c>
      <c r="AE16">
        <v>6075</v>
      </c>
      <c r="AF16">
        <v>4206</v>
      </c>
      <c r="AG16">
        <v>2505</v>
      </c>
      <c r="AH16">
        <v>1396</v>
      </c>
      <c r="AI16">
        <v>1137</v>
      </c>
    </row>
    <row r="17" spans="1:35">
      <c r="A17" s="7" t="s">
        <v>89</v>
      </c>
      <c r="B17">
        <v>116359</v>
      </c>
      <c r="C17">
        <v>93914</v>
      </c>
      <c r="D17">
        <v>75531</v>
      </c>
      <c r="E17">
        <v>68880</v>
      </c>
      <c r="F17">
        <v>52679</v>
      </c>
      <c r="G17">
        <v>40895</v>
      </c>
      <c r="H17">
        <v>34505</v>
      </c>
      <c r="I17">
        <v>28481</v>
      </c>
      <c r="J17">
        <v>22278</v>
      </c>
      <c r="K17">
        <v>17862</v>
      </c>
      <c r="L17">
        <v>14194</v>
      </c>
      <c r="M17">
        <v>11176</v>
      </c>
      <c r="N17">
        <v>8747</v>
      </c>
      <c r="O17">
        <v>6562</v>
      </c>
      <c r="P17">
        <v>4617</v>
      </c>
      <c r="Q17">
        <v>2902</v>
      </c>
      <c r="R17">
        <v>2307</v>
      </c>
      <c r="S17">
        <v>121561</v>
      </c>
      <c r="T17">
        <v>97958</v>
      </c>
      <c r="U17">
        <v>75806</v>
      </c>
      <c r="V17">
        <v>68276</v>
      </c>
      <c r="W17">
        <v>51687</v>
      </c>
      <c r="X17">
        <v>38377</v>
      </c>
      <c r="Y17">
        <v>27506</v>
      </c>
      <c r="Z17">
        <v>20926</v>
      </c>
      <c r="AA17">
        <v>17308</v>
      </c>
      <c r="AB17">
        <v>14426</v>
      </c>
      <c r="AC17">
        <v>12047</v>
      </c>
      <c r="AD17">
        <v>9807</v>
      </c>
      <c r="AE17">
        <v>7577</v>
      </c>
      <c r="AF17">
        <v>5702</v>
      </c>
      <c r="AG17">
        <v>3913</v>
      </c>
      <c r="AH17">
        <v>2534</v>
      </c>
      <c r="AI17">
        <v>2603</v>
      </c>
    </row>
    <row r="18" spans="1:35">
      <c r="A18" s="7" t="s">
        <v>99</v>
      </c>
      <c r="B18">
        <v>86644</v>
      </c>
      <c r="C18">
        <v>69799</v>
      </c>
      <c r="D18">
        <v>56843</v>
      </c>
      <c r="E18">
        <v>50576</v>
      </c>
      <c r="F18">
        <v>38732</v>
      </c>
      <c r="G18">
        <v>30515</v>
      </c>
      <c r="H18">
        <v>26460</v>
      </c>
      <c r="I18">
        <v>21749</v>
      </c>
      <c r="J18">
        <v>15763</v>
      </c>
      <c r="K18">
        <v>11951</v>
      </c>
      <c r="L18">
        <v>9370</v>
      </c>
      <c r="M18">
        <v>7164</v>
      </c>
      <c r="N18">
        <v>5194</v>
      </c>
      <c r="O18">
        <v>3724</v>
      </c>
      <c r="P18">
        <v>2631</v>
      </c>
      <c r="Q18">
        <v>1685</v>
      </c>
      <c r="R18">
        <v>1541</v>
      </c>
      <c r="S18">
        <v>90517</v>
      </c>
      <c r="T18">
        <v>72806</v>
      </c>
      <c r="U18">
        <v>56581</v>
      </c>
      <c r="V18">
        <v>49748</v>
      </c>
      <c r="W18">
        <v>38795</v>
      </c>
      <c r="X18">
        <v>29792</v>
      </c>
      <c r="Y18">
        <v>21645</v>
      </c>
      <c r="Z18">
        <v>16432</v>
      </c>
      <c r="AA18">
        <v>12931</v>
      </c>
      <c r="AB18">
        <v>10444</v>
      </c>
      <c r="AC18">
        <v>8778</v>
      </c>
      <c r="AD18">
        <v>7030</v>
      </c>
      <c r="AE18">
        <v>5115</v>
      </c>
      <c r="AF18">
        <v>3648</v>
      </c>
      <c r="AG18">
        <v>2351</v>
      </c>
      <c r="AH18">
        <v>1449</v>
      </c>
      <c r="AI18">
        <v>1488</v>
      </c>
    </row>
    <row r="19" spans="1:35">
      <c r="A19" s="7" t="s">
        <v>105</v>
      </c>
      <c r="B19">
        <v>87706</v>
      </c>
      <c r="C19">
        <v>72430</v>
      </c>
      <c r="D19">
        <v>57375</v>
      </c>
      <c r="E19">
        <v>50607</v>
      </c>
      <c r="F19">
        <v>38168</v>
      </c>
      <c r="G19">
        <v>30020</v>
      </c>
      <c r="H19">
        <v>26775</v>
      </c>
      <c r="I19">
        <v>22737</v>
      </c>
      <c r="J19">
        <v>17991</v>
      </c>
      <c r="K19">
        <v>14232</v>
      </c>
      <c r="L19">
        <v>10543</v>
      </c>
      <c r="M19">
        <v>7714</v>
      </c>
      <c r="N19">
        <v>5419</v>
      </c>
      <c r="O19">
        <v>3740</v>
      </c>
      <c r="P19">
        <v>2545</v>
      </c>
      <c r="Q19">
        <v>1550</v>
      </c>
      <c r="R19">
        <v>1196</v>
      </c>
      <c r="S19">
        <v>91628</v>
      </c>
      <c r="T19">
        <v>75550</v>
      </c>
      <c r="U19">
        <v>58829</v>
      </c>
      <c r="V19">
        <v>52065</v>
      </c>
      <c r="W19">
        <v>39449</v>
      </c>
      <c r="X19">
        <v>29912</v>
      </c>
      <c r="Y19">
        <v>22757</v>
      </c>
      <c r="Z19">
        <v>18125</v>
      </c>
      <c r="AA19">
        <v>15150</v>
      </c>
      <c r="AB19">
        <v>12801</v>
      </c>
      <c r="AC19">
        <v>11136</v>
      </c>
      <c r="AD19">
        <v>9010</v>
      </c>
      <c r="AE19">
        <v>6371</v>
      </c>
      <c r="AF19">
        <v>4368</v>
      </c>
      <c r="AG19">
        <v>2658</v>
      </c>
      <c r="AH19">
        <v>1489</v>
      </c>
      <c r="AI19">
        <v>1164</v>
      </c>
    </row>
    <row r="20" spans="1:35">
      <c r="A20" s="7" t="s">
        <v>137</v>
      </c>
      <c r="B20">
        <v>158183</v>
      </c>
      <c r="C20">
        <v>129692</v>
      </c>
      <c r="D20">
        <v>106818</v>
      </c>
      <c r="E20">
        <v>95046</v>
      </c>
      <c r="F20">
        <v>69688</v>
      </c>
      <c r="G20">
        <v>53629</v>
      </c>
      <c r="H20">
        <v>48087</v>
      </c>
      <c r="I20">
        <v>40822</v>
      </c>
      <c r="J20">
        <v>31853</v>
      </c>
      <c r="K20">
        <v>25176</v>
      </c>
      <c r="L20">
        <v>19174</v>
      </c>
      <c r="M20">
        <v>14373</v>
      </c>
      <c r="N20">
        <v>10287</v>
      </c>
      <c r="O20">
        <v>7275</v>
      </c>
      <c r="P20">
        <v>5119</v>
      </c>
      <c r="Q20">
        <v>3217</v>
      </c>
      <c r="R20">
        <v>2684</v>
      </c>
      <c r="S20">
        <v>170525</v>
      </c>
      <c r="T20">
        <v>127309</v>
      </c>
      <c r="U20">
        <v>111560</v>
      </c>
      <c r="V20">
        <v>99038</v>
      </c>
      <c r="W20">
        <v>73002</v>
      </c>
      <c r="X20">
        <v>53643</v>
      </c>
      <c r="Y20">
        <v>38895</v>
      </c>
      <c r="Z20">
        <v>30233</v>
      </c>
      <c r="AA20">
        <v>26257</v>
      </c>
      <c r="AB20">
        <v>22436</v>
      </c>
      <c r="AC20">
        <v>18753</v>
      </c>
      <c r="AD20">
        <v>15075</v>
      </c>
      <c r="AE20">
        <v>11146</v>
      </c>
      <c r="AF20">
        <v>8028</v>
      </c>
      <c r="AG20">
        <v>5278</v>
      </c>
      <c r="AH20">
        <v>3203</v>
      </c>
      <c r="AI20">
        <v>2886</v>
      </c>
    </row>
    <row r="21" spans="1:35">
      <c r="A21" s="7" t="s">
        <v>202</v>
      </c>
      <c r="B21">
        <v>107071</v>
      </c>
      <c r="C21">
        <v>89299</v>
      </c>
      <c r="D21">
        <v>70052</v>
      </c>
      <c r="E21">
        <v>63815</v>
      </c>
      <c r="F21">
        <v>46086</v>
      </c>
      <c r="G21">
        <v>35019</v>
      </c>
      <c r="H21">
        <v>32858</v>
      </c>
      <c r="I21">
        <v>28696</v>
      </c>
      <c r="J21">
        <v>23196</v>
      </c>
      <c r="K21">
        <v>18559</v>
      </c>
      <c r="L21">
        <v>13693</v>
      </c>
      <c r="M21">
        <v>9923</v>
      </c>
      <c r="N21">
        <v>6534</v>
      </c>
      <c r="O21">
        <v>4502</v>
      </c>
      <c r="P21">
        <v>3580</v>
      </c>
      <c r="Q21">
        <v>2458</v>
      </c>
      <c r="R21">
        <v>2436</v>
      </c>
      <c r="S21">
        <v>111857</v>
      </c>
      <c r="T21">
        <v>93145</v>
      </c>
      <c r="U21">
        <v>71515</v>
      </c>
      <c r="V21">
        <v>65379</v>
      </c>
      <c r="W21">
        <v>47243</v>
      </c>
      <c r="X21">
        <v>33387</v>
      </c>
      <c r="Y21">
        <v>23179</v>
      </c>
      <c r="Z21">
        <v>18029</v>
      </c>
      <c r="AA21">
        <v>17378</v>
      </c>
      <c r="AB21">
        <v>15675</v>
      </c>
      <c r="AC21">
        <v>13486</v>
      </c>
      <c r="AD21">
        <v>10841</v>
      </c>
      <c r="AE21">
        <v>7248</v>
      </c>
      <c r="AF21">
        <v>5053</v>
      </c>
      <c r="AG21">
        <v>3838</v>
      </c>
      <c r="AH21">
        <v>2527</v>
      </c>
      <c r="AI21">
        <v>2360</v>
      </c>
    </row>
    <row r="22" spans="1:35">
      <c r="A22" s="7" t="s">
        <v>118</v>
      </c>
      <c r="B22">
        <v>45429</v>
      </c>
      <c r="C22">
        <v>37671</v>
      </c>
      <c r="D22">
        <v>30105</v>
      </c>
      <c r="E22">
        <v>26997</v>
      </c>
      <c r="F22">
        <v>19438</v>
      </c>
      <c r="G22">
        <v>14894</v>
      </c>
      <c r="H22">
        <v>14274</v>
      </c>
      <c r="I22">
        <v>12373</v>
      </c>
      <c r="J22">
        <v>9322</v>
      </c>
      <c r="K22">
        <v>7139</v>
      </c>
      <c r="L22">
        <v>5190</v>
      </c>
      <c r="M22">
        <v>3762</v>
      </c>
      <c r="N22">
        <v>2651</v>
      </c>
      <c r="O22">
        <v>1894</v>
      </c>
      <c r="P22">
        <v>1441</v>
      </c>
      <c r="Q22">
        <v>957</v>
      </c>
      <c r="R22">
        <v>903</v>
      </c>
      <c r="S22">
        <v>47461</v>
      </c>
      <c r="T22">
        <v>39296</v>
      </c>
      <c r="U22">
        <v>31648</v>
      </c>
      <c r="V22">
        <v>28477</v>
      </c>
      <c r="W22">
        <v>19869</v>
      </c>
      <c r="X22">
        <v>13754</v>
      </c>
      <c r="Y22">
        <v>9588</v>
      </c>
      <c r="Z22">
        <v>7422</v>
      </c>
      <c r="AA22">
        <v>7033</v>
      </c>
      <c r="AB22">
        <v>6274</v>
      </c>
      <c r="AC22">
        <v>5270</v>
      </c>
      <c r="AD22">
        <v>4241</v>
      </c>
      <c r="AE22">
        <v>3039</v>
      </c>
      <c r="AF22">
        <v>2195</v>
      </c>
      <c r="AG22">
        <v>1589</v>
      </c>
      <c r="AH22">
        <v>1017</v>
      </c>
      <c r="AI22">
        <v>936</v>
      </c>
    </row>
    <row r="23" spans="1:35">
      <c r="A23" s="7" t="s">
        <v>153</v>
      </c>
      <c r="B23">
        <v>54439</v>
      </c>
      <c r="C23">
        <v>44726</v>
      </c>
      <c r="D23">
        <v>38377</v>
      </c>
      <c r="E23">
        <v>36667</v>
      </c>
      <c r="F23">
        <v>25709</v>
      </c>
      <c r="G23">
        <v>18428</v>
      </c>
      <c r="H23">
        <v>15757</v>
      </c>
      <c r="I23">
        <v>13417</v>
      </c>
      <c r="J23">
        <v>11920</v>
      </c>
      <c r="K23">
        <v>9894</v>
      </c>
      <c r="L23">
        <v>6930</v>
      </c>
      <c r="M23">
        <v>4807</v>
      </c>
      <c r="N23">
        <v>3025</v>
      </c>
      <c r="O23">
        <v>2004</v>
      </c>
      <c r="P23">
        <v>1639</v>
      </c>
      <c r="Q23">
        <v>1108</v>
      </c>
      <c r="R23">
        <v>961</v>
      </c>
      <c r="S23">
        <v>56873</v>
      </c>
      <c r="T23">
        <v>46652</v>
      </c>
      <c r="U23">
        <v>44197</v>
      </c>
      <c r="V23">
        <v>40240</v>
      </c>
      <c r="W23">
        <v>26908</v>
      </c>
      <c r="X23">
        <v>17603</v>
      </c>
      <c r="Y23">
        <v>10409</v>
      </c>
      <c r="Z23">
        <v>7439</v>
      </c>
      <c r="AA23">
        <v>8364</v>
      </c>
      <c r="AB23">
        <v>8082</v>
      </c>
      <c r="AC23">
        <v>7238</v>
      </c>
      <c r="AD23">
        <v>5899</v>
      </c>
      <c r="AE23">
        <v>3830</v>
      </c>
      <c r="AF23">
        <v>2562</v>
      </c>
      <c r="AG23">
        <v>1827</v>
      </c>
      <c r="AH23">
        <v>1144</v>
      </c>
      <c r="AI23">
        <v>972</v>
      </c>
    </row>
    <row r="24" spans="1:35">
      <c r="A24" s="7" t="s">
        <v>203</v>
      </c>
      <c r="B24">
        <v>101536</v>
      </c>
      <c r="C24">
        <v>82965</v>
      </c>
      <c r="D24">
        <v>66526</v>
      </c>
      <c r="E24">
        <v>59087</v>
      </c>
      <c r="F24">
        <v>45088</v>
      </c>
      <c r="G24">
        <v>35420</v>
      </c>
      <c r="H24">
        <v>30437</v>
      </c>
      <c r="I24">
        <v>25439</v>
      </c>
      <c r="J24">
        <v>20240</v>
      </c>
      <c r="K24">
        <v>16207</v>
      </c>
      <c r="L24">
        <v>12457</v>
      </c>
      <c r="M24">
        <v>9415</v>
      </c>
      <c r="N24">
        <v>6801</v>
      </c>
      <c r="O24">
        <v>4825</v>
      </c>
      <c r="P24">
        <v>3391</v>
      </c>
      <c r="Q24">
        <v>2090</v>
      </c>
      <c r="R24">
        <v>1502</v>
      </c>
      <c r="S24">
        <v>106076</v>
      </c>
      <c r="T24">
        <v>86537</v>
      </c>
      <c r="U24">
        <v>66764</v>
      </c>
      <c r="V24">
        <v>59013</v>
      </c>
      <c r="W24">
        <v>45378</v>
      </c>
      <c r="X24">
        <v>33964</v>
      </c>
      <c r="Y24">
        <v>23120</v>
      </c>
      <c r="Z24">
        <v>17145</v>
      </c>
      <c r="AA24">
        <v>14814</v>
      </c>
      <c r="AB24">
        <v>12588</v>
      </c>
      <c r="AC24">
        <v>10402</v>
      </c>
      <c r="AD24">
        <v>8400</v>
      </c>
      <c r="AE24">
        <v>6562</v>
      </c>
      <c r="AF24">
        <v>4806</v>
      </c>
      <c r="AG24">
        <v>2958</v>
      </c>
      <c r="AH24">
        <v>1695</v>
      </c>
      <c r="AI24">
        <v>1409</v>
      </c>
    </row>
    <row r="25" spans="1:35">
      <c r="A25" s="7" t="s">
        <v>159</v>
      </c>
      <c r="B25">
        <v>3785</v>
      </c>
      <c r="C25">
        <v>3184</v>
      </c>
      <c r="D25">
        <v>1747</v>
      </c>
      <c r="E25">
        <v>1640</v>
      </c>
      <c r="F25">
        <v>1631</v>
      </c>
      <c r="G25">
        <v>1436</v>
      </c>
      <c r="H25">
        <v>1140</v>
      </c>
      <c r="I25">
        <v>930</v>
      </c>
      <c r="J25">
        <v>781</v>
      </c>
      <c r="K25">
        <v>649</v>
      </c>
      <c r="L25">
        <v>514</v>
      </c>
      <c r="M25">
        <v>394</v>
      </c>
      <c r="N25">
        <v>289</v>
      </c>
      <c r="O25">
        <v>195</v>
      </c>
      <c r="P25">
        <v>106</v>
      </c>
      <c r="Q25">
        <v>59</v>
      </c>
      <c r="R25">
        <v>57</v>
      </c>
      <c r="S25">
        <v>3955</v>
      </c>
      <c r="T25">
        <v>3321</v>
      </c>
      <c r="U25">
        <v>2162</v>
      </c>
      <c r="V25">
        <v>2007</v>
      </c>
      <c r="W25">
        <v>1817</v>
      </c>
      <c r="X25">
        <v>1520</v>
      </c>
      <c r="Y25">
        <v>1155</v>
      </c>
      <c r="Z25">
        <v>917</v>
      </c>
      <c r="AA25">
        <v>719</v>
      </c>
      <c r="AB25">
        <v>614</v>
      </c>
      <c r="AC25">
        <v>624</v>
      </c>
      <c r="AD25">
        <v>540</v>
      </c>
      <c r="AE25">
        <v>356</v>
      </c>
      <c r="AF25">
        <v>245</v>
      </c>
      <c r="AG25">
        <v>179</v>
      </c>
      <c r="AH25">
        <v>114</v>
      </c>
      <c r="AI25">
        <v>98</v>
      </c>
    </row>
    <row r="26" spans="1:35">
      <c r="A26" s="7" t="s">
        <v>129</v>
      </c>
      <c r="B26">
        <v>77086</v>
      </c>
      <c r="C26">
        <v>62736</v>
      </c>
      <c r="D26">
        <v>47659</v>
      </c>
      <c r="E26">
        <v>45684</v>
      </c>
      <c r="F26">
        <v>34768</v>
      </c>
      <c r="G26">
        <v>26468</v>
      </c>
      <c r="H26">
        <v>22664</v>
      </c>
      <c r="I26">
        <v>19068</v>
      </c>
      <c r="J26">
        <v>15859</v>
      </c>
      <c r="K26">
        <v>12880</v>
      </c>
      <c r="L26">
        <v>9544</v>
      </c>
      <c r="M26">
        <v>6938</v>
      </c>
      <c r="N26">
        <v>4528</v>
      </c>
      <c r="O26">
        <v>3110</v>
      </c>
      <c r="P26">
        <v>2510</v>
      </c>
      <c r="Q26">
        <v>1732</v>
      </c>
      <c r="R26">
        <v>1740</v>
      </c>
      <c r="S26">
        <v>80531</v>
      </c>
      <c r="T26">
        <v>65440</v>
      </c>
      <c r="U26">
        <v>50043</v>
      </c>
      <c r="V26">
        <v>47762</v>
      </c>
      <c r="W26">
        <v>35420</v>
      </c>
      <c r="X26">
        <v>24657</v>
      </c>
      <c r="Y26">
        <v>15234</v>
      </c>
      <c r="Z26">
        <v>10813</v>
      </c>
      <c r="AA26">
        <v>10589</v>
      </c>
      <c r="AB26">
        <v>9671</v>
      </c>
      <c r="AC26">
        <v>8395</v>
      </c>
      <c r="AD26">
        <v>6974</v>
      </c>
      <c r="AE26">
        <v>5214</v>
      </c>
      <c r="AF26">
        <v>3935</v>
      </c>
      <c r="AG26">
        <v>2986</v>
      </c>
      <c r="AH26">
        <v>1995</v>
      </c>
      <c r="AI26">
        <v>1965</v>
      </c>
    </row>
    <row r="27" spans="1:35">
      <c r="A27" s="7" t="s">
        <v>337</v>
      </c>
      <c r="B27">
        <v>1603181</v>
      </c>
      <c r="C27">
        <v>1317538</v>
      </c>
      <c r="D27">
        <v>1183631</v>
      </c>
      <c r="E27">
        <v>988074</v>
      </c>
      <c r="F27">
        <v>704492</v>
      </c>
      <c r="G27">
        <v>546115</v>
      </c>
      <c r="H27">
        <v>484983</v>
      </c>
      <c r="I27">
        <v>411632</v>
      </c>
      <c r="J27">
        <v>326717</v>
      </c>
      <c r="K27">
        <v>260650</v>
      </c>
      <c r="L27">
        <v>198433</v>
      </c>
      <c r="M27">
        <v>148221</v>
      </c>
      <c r="N27">
        <v>104372</v>
      </c>
      <c r="O27">
        <v>72945</v>
      </c>
      <c r="P27">
        <v>51294</v>
      </c>
      <c r="Q27">
        <v>32217</v>
      </c>
      <c r="R27">
        <v>28422</v>
      </c>
      <c r="S27">
        <v>1680133</v>
      </c>
      <c r="T27">
        <v>1366309</v>
      </c>
      <c r="U27">
        <v>1209299</v>
      </c>
      <c r="V27">
        <v>1017467</v>
      </c>
      <c r="W27">
        <v>727846</v>
      </c>
      <c r="X27">
        <v>534936</v>
      </c>
      <c r="Y27">
        <v>380318</v>
      </c>
      <c r="Z27">
        <v>293079</v>
      </c>
      <c r="AA27">
        <v>257395</v>
      </c>
      <c r="AB27">
        <v>222802</v>
      </c>
      <c r="AC27">
        <v>191548</v>
      </c>
      <c r="AD27">
        <v>156169</v>
      </c>
      <c r="AE27">
        <v>114199</v>
      </c>
      <c r="AF27">
        <v>82298</v>
      </c>
      <c r="AG27">
        <v>55948</v>
      </c>
      <c r="AH27">
        <v>34459</v>
      </c>
      <c r="AI27">
        <v>31256</v>
      </c>
    </row>
  </sheetData>
  <phoneticPr fontId="2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72FE39E13E742976E9C59B6B41BAA" ma:contentTypeVersion="10" ma:contentTypeDescription="Crée un document." ma:contentTypeScope="" ma:versionID="2122288e9fdfcdae18f12c06a5d6a1a7">
  <xsd:schema xmlns:xsd="http://www.w3.org/2001/XMLSchema" xmlns:xs="http://www.w3.org/2001/XMLSchema" xmlns:p="http://schemas.microsoft.com/office/2006/metadata/properties" xmlns:ns2="6cde2714-8169-4028-90b7-3bbab0f678f9" xmlns:ns3="741e3717-621b-44d1-9f13-cee523b329f7" targetNamespace="http://schemas.microsoft.com/office/2006/metadata/properties" ma:root="true" ma:fieldsID="949d536588a6cc6c0355bc743b621c8c" ns2:_="" ns3:_="">
    <xsd:import namespace="6cde2714-8169-4028-90b7-3bbab0f678f9"/>
    <xsd:import namespace="741e3717-621b-44d1-9f13-cee523b32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e2714-8169-4028-90b7-3bbab0f67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e3717-621b-44d1-9f13-cee523b329f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D4D1D603-0C34-4B4C-ADDB-12FCDBE89360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741e3717-621b-44d1-9f13-cee523b329f7"/>
    <ds:schemaRef ds:uri="6cde2714-8169-4028-90b7-3bbab0f678f9"/>
  </ds:schemaRefs>
</ds:datastoreItem>
</file>

<file path=customXml/itemProps2.xml><?xml version="1.0" encoding="utf-8"?>
<ds:datastoreItem xmlns:ds="http://schemas.openxmlformats.org/officeDocument/2006/customXml" ds:itemID="{F219E9FE-C41D-4A16-8A95-20614D3B87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de2714-8169-4028-90b7-3bbab0f678f9"/>
    <ds:schemaRef ds:uri="741e3717-621b-44d1-9f13-cee523b32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559D51-E00E-49E7-B4B4-4C0677E3909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9B7584-D7C3-4A5F-A79C-5CA2DD3E95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tcd_admpop_adm1_2021</vt:lpstr>
      <vt:lpstr>tcd_admpop_2019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 Galinier</dc:creator>
  <cp:lastModifiedBy>lsv2010@naver.com</cp:lastModifiedBy>
  <dcterms:created xsi:type="dcterms:W3CDTF">2016-06-19T15:58:22Z</dcterms:created>
  <dcterms:modified xsi:type="dcterms:W3CDTF">2025-10-14T20:00:12Z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100</vt:r8>
  </property>
  <property fmtid="{D5CDD505-2E9C-101B-9397-08002B2CF9AE}" pid="3" name="ContentTypeId">
    <vt:lpwstr>0x010100D8572FE39E13E742976E9C59B6B41BAA</vt:lpwstr>
  </property>
</Properties>
</file>