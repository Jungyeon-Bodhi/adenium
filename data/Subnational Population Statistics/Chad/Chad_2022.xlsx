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comments2.xml" ContentType="application/vnd.openxmlformats-officedocument.spreadsheetml.comments+xml"/>
  <Override PartName="/xl/tables/table3.xml" ContentType="application/vnd.openxmlformats-officedocument.spreadsheetml.table+xml"/>
  <Override PartName="/xl/comments3.xml" ContentType="application/vnd.openxmlformats-officedocument.spreadsheetml.comments+xml"/>
  <Override PartName="/xl/tables/table4.xml" ContentType="application/vnd.openxmlformats-officedocument.spreadsheetml.table+xml"/>
  <Override PartName="/xl/comments4.xml" ContentType="application/vnd.openxmlformats-officedocument.spreadsheetml.comments+xml"/>
  <Override PartName="/xl/tables/table5.xml" ContentType="application/vnd.openxmlformats-officedocument.spreadsheetml.table+xml"/>
  <Override PartName="/xl/comments5.xml" ContentType="application/vnd.openxmlformats-officedocument.spreadsheetml.comments+xml"/>
  <Override PartName="/xl/tables/table6.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931"/>
  <workbookPr defaultThemeVersion="124226"/>
  <mc:AlternateContent xmlns:mc="http://schemas.openxmlformats.org/markup-compatibility/2006">
    <mc:Choice Requires="x15">
      <x15ac:absPath xmlns:x15ac="http://schemas.microsoft.com/office/spreadsheetml/2010/11/ac" url="C:\Users\LENOVO T46OS\Downloads\"/>
    </mc:Choice>
  </mc:AlternateContent>
  <xr:revisionPtr revIDLastSave="0" documentId="13_ncr:1_{A7117A10-28B6-42C9-AF3D-2D7CBE0BF018}" xr6:coauthVersionLast="47" xr6:coauthVersionMax="47" xr10:uidLastSave="{00000000-0000-0000-0000-000000000000}"/>
  <bookViews>
    <workbookView xWindow="-110" yWindow="-110" windowWidth="19420" windowHeight="10420" firstSheet="2" activeTab="5" xr2:uid="{00000000-000D-0000-FFFF-FFFF00000000}"/>
  </bookViews>
  <sheets>
    <sheet name="Pop_2022_2023" sheetId="7" r:id="rId1"/>
    <sheet name="ProjPop20_21_22_23admin2" sheetId="1" r:id="rId2"/>
    <sheet name="Calcul_projPop21_22_23admin2" sheetId="5" r:id="rId3"/>
    <sheet name="ProjPop21_22_23_admin2" sheetId="6" r:id="rId4"/>
    <sheet name="ProjPop20_21_22_23_admin1" sheetId="2" r:id="rId5"/>
    <sheet name="ProjPop2020_admin1_GroupesAge" sheetId="3" r:id="rId6"/>
    <sheet name="Admin1_Ndjam" sheetId="10" r:id="rId7"/>
    <sheet name="ProjPop2021_admin1_GroupesAge" sheetId="4" r:id="rId8"/>
    <sheet name="ProjPop2023_admin1_Grpe age" sheetId="9" r:id="rId9"/>
    <sheet name="Pop_2023_âge" sheetId="11" r:id="rId10"/>
  </sheets>
  <externalReferences>
    <externalReference r:id="rId11"/>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00" i="11" l="1"/>
  <c r="E99" i="11"/>
  <c r="D98" i="11"/>
  <c r="C98" i="11"/>
  <c r="B98" i="11"/>
  <c r="E97" i="11"/>
  <c r="E96" i="11"/>
  <c r="E95" i="11"/>
  <c r="E94" i="11"/>
  <c r="E93" i="11"/>
  <c r="E98" i="11" s="1"/>
  <c r="D92" i="11"/>
  <c r="C92" i="11"/>
  <c r="B92" i="11"/>
  <c r="E91" i="11"/>
  <c r="E90" i="11"/>
  <c r="E89" i="11"/>
  <c r="E88" i="11"/>
  <c r="E87" i="11"/>
  <c r="D86" i="11"/>
  <c r="C86" i="11"/>
  <c r="B86" i="11"/>
  <c r="E85" i="11"/>
  <c r="E84" i="11"/>
  <c r="E83" i="11"/>
  <c r="E82" i="11"/>
  <c r="E81" i="11"/>
  <c r="D80" i="11"/>
  <c r="C80" i="11"/>
  <c r="B80" i="11"/>
  <c r="E79" i="11"/>
  <c r="E78" i="11"/>
  <c r="E77" i="11"/>
  <c r="E76" i="11"/>
  <c r="E75" i="11"/>
  <c r="D74" i="11"/>
  <c r="C74" i="11"/>
  <c r="B74" i="11"/>
  <c r="E73" i="11"/>
  <c r="E72" i="11"/>
  <c r="E71" i="11"/>
  <c r="E70" i="11"/>
  <c r="E69" i="11"/>
  <c r="D68" i="11"/>
  <c r="C68" i="11"/>
  <c r="B68" i="11"/>
  <c r="E67" i="11"/>
  <c r="E66" i="11"/>
  <c r="E65" i="11"/>
  <c r="E64" i="11"/>
  <c r="E63" i="11"/>
  <c r="D62" i="11"/>
  <c r="C62" i="11"/>
  <c r="B62" i="11"/>
  <c r="E61" i="11"/>
  <c r="E60" i="11"/>
  <c r="E59" i="11"/>
  <c r="E58" i="11"/>
  <c r="E57" i="11"/>
  <c r="D56" i="11"/>
  <c r="C56" i="11"/>
  <c r="B56" i="11"/>
  <c r="E55" i="11"/>
  <c r="E54" i="11"/>
  <c r="E53" i="11"/>
  <c r="E52" i="11"/>
  <c r="E51" i="11"/>
  <c r="D50" i="11"/>
  <c r="C50" i="11"/>
  <c r="B50" i="11"/>
  <c r="E49" i="11"/>
  <c r="E48" i="11"/>
  <c r="E47" i="11"/>
  <c r="E46" i="11"/>
  <c r="E45" i="11"/>
  <c r="D44" i="11"/>
  <c r="C44" i="11"/>
  <c r="B44" i="11"/>
  <c r="E43" i="11"/>
  <c r="E42" i="11"/>
  <c r="E41" i="11"/>
  <c r="E40" i="11"/>
  <c r="E39" i="11"/>
  <c r="D38" i="11"/>
  <c r="C38" i="11"/>
  <c r="B38" i="11"/>
  <c r="E37" i="11"/>
  <c r="E36" i="11"/>
  <c r="E35" i="11"/>
  <c r="E34" i="11"/>
  <c r="E33" i="11"/>
  <c r="D32" i="11"/>
  <c r="C32" i="11"/>
  <c r="B32" i="11"/>
  <c r="E31" i="11"/>
  <c r="E30" i="11"/>
  <c r="E29" i="11"/>
  <c r="E28" i="11"/>
  <c r="E27" i="11"/>
  <c r="D26" i="11"/>
  <c r="C26" i="11"/>
  <c r="B26" i="11"/>
  <c r="E25" i="11"/>
  <c r="E24" i="11"/>
  <c r="E23" i="11"/>
  <c r="E22" i="11"/>
  <c r="E21" i="11"/>
  <c r="D20" i="11"/>
  <c r="C20" i="11"/>
  <c r="B20" i="11"/>
  <c r="E19" i="11"/>
  <c r="E18" i="11"/>
  <c r="E17" i="11"/>
  <c r="E16" i="11"/>
  <c r="E15" i="11"/>
  <c r="D14" i="11"/>
  <c r="C14" i="11"/>
  <c r="E13" i="11"/>
  <c r="E12" i="11"/>
  <c r="E11" i="11"/>
  <c r="E10" i="11"/>
  <c r="E9" i="11"/>
  <c r="D8" i="11"/>
  <c r="C8" i="11"/>
  <c r="E7" i="11"/>
  <c r="E6" i="11"/>
  <c r="E5" i="11"/>
  <c r="E4" i="11"/>
  <c r="E3" i="11"/>
  <c r="E92" i="11" l="1"/>
  <c r="E14" i="11"/>
  <c r="E8" i="11"/>
  <c r="E20" i="11"/>
  <c r="E26" i="11"/>
  <c r="E32" i="11"/>
  <c r="E38" i="11"/>
  <c r="E44" i="11"/>
  <c r="E50" i="11"/>
  <c r="E56" i="11"/>
  <c r="E62" i="11"/>
  <c r="E68" i="11"/>
  <c r="E74" i="11"/>
  <c r="E80" i="11"/>
  <c r="E86" i="11"/>
  <c r="V14" i="9"/>
  <c r="E11" i="10"/>
  <c r="E17" i="10" s="1"/>
  <c r="F11" i="10"/>
  <c r="F17" i="10" s="1"/>
  <c r="J11" i="10"/>
  <c r="J17" i="10" s="1"/>
  <c r="M11" i="10"/>
  <c r="M17" i="10" s="1"/>
  <c r="N11" i="10"/>
  <c r="N17" i="10" s="1"/>
  <c r="R11" i="10"/>
  <c r="R17" i="10" s="1"/>
  <c r="U11" i="10"/>
  <c r="U17" i="10" s="1"/>
  <c r="V11" i="10"/>
  <c r="V17" i="10" s="1"/>
  <c r="H12" i="10"/>
  <c r="H18" i="10" s="1"/>
  <c r="K12" i="10"/>
  <c r="K18" i="10" s="1"/>
  <c r="L12" i="10"/>
  <c r="L18" i="10" s="1"/>
  <c r="P12" i="10"/>
  <c r="P18" i="10" s="1"/>
  <c r="S12" i="10"/>
  <c r="S18" i="10" s="1"/>
  <c r="T12" i="10"/>
  <c r="T18" i="10" s="1"/>
  <c r="G10" i="10"/>
  <c r="G16" i="10" s="1"/>
  <c r="J10" i="10"/>
  <c r="J16" i="10" s="1"/>
  <c r="K10" i="10"/>
  <c r="K16" i="10" s="1"/>
  <c r="O10" i="10"/>
  <c r="O16" i="10" s="1"/>
  <c r="R10" i="10"/>
  <c r="R16" i="10" s="1"/>
  <c r="S10" i="10"/>
  <c r="S16" i="10" s="1"/>
  <c r="E10" i="10"/>
  <c r="E16" i="10" s="1"/>
  <c r="V6" i="10"/>
  <c r="G11" i="10" s="1"/>
  <c r="G17" i="10" s="1"/>
  <c r="V5" i="10"/>
  <c r="V4" i="10"/>
  <c r="V10" i="10" s="1"/>
  <c r="V16" i="10" s="1"/>
  <c r="V74" i="9"/>
  <c r="V66" i="9"/>
  <c r="V67" i="9"/>
  <c r="V68" i="9"/>
  <c r="V70" i="9"/>
  <c r="V71" i="9"/>
  <c r="V23" i="10" l="1"/>
  <c r="V29" i="10" s="1"/>
  <c r="V35" i="10" s="1"/>
  <c r="V41" i="10" s="1"/>
  <c r="M23" i="10"/>
  <c r="M29" i="10" s="1"/>
  <c r="M35" i="10" s="1"/>
  <c r="M41" i="10" s="1"/>
  <c r="V22" i="10"/>
  <c r="V28" i="10" s="1"/>
  <c r="V34" i="10" s="1"/>
  <c r="V40" i="10" s="1"/>
  <c r="R23" i="10"/>
  <c r="R29" i="10" s="1"/>
  <c r="R35" i="10" s="1"/>
  <c r="R41" i="10" s="1"/>
  <c r="R22" i="10"/>
  <c r="R28" i="10" s="1"/>
  <c r="R34" i="10" s="1"/>
  <c r="R40" i="10" s="1"/>
  <c r="P24" i="10"/>
  <c r="P30" i="10" s="1"/>
  <c r="P36" i="10" s="1"/>
  <c r="P42" i="10" s="1"/>
  <c r="F23" i="10"/>
  <c r="F29" i="10" s="1"/>
  <c r="F35" i="10" s="1"/>
  <c r="F41" i="10" s="1"/>
  <c r="J22" i="10"/>
  <c r="J28" i="10" s="1"/>
  <c r="J34" i="10" s="1"/>
  <c r="J40" i="10" s="1"/>
  <c r="T24" i="10"/>
  <c r="T30" i="10" s="1"/>
  <c r="T36" i="10" s="1"/>
  <c r="T42" i="10" s="1"/>
  <c r="S24" i="10"/>
  <c r="S30" i="10" s="1"/>
  <c r="S36" i="10" s="1"/>
  <c r="S42" i="10" s="1"/>
  <c r="O22" i="10"/>
  <c r="O28" i="10" s="1"/>
  <c r="O34" i="10" s="1"/>
  <c r="O40" i="10" s="1"/>
  <c r="K24" i="10"/>
  <c r="K30" i="10" s="1"/>
  <c r="K36" i="10" s="1"/>
  <c r="K42" i="10" s="1"/>
  <c r="K22" i="10"/>
  <c r="K28" i="10" s="1"/>
  <c r="K34" i="10" s="1"/>
  <c r="K40" i="10" s="1"/>
  <c r="H24" i="10"/>
  <c r="H30" i="10" s="1"/>
  <c r="H36" i="10" s="1"/>
  <c r="H42" i="10" s="1"/>
  <c r="E23" i="10"/>
  <c r="E29" i="10" s="1"/>
  <c r="E35" i="10" s="1"/>
  <c r="E41" i="10" s="1"/>
  <c r="Q10" i="10"/>
  <c r="Q16" i="10" s="1"/>
  <c r="Q22" i="10" s="1"/>
  <c r="Q28" i="10" s="1"/>
  <c r="Q34" i="10" s="1"/>
  <c r="Q40" i="10" s="1"/>
  <c r="I10" i="10"/>
  <c r="I16" i="10" s="1"/>
  <c r="R12" i="10"/>
  <c r="R18" i="10" s="1"/>
  <c r="J12" i="10"/>
  <c r="J18" i="10" s="1"/>
  <c r="J24" i="10" s="1"/>
  <c r="J30" i="10" s="1"/>
  <c r="J36" i="10" s="1"/>
  <c r="J42" i="10" s="1"/>
  <c r="T11" i="10"/>
  <c r="T17" i="10" s="1"/>
  <c r="T23" i="10" s="1"/>
  <c r="T29" i="10" s="1"/>
  <c r="T35" i="10" s="1"/>
  <c r="T41" i="10" s="1"/>
  <c r="L11" i="10"/>
  <c r="L17" i="10" s="1"/>
  <c r="L23" i="10" s="1"/>
  <c r="L29" i="10" s="1"/>
  <c r="L35" i="10" s="1"/>
  <c r="L41" i="10" s="1"/>
  <c r="P10" i="10"/>
  <c r="P16" i="10" s="1"/>
  <c r="P22" i="10" s="1"/>
  <c r="P28" i="10" s="1"/>
  <c r="P34" i="10" s="1"/>
  <c r="P40" i="10" s="1"/>
  <c r="H10" i="10"/>
  <c r="H16" i="10" s="1"/>
  <c r="H22" i="10" s="1"/>
  <c r="H28" i="10" s="1"/>
  <c r="H34" i="10" s="1"/>
  <c r="H40" i="10" s="1"/>
  <c r="Q12" i="10"/>
  <c r="Q18" i="10" s="1"/>
  <c r="Q24" i="10" s="1"/>
  <c r="Q30" i="10" s="1"/>
  <c r="Q36" i="10" s="1"/>
  <c r="Q42" i="10" s="1"/>
  <c r="I12" i="10"/>
  <c r="I18" i="10" s="1"/>
  <c r="S11" i="10"/>
  <c r="S17" i="10" s="1"/>
  <c r="K11" i="10"/>
  <c r="K17" i="10" s="1"/>
  <c r="K23" i="10" s="1"/>
  <c r="K29" i="10" s="1"/>
  <c r="K35" i="10" s="1"/>
  <c r="K41" i="10" s="1"/>
  <c r="N10" i="10"/>
  <c r="N16" i="10" s="1"/>
  <c r="N22" i="10" s="1"/>
  <c r="N28" i="10" s="1"/>
  <c r="N34" i="10" s="1"/>
  <c r="N40" i="10" s="1"/>
  <c r="F10" i="10"/>
  <c r="F16" i="10" s="1"/>
  <c r="F22" i="10" s="1"/>
  <c r="F28" i="10" s="1"/>
  <c r="F34" i="10" s="1"/>
  <c r="F40" i="10" s="1"/>
  <c r="G12" i="10"/>
  <c r="G18" i="10" s="1"/>
  <c r="G24" i="10" s="1"/>
  <c r="G30" i="10" s="1"/>
  <c r="G36" i="10" s="1"/>
  <c r="G42" i="10" s="1"/>
  <c r="I11" i="10"/>
  <c r="I17" i="10" s="1"/>
  <c r="I23" i="10" s="1"/>
  <c r="I29" i="10" s="1"/>
  <c r="I35" i="10" s="1"/>
  <c r="I41" i="10" s="1"/>
  <c r="U10" i="10"/>
  <c r="U16" i="10" s="1"/>
  <c r="U22" i="10" s="1"/>
  <c r="U28" i="10" s="1"/>
  <c r="U34" i="10" s="1"/>
  <c r="U40" i="10" s="1"/>
  <c r="M10" i="10"/>
  <c r="M16" i="10" s="1"/>
  <c r="M22" i="10" s="1"/>
  <c r="M28" i="10" s="1"/>
  <c r="M34" i="10" s="1"/>
  <c r="M40" i="10" s="1"/>
  <c r="V12" i="10"/>
  <c r="V18" i="10" s="1"/>
  <c r="V24" i="10" s="1"/>
  <c r="V30" i="10" s="1"/>
  <c r="V36" i="10" s="1"/>
  <c r="V42" i="10" s="1"/>
  <c r="N12" i="10"/>
  <c r="N18" i="10" s="1"/>
  <c r="N24" i="10" s="1"/>
  <c r="N30" i="10" s="1"/>
  <c r="N36" i="10" s="1"/>
  <c r="N42" i="10" s="1"/>
  <c r="F12" i="10"/>
  <c r="F18" i="10" s="1"/>
  <c r="F24" i="10" s="1"/>
  <c r="F30" i="10" s="1"/>
  <c r="F36" i="10" s="1"/>
  <c r="F42" i="10" s="1"/>
  <c r="P11" i="10"/>
  <c r="P17" i="10" s="1"/>
  <c r="P23" i="10" s="1"/>
  <c r="P29" i="10" s="1"/>
  <c r="P35" i="10" s="1"/>
  <c r="P41" i="10" s="1"/>
  <c r="H11" i="10"/>
  <c r="H17" i="10" s="1"/>
  <c r="H23" i="10" s="1"/>
  <c r="H29" i="10" s="1"/>
  <c r="H35" i="10" s="1"/>
  <c r="H41" i="10" s="1"/>
  <c r="O12" i="10"/>
  <c r="O18" i="10" s="1"/>
  <c r="O24" i="10" s="1"/>
  <c r="O30" i="10" s="1"/>
  <c r="O36" i="10" s="1"/>
  <c r="O42" i="10" s="1"/>
  <c r="Q11" i="10"/>
  <c r="Q17" i="10" s="1"/>
  <c r="Q23" i="10" s="1"/>
  <c r="Q29" i="10" s="1"/>
  <c r="Q35" i="10" s="1"/>
  <c r="Q41" i="10" s="1"/>
  <c r="T10" i="10"/>
  <c r="T16" i="10" s="1"/>
  <c r="T22" i="10" s="1"/>
  <c r="T28" i="10" s="1"/>
  <c r="T34" i="10" s="1"/>
  <c r="T40" i="10" s="1"/>
  <c r="L10" i="10"/>
  <c r="L16" i="10" s="1"/>
  <c r="L22" i="10" s="1"/>
  <c r="L28" i="10" s="1"/>
  <c r="L34" i="10" s="1"/>
  <c r="L40" i="10" s="1"/>
  <c r="U12" i="10"/>
  <c r="U18" i="10" s="1"/>
  <c r="U24" i="10" s="1"/>
  <c r="U30" i="10" s="1"/>
  <c r="U36" i="10" s="1"/>
  <c r="U42" i="10" s="1"/>
  <c r="M12" i="10"/>
  <c r="M18" i="10" s="1"/>
  <c r="M24" i="10" s="1"/>
  <c r="M30" i="10" s="1"/>
  <c r="M36" i="10" s="1"/>
  <c r="M42" i="10" s="1"/>
  <c r="E12" i="10"/>
  <c r="E18" i="10" s="1"/>
  <c r="E24" i="10" s="1"/>
  <c r="E30" i="10" s="1"/>
  <c r="E36" i="10" s="1"/>
  <c r="E42" i="10" s="1"/>
  <c r="O11" i="10"/>
  <c r="O17" i="10" s="1"/>
  <c r="O23" i="10" s="1"/>
  <c r="O29" i="10" s="1"/>
  <c r="O35" i="10" s="1"/>
  <c r="O41" i="10" s="1"/>
  <c r="V5" i="9"/>
  <c r="V4" i="9"/>
  <c r="V8" i="9"/>
  <c r="V7" i="9"/>
  <c r="V6" i="9"/>
  <c r="V11" i="9"/>
  <c r="V10" i="9"/>
  <c r="V9" i="9"/>
  <c r="V13" i="9"/>
  <c r="V12" i="9"/>
  <c r="V17" i="9"/>
  <c r="V16" i="9"/>
  <c r="V15" i="9"/>
  <c r="V20" i="9"/>
  <c r="V19" i="9"/>
  <c r="V18" i="9"/>
  <c r="V23" i="9"/>
  <c r="V22" i="9"/>
  <c r="V21" i="9"/>
  <c r="V26" i="9"/>
  <c r="V25" i="9"/>
  <c r="V24" i="9"/>
  <c r="V29" i="9"/>
  <c r="V28" i="9"/>
  <c r="V27" i="9"/>
  <c r="V32" i="9"/>
  <c r="V31" i="9"/>
  <c r="V30" i="9"/>
  <c r="V35" i="9"/>
  <c r="V34" i="9"/>
  <c r="V33" i="9"/>
  <c r="V38" i="9"/>
  <c r="V37" i="9"/>
  <c r="V36" i="9"/>
  <c r="V41" i="9"/>
  <c r="V40" i="9"/>
  <c r="V39" i="9"/>
  <c r="V44" i="9"/>
  <c r="V43" i="9"/>
  <c r="V42" i="9"/>
  <c r="V47" i="9"/>
  <c r="V46" i="9"/>
  <c r="V45" i="9"/>
  <c r="V50" i="9"/>
  <c r="V49" i="9"/>
  <c r="V48" i="9"/>
  <c r="V72" i="9"/>
  <c r="E22" i="10" l="1"/>
  <c r="E28" i="10" s="1"/>
  <c r="E34" i="10" s="1"/>
  <c r="E40" i="10" s="1"/>
  <c r="N23" i="10"/>
  <c r="N29" i="10" s="1"/>
  <c r="N35" i="10" s="1"/>
  <c r="N41" i="10" s="1"/>
  <c r="S23" i="10"/>
  <c r="S29" i="10" s="1"/>
  <c r="S35" i="10" s="1"/>
  <c r="S41" i="10" s="1"/>
  <c r="R24" i="10"/>
  <c r="R30" i="10" s="1"/>
  <c r="R36" i="10" s="1"/>
  <c r="R42" i="10" s="1"/>
  <c r="L24" i="10"/>
  <c r="L30" i="10" s="1"/>
  <c r="L36" i="10" s="1"/>
  <c r="L42" i="10" s="1"/>
  <c r="G23" i="10"/>
  <c r="G29" i="10" s="1"/>
  <c r="G35" i="10" s="1"/>
  <c r="G41" i="10" s="1"/>
  <c r="G22" i="10"/>
  <c r="G28" i="10" s="1"/>
  <c r="G34" i="10" s="1"/>
  <c r="G40" i="10" s="1"/>
  <c r="I24" i="10"/>
  <c r="I30" i="10" s="1"/>
  <c r="I36" i="10" s="1"/>
  <c r="I42" i="10" s="1"/>
  <c r="I22" i="10"/>
  <c r="I28" i="10" s="1"/>
  <c r="I34" i="10" s="1"/>
  <c r="I40" i="10" s="1"/>
  <c r="S22" i="10"/>
  <c r="S28" i="10" s="1"/>
  <c r="S34" i="10" s="1"/>
  <c r="S40" i="10" s="1"/>
  <c r="J23" i="10"/>
  <c r="J29" i="10" s="1"/>
  <c r="J35" i="10" s="1"/>
  <c r="J41" i="10" s="1"/>
  <c r="U23" i="10"/>
  <c r="U29" i="10" s="1"/>
  <c r="U35" i="10" s="1"/>
  <c r="U41" i="10" s="1"/>
  <c r="N4" i="6"/>
  <c r="O4" i="6"/>
  <c r="P4" i="6"/>
  <c r="N5" i="6"/>
  <c r="O5" i="6"/>
  <c r="P5" i="6"/>
  <c r="N6" i="6"/>
  <c r="O6" i="6"/>
  <c r="P6" i="6"/>
  <c r="N7" i="6"/>
  <c r="O7" i="6"/>
  <c r="P7" i="6"/>
  <c r="N8" i="6"/>
  <c r="O8" i="6"/>
  <c r="P8" i="6"/>
  <c r="N9" i="6"/>
  <c r="O9" i="6"/>
  <c r="P9" i="6"/>
  <c r="N10" i="6"/>
  <c r="O10" i="6"/>
  <c r="P10" i="6"/>
  <c r="N11" i="6"/>
  <c r="O11" i="6"/>
  <c r="P11" i="6"/>
  <c r="N12" i="6"/>
  <c r="O12" i="6"/>
  <c r="P12" i="6"/>
  <c r="N13" i="6"/>
  <c r="O13" i="6"/>
  <c r="P13" i="6"/>
  <c r="N14" i="6"/>
  <c r="O14" i="6"/>
  <c r="P14" i="6"/>
  <c r="N15" i="6"/>
  <c r="O15" i="6"/>
  <c r="P15" i="6"/>
  <c r="N16" i="6"/>
  <c r="O16" i="6"/>
  <c r="P16" i="6"/>
  <c r="N17" i="6"/>
  <c r="O17" i="6"/>
  <c r="P17" i="6"/>
  <c r="N18" i="6"/>
  <c r="O18" i="6"/>
  <c r="P18" i="6"/>
  <c r="N19" i="6"/>
  <c r="O19" i="6"/>
  <c r="P19" i="6"/>
  <c r="N20" i="6"/>
  <c r="O20" i="6"/>
  <c r="P20" i="6"/>
  <c r="N21" i="6"/>
  <c r="O21" i="6"/>
  <c r="P21" i="6"/>
  <c r="N22" i="6"/>
  <c r="O22" i="6"/>
  <c r="P22" i="6"/>
  <c r="N23" i="6"/>
  <c r="O23" i="6"/>
  <c r="P23" i="6"/>
  <c r="N24" i="6"/>
  <c r="O24" i="6"/>
  <c r="P24" i="6"/>
  <c r="N25" i="6"/>
  <c r="O25" i="6"/>
  <c r="P25" i="6"/>
  <c r="N26" i="6"/>
  <c r="O26" i="6"/>
  <c r="P26" i="6"/>
  <c r="N27" i="6"/>
  <c r="O27" i="6"/>
  <c r="P27" i="6"/>
  <c r="N28" i="6"/>
  <c r="O28" i="6"/>
  <c r="P28" i="6"/>
  <c r="N29" i="6"/>
  <c r="O29" i="6"/>
  <c r="P29" i="6"/>
  <c r="N30" i="6"/>
  <c r="O30" i="6"/>
  <c r="P30" i="6"/>
  <c r="N31" i="6"/>
  <c r="O31" i="6"/>
  <c r="P31" i="6"/>
  <c r="N32" i="6"/>
  <c r="O32" i="6"/>
  <c r="P32" i="6"/>
  <c r="N33" i="6"/>
  <c r="O33" i="6"/>
  <c r="P33" i="6"/>
  <c r="N34" i="6"/>
  <c r="O34" i="6"/>
  <c r="P34" i="6"/>
  <c r="N35" i="6"/>
  <c r="O35" i="6"/>
  <c r="P35" i="6"/>
  <c r="N36" i="6"/>
  <c r="O36" i="6"/>
  <c r="P36" i="6"/>
  <c r="N37" i="6"/>
  <c r="O37" i="6"/>
  <c r="P37" i="6"/>
  <c r="N38" i="6"/>
  <c r="O38" i="6"/>
  <c r="P38" i="6"/>
  <c r="N39" i="6"/>
  <c r="O39" i="6"/>
  <c r="P39" i="6"/>
  <c r="N40" i="6"/>
  <c r="O40" i="6"/>
  <c r="P40" i="6"/>
  <c r="N41" i="6"/>
  <c r="O41" i="6"/>
  <c r="P41" i="6"/>
  <c r="N42" i="6"/>
  <c r="O42" i="6"/>
  <c r="P42" i="6"/>
  <c r="N43" i="6"/>
  <c r="O43" i="6"/>
  <c r="P43" i="6"/>
  <c r="N44" i="6"/>
  <c r="O44" i="6"/>
  <c r="P44" i="6"/>
  <c r="N45" i="6"/>
  <c r="O45" i="6"/>
  <c r="P45" i="6"/>
  <c r="N46" i="6"/>
  <c r="O46" i="6"/>
  <c r="P46" i="6"/>
  <c r="N47" i="6"/>
  <c r="O47" i="6"/>
  <c r="P47" i="6"/>
  <c r="N48" i="6"/>
  <c r="O48" i="6"/>
  <c r="P48" i="6"/>
  <c r="N49" i="6"/>
  <c r="O49" i="6"/>
  <c r="P49" i="6"/>
  <c r="N50" i="6"/>
  <c r="O50" i="6"/>
  <c r="P50" i="6"/>
  <c r="N51" i="6"/>
  <c r="O51" i="6"/>
  <c r="P51" i="6"/>
  <c r="N52" i="6"/>
  <c r="O52" i="6"/>
  <c r="P52" i="6"/>
  <c r="N53" i="6"/>
  <c r="O53" i="6"/>
  <c r="P53" i="6"/>
  <c r="N54" i="6"/>
  <c r="O54" i="6"/>
  <c r="P54" i="6"/>
  <c r="N55" i="6"/>
  <c r="O55" i="6"/>
  <c r="P55" i="6"/>
  <c r="N56" i="6"/>
  <c r="O56" i="6"/>
  <c r="P56" i="6"/>
  <c r="N57" i="6"/>
  <c r="O57" i="6"/>
  <c r="P57" i="6"/>
  <c r="N58" i="6"/>
  <c r="O58" i="6"/>
  <c r="P58" i="6"/>
  <c r="N59" i="6"/>
  <c r="O59" i="6"/>
  <c r="P59" i="6"/>
  <c r="N60" i="6"/>
  <c r="O60" i="6"/>
  <c r="P60" i="6"/>
  <c r="N61" i="6"/>
  <c r="O61" i="6"/>
  <c r="P61" i="6"/>
  <c r="N62" i="6"/>
  <c r="O62" i="6"/>
  <c r="P62" i="6"/>
  <c r="N63" i="6"/>
  <c r="O63" i="6"/>
  <c r="P63" i="6"/>
  <c r="N64" i="6"/>
  <c r="O64" i="6"/>
  <c r="P64" i="6"/>
  <c r="N65" i="6"/>
  <c r="O65" i="6"/>
  <c r="P65" i="6"/>
  <c r="N66" i="6"/>
  <c r="O66" i="6"/>
  <c r="P66" i="6"/>
  <c r="N67" i="6"/>
  <c r="O67" i="6"/>
  <c r="P67" i="6"/>
  <c r="N68" i="6"/>
  <c r="O68" i="6"/>
  <c r="P68" i="6"/>
  <c r="N69" i="6"/>
  <c r="O69" i="6"/>
  <c r="P69" i="6"/>
  <c r="N70" i="6"/>
  <c r="O70" i="6"/>
  <c r="P70" i="6"/>
  <c r="N71" i="6"/>
  <c r="O71" i="6"/>
  <c r="P71" i="6"/>
  <c r="N72" i="6"/>
  <c r="O72" i="6"/>
  <c r="P72" i="6"/>
  <c r="P3" i="6"/>
  <c r="O3" i="6"/>
  <c r="N3" i="6"/>
  <c r="Q18" i="2"/>
  <c r="R17" i="2" s="1"/>
  <c r="S17" i="2" s="1"/>
  <c r="Y79" i="5"/>
  <c r="R16" i="2" l="1"/>
  <c r="S16" i="2" s="1"/>
  <c r="J25" i="2" l="1"/>
  <c r="R79" i="5" l="1"/>
  <c r="U79" i="5" s="1"/>
  <c r="X79" i="5" s="1"/>
  <c r="AA79" i="5" s="1"/>
  <c r="S79" i="5"/>
  <c r="Q79" i="5"/>
  <c r="T79" i="5" s="1"/>
  <c r="W79" i="5" s="1"/>
  <c r="Z79" i="5" s="1"/>
  <c r="P96" i="5" l="1"/>
  <c r="N96" i="5"/>
  <c r="J96" i="5"/>
  <c r="L95" i="5" s="1"/>
  <c r="N93" i="5"/>
  <c r="N90" i="5"/>
  <c r="P87" i="5"/>
  <c r="N87" i="5"/>
  <c r="P84" i="5"/>
  <c r="N84" i="5"/>
  <c r="J93" i="5"/>
  <c r="K92" i="5" s="1"/>
  <c r="J90" i="5"/>
  <c r="M89" i="5" s="1"/>
  <c r="J87" i="5"/>
  <c r="K86" i="5" s="1"/>
  <c r="J84" i="5"/>
  <c r="K82" i="5" s="1"/>
  <c r="N80" i="5"/>
  <c r="J80" i="5"/>
  <c r="K79" i="5" s="1"/>
  <c r="N78" i="5"/>
  <c r="J78" i="5"/>
  <c r="M76" i="5" s="1"/>
  <c r="N73" i="5"/>
  <c r="J73" i="5"/>
  <c r="M70" i="5" s="1"/>
  <c r="P69" i="5"/>
  <c r="N69" i="5"/>
  <c r="K67" i="5"/>
  <c r="M67" i="5"/>
  <c r="K66" i="5"/>
  <c r="J69" i="5"/>
  <c r="K68" i="5" s="1"/>
  <c r="P65" i="5"/>
  <c r="N65" i="5"/>
  <c r="J65" i="5"/>
  <c r="M63" i="5" s="1"/>
  <c r="P61" i="5"/>
  <c r="N61" i="5"/>
  <c r="J61" i="5"/>
  <c r="L58" i="5" s="1"/>
  <c r="N57" i="5"/>
  <c r="J57" i="5"/>
  <c r="K56" i="5" s="1"/>
  <c r="P53" i="5"/>
  <c r="N53" i="5"/>
  <c r="J53" i="5"/>
  <c r="L52" i="5" s="1"/>
  <c r="P48" i="5"/>
  <c r="N48" i="5"/>
  <c r="J48" i="5"/>
  <c r="K46" i="5" s="1"/>
  <c r="P44" i="5"/>
  <c r="N44" i="5"/>
  <c r="J44" i="5"/>
  <c r="L40" i="5" s="1"/>
  <c r="P37" i="5"/>
  <c r="N37" i="5"/>
  <c r="J37" i="5"/>
  <c r="L36" i="5" s="1"/>
  <c r="P32" i="5"/>
  <c r="N32" i="5"/>
  <c r="J32" i="5"/>
  <c r="K29" i="5" s="1"/>
  <c r="P27" i="5"/>
  <c r="N27" i="5"/>
  <c r="J27" i="5"/>
  <c r="L25" i="5" s="1"/>
  <c r="N23" i="5"/>
  <c r="J23" i="5"/>
  <c r="L20" i="5" s="1"/>
  <c r="P19" i="5"/>
  <c r="N19" i="5"/>
  <c r="J19" i="5"/>
  <c r="M16" i="5" s="1"/>
  <c r="P14" i="5"/>
  <c r="N14" i="5"/>
  <c r="J14" i="5"/>
  <c r="L13" i="5" s="1"/>
  <c r="P10" i="5"/>
  <c r="N10" i="5"/>
  <c r="J10" i="5"/>
  <c r="M9" i="5" s="1"/>
  <c r="J6" i="5"/>
  <c r="R46" i="5" l="1"/>
  <c r="U46" i="5" s="1"/>
  <c r="X46" i="5" s="1"/>
  <c r="AA46" i="5" s="1"/>
  <c r="Q46" i="5"/>
  <c r="T46" i="5" s="1"/>
  <c r="W46" i="5" s="1"/>
  <c r="Z46" i="5" s="1"/>
  <c r="S46" i="5"/>
  <c r="V46" i="5" s="1"/>
  <c r="Y46" i="5" s="1"/>
  <c r="AB46" i="5" s="1"/>
  <c r="Q45" i="5"/>
  <c r="T45" i="5" s="1"/>
  <c r="W45" i="5" s="1"/>
  <c r="Z45" i="5" s="1"/>
  <c r="Q47" i="5"/>
  <c r="T47" i="5" s="1"/>
  <c r="W47" i="5" s="1"/>
  <c r="Z47" i="5" s="1"/>
  <c r="R45" i="5"/>
  <c r="U45" i="5" s="1"/>
  <c r="X45" i="5" s="1"/>
  <c r="AA45" i="5" s="1"/>
  <c r="R47" i="5"/>
  <c r="U47" i="5" s="1"/>
  <c r="X47" i="5" s="1"/>
  <c r="AA47" i="5" s="1"/>
  <c r="S45" i="5"/>
  <c r="V45" i="5" s="1"/>
  <c r="Y45" i="5" s="1"/>
  <c r="AB45" i="5" s="1"/>
  <c r="S47" i="5"/>
  <c r="V47" i="5" s="1"/>
  <c r="Y47" i="5" s="1"/>
  <c r="AB47" i="5" s="1"/>
  <c r="Q60" i="5"/>
  <c r="T60" i="5" s="1"/>
  <c r="W60" i="5" s="1"/>
  <c r="Z60" i="5" s="1"/>
  <c r="Q59" i="5"/>
  <c r="T59" i="5" s="1"/>
  <c r="W59" i="5" s="1"/>
  <c r="Z59" i="5" s="1"/>
  <c r="R59" i="5"/>
  <c r="U59" i="5" s="1"/>
  <c r="X59" i="5" s="1"/>
  <c r="AA59" i="5" s="1"/>
  <c r="S59" i="5"/>
  <c r="V59" i="5" s="1"/>
  <c r="Y59" i="5" s="1"/>
  <c r="AB59" i="5" s="1"/>
  <c r="R60" i="5"/>
  <c r="U60" i="5" s="1"/>
  <c r="X60" i="5" s="1"/>
  <c r="AA60" i="5" s="1"/>
  <c r="S60" i="5"/>
  <c r="V60" i="5" s="1"/>
  <c r="Y60" i="5" s="1"/>
  <c r="AB60" i="5" s="1"/>
  <c r="Q58" i="5"/>
  <c r="T58" i="5" s="1"/>
  <c r="W58" i="5" s="1"/>
  <c r="Z58" i="5" s="1"/>
  <c r="R58" i="5"/>
  <c r="U58" i="5" s="1"/>
  <c r="X58" i="5" s="1"/>
  <c r="AA58" i="5" s="1"/>
  <c r="S58" i="5"/>
  <c r="V58" i="5" s="1"/>
  <c r="Y58" i="5" s="1"/>
  <c r="AB58" i="5" s="1"/>
  <c r="S83" i="5"/>
  <c r="V83" i="5" s="1"/>
  <c r="Y83" i="5" s="1"/>
  <c r="AB83" i="5" s="1"/>
  <c r="R81" i="5"/>
  <c r="U81" i="5" s="1"/>
  <c r="X81" i="5" s="1"/>
  <c r="AA81" i="5" s="1"/>
  <c r="S81" i="5"/>
  <c r="V81" i="5" s="1"/>
  <c r="Y81" i="5" s="1"/>
  <c r="AB81" i="5" s="1"/>
  <c r="Q82" i="5"/>
  <c r="T82" i="5" s="1"/>
  <c r="W82" i="5" s="1"/>
  <c r="Z82" i="5" s="1"/>
  <c r="Q81" i="5"/>
  <c r="T81" i="5" s="1"/>
  <c r="W81" i="5" s="1"/>
  <c r="Z81" i="5" s="1"/>
  <c r="R82" i="5"/>
  <c r="U82" i="5" s="1"/>
  <c r="X82" i="5" s="1"/>
  <c r="AA82" i="5" s="1"/>
  <c r="Q83" i="5"/>
  <c r="T83" i="5" s="1"/>
  <c r="W83" i="5" s="1"/>
  <c r="Z83" i="5" s="1"/>
  <c r="R83" i="5"/>
  <c r="U83" i="5" s="1"/>
  <c r="X83" i="5" s="1"/>
  <c r="AA83" i="5" s="1"/>
  <c r="S82" i="5"/>
  <c r="V82" i="5" s="1"/>
  <c r="Y82" i="5" s="1"/>
  <c r="AB82" i="5" s="1"/>
  <c r="K94" i="5"/>
  <c r="Q34" i="5"/>
  <c r="T34" i="5" s="1"/>
  <c r="W34" i="5" s="1"/>
  <c r="Z34" i="5" s="1"/>
  <c r="S36" i="5"/>
  <c r="V36" i="5" s="1"/>
  <c r="Y36" i="5" s="1"/>
  <c r="AB36" i="5" s="1"/>
  <c r="Q36" i="5"/>
  <c r="T36" i="5" s="1"/>
  <c r="W36" i="5" s="1"/>
  <c r="Z36" i="5" s="1"/>
  <c r="R34" i="5"/>
  <c r="U34" i="5" s="1"/>
  <c r="X34" i="5" s="1"/>
  <c r="AA34" i="5" s="1"/>
  <c r="R33" i="5"/>
  <c r="U33" i="5" s="1"/>
  <c r="X33" i="5" s="1"/>
  <c r="AA33" i="5" s="1"/>
  <c r="S35" i="5"/>
  <c r="V35" i="5" s="1"/>
  <c r="Y35" i="5" s="1"/>
  <c r="AB35" i="5" s="1"/>
  <c r="S34" i="5"/>
  <c r="V34" i="5" s="1"/>
  <c r="Y34" i="5" s="1"/>
  <c r="AB34" i="5" s="1"/>
  <c r="S33" i="5"/>
  <c r="V33" i="5" s="1"/>
  <c r="Y33" i="5" s="1"/>
  <c r="AB33" i="5" s="1"/>
  <c r="Q35" i="5"/>
  <c r="T35" i="5" s="1"/>
  <c r="W35" i="5" s="1"/>
  <c r="Z35" i="5" s="1"/>
  <c r="Q33" i="5"/>
  <c r="T33" i="5" s="1"/>
  <c r="W33" i="5" s="1"/>
  <c r="Z33" i="5" s="1"/>
  <c r="R36" i="5"/>
  <c r="U36" i="5" s="1"/>
  <c r="X36" i="5" s="1"/>
  <c r="AA36" i="5" s="1"/>
  <c r="R35" i="5"/>
  <c r="U35" i="5" s="1"/>
  <c r="X35" i="5" s="1"/>
  <c r="AA35" i="5" s="1"/>
  <c r="S66" i="5"/>
  <c r="V66" i="5" s="1"/>
  <c r="Y66" i="5" s="1"/>
  <c r="AB66" i="5" s="1"/>
  <c r="S68" i="5"/>
  <c r="V68" i="5" s="1"/>
  <c r="Y68" i="5" s="1"/>
  <c r="AB68" i="5" s="1"/>
  <c r="R66" i="5"/>
  <c r="U66" i="5" s="1"/>
  <c r="X66" i="5" s="1"/>
  <c r="AA66" i="5" s="1"/>
  <c r="Q67" i="5"/>
  <c r="T67" i="5" s="1"/>
  <c r="W67" i="5" s="1"/>
  <c r="Z67" i="5" s="1"/>
  <c r="Q66" i="5"/>
  <c r="T66" i="5" s="1"/>
  <c r="W66" i="5" s="1"/>
  <c r="Z66" i="5" s="1"/>
  <c r="R67" i="5"/>
  <c r="U67" i="5" s="1"/>
  <c r="X67" i="5" s="1"/>
  <c r="AA67" i="5" s="1"/>
  <c r="S67" i="5"/>
  <c r="V67" i="5" s="1"/>
  <c r="Y67" i="5" s="1"/>
  <c r="AB67" i="5" s="1"/>
  <c r="R68" i="5"/>
  <c r="U68" i="5" s="1"/>
  <c r="X68" i="5" s="1"/>
  <c r="AA68" i="5" s="1"/>
  <c r="Q68" i="5"/>
  <c r="T68" i="5" s="1"/>
  <c r="W68" i="5" s="1"/>
  <c r="Z68" i="5" s="1"/>
  <c r="L94" i="5"/>
  <c r="Q17" i="5"/>
  <c r="T17" i="5" s="1"/>
  <c r="W17" i="5" s="1"/>
  <c r="Z17" i="5" s="1"/>
  <c r="Q16" i="5"/>
  <c r="T16" i="5" s="1"/>
  <c r="W16" i="5" s="1"/>
  <c r="Z16" i="5" s="1"/>
  <c r="S16" i="5"/>
  <c r="V16" i="5" s="1"/>
  <c r="Y16" i="5" s="1"/>
  <c r="AB16" i="5" s="1"/>
  <c r="R17" i="5"/>
  <c r="U17" i="5" s="1"/>
  <c r="X17" i="5" s="1"/>
  <c r="AA17" i="5" s="1"/>
  <c r="R15" i="5"/>
  <c r="U15" i="5" s="1"/>
  <c r="X15" i="5" s="1"/>
  <c r="AA15" i="5" s="1"/>
  <c r="Q18" i="5"/>
  <c r="T18" i="5" s="1"/>
  <c r="W18" i="5" s="1"/>
  <c r="Z18" i="5" s="1"/>
  <c r="S17" i="5"/>
  <c r="V17" i="5" s="1"/>
  <c r="Y17" i="5" s="1"/>
  <c r="AB17" i="5" s="1"/>
  <c r="Q15" i="5"/>
  <c r="T15" i="5" s="1"/>
  <c r="W15" i="5" s="1"/>
  <c r="Z15" i="5" s="1"/>
  <c r="R18" i="5"/>
  <c r="U18" i="5" s="1"/>
  <c r="X18" i="5" s="1"/>
  <c r="AA18" i="5" s="1"/>
  <c r="R16" i="5"/>
  <c r="U16" i="5" s="1"/>
  <c r="X16" i="5" s="1"/>
  <c r="AA16" i="5" s="1"/>
  <c r="S18" i="5"/>
  <c r="V18" i="5" s="1"/>
  <c r="Y18" i="5" s="1"/>
  <c r="AB18" i="5" s="1"/>
  <c r="S15" i="5"/>
  <c r="V15" i="5" s="1"/>
  <c r="Y15" i="5" s="1"/>
  <c r="AB15" i="5" s="1"/>
  <c r="Q52" i="5"/>
  <c r="T52" i="5" s="1"/>
  <c r="W52" i="5" s="1"/>
  <c r="Z52" i="5" s="1"/>
  <c r="R52" i="5"/>
  <c r="U52" i="5" s="1"/>
  <c r="X52" i="5" s="1"/>
  <c r="AA52" i="5" s="1"/>
  <c r="R51" i="5"/>
  <c r="U51" i="5" s="1"/>
  <c r="X51" i="5" s="1"/>
  <c r="AA51" i="5" s="1"/>
  <c r="S51" i="5"/>
  <c r="V51" i="5" s="1"/>
  <c r="Y51" i="5" s="1"/>
  <c r="AB51" i="5" s="1"/>
  <c r="Q50" i="5"/>
  <c r="T50" i="5" s="1"/>
  <c r="W50" i="5" s="1"/>
  <c r="Z50" i="5" s="1"/>
  <c r="S52" i="5"/>
  <c r="V52" i="5" s="1"/>
  <c r="Y52" i="5" s="1"/>
  <c r="AB52" i="5" s="1"/>
  <c r="R50" i="5"/>
  <c r="U50" i="5" s="1"/>
  <c r="X50" i="5" s="1"/>
  <c r="AA50" i="5" s="1"/>
  <c r="R49" i="5"/>
  <c r="U49" i="5" s="1"/>
  <c r="X49" i="5" s="1"/>
  <c r="AA49" i="5" s="1"/>
  <c r="Q51" i="5"/>
  <c r="T51" i="5" s="1"/>
  <c r="W51" i="5" s="1"/>
  <c r="Z51" i="5" s="1"/>
  <c r="Q49" i="5"/>
  <c r="T49" i="5" s="1"/>
  <c r="W49" i="5" s="1"/>
  <c r="Z49" i="5" s="1"/>
  <c r="S50" i="5"/>
  <c r="V50" i="5" s="1"/>
  <c r="Y50" i="5" s="1"/>
  <c r="AB50" i="5" s="1"/>
  <c r="S49" i="5"/>
  <c r="V49" i="5" s="1"/>
  <c r="Y49" i="5" s="1"/>
  <c r="AB49" i="5" s="1"/>
  <c r="S64" i="5"/>
  <c r="V64" i="5" s="1"/>
  <c r="Y64" i="5" s="1"/>
  <c r="AB64" i="5" s="1"/>
  <c r="R62" i="5"/>
  <c r="U62" i="5" s="1"/>
  <c r="X62" i="5" s="1"/>
  <c r="AA62" i="5" s="1"/>
  <c r="S62" i="5"/>
  <c r="V62" i="5" s="1"/>
  <c r="Y62" i="5" s="1"/>
  <c r="AB62" i="5" s="1"/>
  <c r="Q63" i="5"/>
  <c r="T63" i="5" s="1"/>
  <c r="W63" i="5" s="1"/>
  <c r="Z63" i="5" s="1"/>
  <c r="Q62" i="5"/>
  <c r="T62" i="5" s="1"/>
  <c r="W62" i="5" s="1"/>
  <c r="Z62" i="5" s="1"/>
  <c r="S63" i="5"/>
  <c r="V63" i="5" s="1"/>
  <c r="Y63" i="5" s="1"/>
  <c r="AB63" i="5" s="1"/>
  <c r="Q64" i="5"/>
  <c r="T64" i="5" s="1"/>
  <c r="W64" i="5" s="1"/>
  <c r="Z64" i="5" s="1"/>
  <c r="R64" i="5"/>
  <c r="U64" i="5" s="1"/>
  <c r="X64" i="5" s="1"/>
  <c r="AA64" i="5" s="1"/>
  <c r="R63" i="5"/>
  <c r="U63" i="5" s="1"/>
  <c r="X63" i="5" s="1"/>
  <c r="AA63" i="5" s="1"/>
  <c r="M95" i="5"/>
  <c r="M94" i="5"/>
  <c r="R12" i="5"/>
  <c r="U12" i="5" s="1"/>
  <c r="X12" i="5" s="1"/>
  <c r="AA12" i="5" s="1"/>
  <c r="S12" i="5"/>
  <c r="V12" i="5" s="1"/>
  <c r="Y12" i="5" s="1"/>
  <c r="AB12" i="5" s="1"/>
  <c r="R13" i="5"/>
  <c r="U13" i="5" s="1"/>
  <c r="X13" i="5" s="1"/>
  <c r="AA13" i="5" s="1"/>
  <c r="S11" i="5"/>
  <c r="V11" i="5" s="1"/>
  <c r="Y11" i="5" s="1"/>
  <c r="AB11" i="5" s="1"/>
  <c r="Q13" i="5"/>
  <c r="T13" i="5" s="1"/>
  <c r="W13" i="5" s="1"/>
  <c r="Z13" i="5" s="1"/>
  <c r="R11" i="5"/>
  <c r="U11" i="5" s="1"/>
  <c r="X11" i="5" s="1"/>
  <c r="AA11" i="5" s="1"/>
  <c r="Q12" i="5"/>
  <c r="T12" i="5" s="1"/>
  <c r="W12" i="5" s="1"/>
  <c r="Z12" i="5" s="1"/>
  <c r="S13" i="5"/>
  <c r="V13" i="5" s="1"/>
  <c r="Y13" i="5" s="1"/>
  <c r="AB13" i="5" s="1"/>
  <c r="Q11" i="5"/>
  <c r="T11" i="5" s="1"/>
  <c r="W11" i="5" s="1"/>
  <c r="Z11" i="5" s="1"/>
  <c r="Q26" i="5"/>
  <c r="T26" i="5" s="1"/>
  <c r="W26" i="5" s="1"/>
  <c r="Z26" i="5" s="1"/>
  <c r="R26" i="5"/>
  <c r="U26" i="5" s="1"/>
  <c r="X26" i="5" s="1"/>
  <c r="AA26" i="5" s="1"/>
  <c r="S26" i="5"/>
  <c r="V26" i="5" s="1"/>
  <c r="Y26" i="5" s="1"/>
  <c r="AB26" i="5" s="1"/>
  <c r="R24" i="5"/>
  <c r="U24" i="5" s="1"/>
  <c r="X24" i="5" s="1"/>
  <c r="AA24" i="5" s="1"/>
  <c r="Q25" i="5"/>
  <c r="T25" i="5" s="1"/>
  <c r="W25" i="5" s="1"/>
  <c r="Z25" i="5" s="1"/>
  <c r="Q24" i="5"/>
  <c r="T24" i="5" s="1"/>
  <c r="W24" i="5" s="1"/>
  <c r="Z24" i="5" s="1"/>
  <c r="R25" i="5"/>
  <c r="U25" i="5" s="1"/>
  <c r="X25" i="5" s="1"/>
  <c r="AA25" i="5" s="1"/>
  <c r="S25" i="5"/>
  <c r="V25" i="5" s="1"/>
  <c r="Y25" i="5" s="1"/>
  <c r="AB25" i="5" s="1"/>
  <c r="S24" i="5"/>
  <c r="V24" i="5" s="1"/>
  <c r="Y24" i="5" s="1"/>
  <c r="AB24" i="5" s="1"/>
  <c r="S85" i="5"/>
  <c r="V85" i="5" s="1"/>
  <c r="Y85" i="5" s="1"/>
  <c r="AB85" i="5" s="1"/>
  <c r="Q85" i="5"/>
  <c r="T85" i="5" s="1"/>
  <c r="W85" i="5" s="1"/>
  <c r="Z85" i="5" s="1"/>
  <c r="S86" i="5"/>
  <c r="V86" i="5" s="1"/>
  <c r="Y86" i="5" s="1"/>
  <c r="AB86" i="5" s="1"/>
  <c r="R85" i="5"/>
  <c r="U85" i="5" s="1"/>
  <c r="X85" i="5" s="1"/>
  <c r="AA85" i="5" s="1"/>
  <c r="Q86" i="5"/>
  <c r="T86" i="5" s="1"/>
  <c r="W86" i="5" s="1"/>
  <c r="Z86" i="5" s="1"/>
  <c r="R86" i="5"/>
  <c r="U86" i="5" s="1"/>
  <c r="X86" i="5" s="1"/>
  <c r="AA86" i="5" s="1"/>
  <c r="K95" i="5"/>
  <c r="R9" i="5"/>
  <c r="U9" i="5" s="1"/>
  <c r="X9" i="5" s="1"/>
  <c r="AA9" i="5" s="1"/>
  <c r="Q8" i="5"/>
  <c r="T8" i="5" s="1"/>
  <c r="W8" i="5" s="1"/>
  <c r="Z8" i="5" s="1"/>
  <c r="S9" i="5"/>
  <c r="V9" i="5" s="1"/>
  <c r="Y9" i="5" s="1"/>
  <c r="AB9" i="5" s="1"/>
  <c r="Q9" i="5"/>
  <c r="T9" i="5" s="1"/>
  <c r="W9" i="5" s="1"/>
  <c r="Z9" i="5" s="1"/>
  <c r="R8" i="5"/>
  <c r="U8" i="5" s="1"/>
  <c r="X8" i="5" s="1"/>
  <c r="AA8" i="5" s="1"/>
  <c r="S8" i="5"/>
  <c r="V8" i="5" s="1"/>
  <c r="Y8" i="5" s="1"/>
  <c r="AB8" i="5" s="1"/>
  <c r="Q41" i="5"/>
  <c r="T41" i="5" s="1"/>
  <c r="W41" i="5" s="1"/>
  <c r="Z41" i="5" s="1"/>
  <c r="S43" i="5"/>
  <c r="V43" i="5" s="1"/>
  <c r="Y43" i="5" s="1"/>
  <c r="AB43" i="5" s="1"/>
  <c r="Q43" i="5"/>
  <c r="T43" i="5" s="1"/>
  <c r="W43" i="5" s="1"/>
  <c r="Z43" i="5" s="1"/>
  <c r="R41" i="5"/>
  <c r="U41" i="5" s="1"/>
  <c r="X41" i="5" s="1"/>
  <c r="AA41" i="5" s="1"/>
  <c r="R38" i="5"/>
  <c r="U38" i="5" s="1"/>
  <c r="X38" i="5" s="1"/>
  <c r="AA38" i="5" s="1"/>
  <c r="Q40" i="5"/>
  <c r="T40" i="5" s="1"/>
  <c r="W40" i="5" s="1"/>
  <c r="Z40" i="5" s="1"/>
  <c r="Q39" i="5"/>
  <c r="T39" i="5" s="1"/>
  <c r="W39" i="5" s="1"/>
  <c r="Z39" i="5" s="1"/>
  <c r="S41" i="5"/>
  <c r="V41" i="5" s="1"/>
  <c r="Y41" i="5" s="1"/>
  <c r="AB41" i="5" s="1"/>
  <c r="S38" i="5"/>
  <c r="V38" i="5" s="1"/>
  <c r="Y38" i="5" s="1"/>
  <c r="AB38" i="5" s="1"/>
  <c r="S42" i="5"/>
  <c r="V42" i="5" s="1"/>
  <c r="Y42" i="5" s="1"/>
  <c r="AB42" i="5" s="1"/>
  <c r="R39" i="5"/>
  <c r="U39" i="5" s="1"/>
  <c r="X39" i="5" s="1"/>
  <c r="AA39" i="5" s="1"/>
  <c r="Q42" i="5"/>
  <c r="T42" i="5" s="1"/>
  <c r="W42" i="5" s="1"/>
  <c r="Z42" i="5" s="1"/>
  <c r="Q38" i="5"/>
  <c r="T38" i="5" s="1"/>
  <c r="W38" i="5" s="1"/>
  <c r="Z38" i="5" s="1"/>
  <c r="R40" i="5"/>
  <c r="U40" i="5" s="1"/>
  <c r="X40" i="5" s="1"/>
  <c r="AA40" i="5" s="1"/>
  <c r="S40" i="5"/>
  <c r="V40" i="5" s="1"/>
  <c r="Y40" i="5" s="1"/>
  <c r="AB40" i="5" s="1"/>
  <c r="S39" i="5"/>
  <c r="V39" i="5" s="1"/>
  <c r="Y39" i="5" s="1"/>
  <c r="AB39" i="5" s="1"/>
  <c r="R42" i="5"/>
  <c r="U42" i="5" s="1"/>
  <c r="X42" i="5" s="1"/>
  <c r="AA42" i="5" s="1"/>
  <c r="R43" i="5"/>
  <c r="U43" i="5" s="1"/>
  <c r="X43" i="5" s="1"/>
  <c r="AA43" i="5" s="1"/>
  <c r="M81" i="5"/>
  <c r="Q29" i="5"/>
  <c r="T29" i="5" s="1"/>
  <c r="W29" i="5" s="1"/>
  <c r="Z29" i="5" s="1"/>
  <c r="S31" i="5"/>
  <c r="V31" i="5" s="1"/>
  <c r="Y31" i="5" s="1"/>
  <c r="AB31" i="5" s="1"/>
  <c r="S30" i="5"/>
  <c r="V30" i="5" s="1"/>
  <c r="Y30" i="5" s="1"/>
  <c r="AB30" i="5" s="1"/>
  <c r="Q31" i="5"/>
  <c r="T31" i="5" s="1"/>
  <c r="W31" i="5" s="1"/>
  <c r="Z31" i="5" s="1"/>
  <c r="R31" i="5"/>
  <c r="U31" i="5" s="1"/>
  <c r="X31" i="5" s="1"/>
  <c r="AA31" i="5" s="1"/>
  <c r="R29" i="5"/>
  <c r="U29" i="5" s="1"/>
  <c r="X29" i="5" s="1"/>
  <c r="AA29" i="5" s="1"/>
  <c r="R28" i="5"/>
  <c r="U28" i="5" s="1"/>
  <c r="X28" i="5" s="1"/>
  <c r="AA28" i="5" s="1"/>
  <c r="Q30" i="5"/>
  <c r="T30" i="5" s="1"/>
  <c r="W30" i="5" s="1"/>
  <c r="Z30" i="5" s="1"/>
  <c r="S29" i="5"/>
  <c r="V29" i="5" s="1"/>
  <c r="Y29" i="5" s="1"/>
  <c r="AB29" i="5" s="1"/>
  <c r="S28" i="5"/>
  <c r="V28" i="5" s="1"/>
  <c r="Y28" i="5" s="1"/>
  <c r="AB28" i="5" s="1"/>
  <c r="Q28" i="5"/>
  <c r="T28" i="5" s="1"/>
  <c r="W28" i="5" s="1"/>
  <c r="Z28" i="5" s="1"/>
  <c r="R30" i="5"/>
  <c r="U30" i="5" s="1"/>
  <c r="X30" i="5" s="1"/>
  <c r="AA30" i="5" s="1"/>
  <c r="M66" i="5"/>
  <c r="L81" i="5"/>
  <c r="Q95" i="5"/>
  <c r="T95" i="5" s="1"/>
  <c r="W95" i="5" s="1"/>
  <c r="Z95" i="5" s="1"/>
  <c r="R95" i="5"/>
  <c r="U95" i="5" s="1"/>
  <c r="X95" i="5" s="1"/>
  <c r="AA95" i="5" s="1"/>
  <c r="S95" i="5"/>
  <c r="V95" i="5" s="1"/>
  <c r="Y95" i="5" s="1"/>
  <c r="AB95" i="5" s="1"/>
  <c r="R94" i="5"/>
  <c r="U94" i="5" s="1"/>
  <c r="X94" i="5" s="1"/>
  <c r="AA94" i="5" s="1"/>
  <c r="S94" i="5"/>
  <c r="V94" i="5" s="1"/>
  <c r="Y94" i="5" s="1"/>
  <c r="AB94" i="5" s="1"/>
  <c r="Q94" i="5"/>
  <c r="T94" i="5" s="1"/>
  <c r="W94" i="5" s="1"/>
  <c r="Z94" i="5" s="1"/>
  <c r="M79" i="5"/>
  <c r="M45" i="5"/>
  <c r="L45" i="5"/>
  <c r="L70" i="5"/>
  <c r="L79" i="5"/>
  <c r="M83" i="5"/>
  <c r="L89" i="5"/>
  <c r="O89" i="5" s="1"/>
  <c r="K11" i="5"/>
  <c r="M47" i="5"/>
  <c r="L72" i="5"/>
  <c r="M22" i="5"/>
  <c r="P22" i="5" s="1"/>
  <c r="L6" i="5"/>
  <c r="O6" i="5" s="1"/>
  <c r="K4" i="5"/>
  <c r="N4" i="5" s="1"/>
  <c r="K3" i="5"/>
  <c r="N3" i="5" s="1"/>
  <c r="K5" i="5"/>
  <c r="N5" i="5" s="1"/>
  <c r="L3" i="5"/>
  <c r="O3" i="5" s="1"/>
  <c r="L8" i="5"/>
  <c r="L15" i="5"/>
  <c r="M38" i="5"/>
  <c r="L47" i="5"/>
  <c r="M41" i="5"/>
  <c r="K85" i="5"/>
  <c r="P89" i="5"/>
  <c r="P70" i="5"/>
  <c r="N92" i="5"/>
  <c r="L76" i="5"/>
  <c r="O76" i="5" s="1"/>
  <c r="L11" i="5"/>
  <c r="K6" i="5"/>
  <c r="N6" i="5" s="1"/>
  <c r="K22" i="5"/>
  <c r="N22" i="5" s="1"/>
  <c r="K42" i="5"/>
  <c r="L67" i="5"/>
  <c r="M72" i="5"/>
  <c r="K74" i="5"/>
  <c r="N74" i="5" s="1"/>
  <c r="K76" i="5"/>
  <c r="N76" i="5" s="1"/>
  <c r="K89" i="5"/>
  <c r="N89" i="5" s="1"/>
  <c r="M12" i="5"/>
  <c r="M21" i="5"/>
  <c r="P21" i="5" s="1"/>
  <c r="M74" i="5"/>
  <c r="P74" i="5" s="1"/>
  <c r="M75" i="5"/>
  <c r="P75" i="5" s="1"/>
  <c r="K91" i="5"/>
  <c r="N91" i="5" s="1"/>
  <c r="L12" i="5"/>
  <c r="L18" i="5"/>
  <c r="K40" i="5"/>
  <c r="K72" i="5"/>
  <c r="N72" i="5" s="1"/>
  <c r="L74" i="5"/>
  <c r="O74" i="5" s="1"/>
  <c r="L75" i="5"/>
  <c r="O75" i="5" s="1"/>
  <c r="L83" i="5"/>
  <c r="M85" i="5"/>
  <c r="M91" i="5"/>
  <c r="P91" i="5" s="1"/>
  <c r="K18" i="5"/>
  <c r="L39" i="5"/>
  <c r="L66" i="5"/>
  <c r="M71" i="5"/>
  <c r="P71" i="5" s="1"/>
  <c r="M77" i="5"/>
  <c r="P77" i="5" s="1"/>
  <c r="K75" i="5"/>
  <c r="N75" i="5" s="1"/>
  <c r="K83" i="5"/>
  <c r="L85" i="5"/>
  <c r="K88" i="5"/>
  <c r="N88" i="5" s="1"/>
  <c r="L91" i="5"/>
  <c r="O91" i="5" s="1"/>
  <c r="L9" i="5"/>
  <c r="L24" i="5"/>
  <c r="M68" i="5"/>
  <c r="L71" i="5"/>
  <c r="O71" i="5" s="1"/>
  <c r="L77" i="5"/>
  <c r="O77" i="5" s="1"/>
  <c r="M82" i="5"/>
  <c r="M86" i="5"/>
  <c r="M88" i="5"/>
  <c r="P88" i="5" s="1"/>
  <c r="M92" i="5"/>
  <c r="P92" i="5" s="1"/>
  <c r="K25" i="5"/>
  <c r="L68" i="5"/>
  <c r="K70" i="5"/>
  <c r="N70" i="5" s="1"/>
  <c r="K71" i="5"/>
  <c r="N71" i="5" s="1"/>
  <c r="K77" i="5"/>
  <c r="N77" i="5" s="1"/>
  <c r="L82" i="5"/>
  <c r="L86" i="5"/>
  <c r="L88" i="5"/>
  <c r="O88" i="5" s="1"/>
  <c r="L92" i="5"/>
  <c r="O92" i="5" s="1"/>
  <c r="K81" i="5"/>
  <c r="P72" i="5"/>
  <c r="P76" i="5"/>
  <c r="O70" i="5"/>
  <c r="O72" i="5"/>
  <c r="K58" i="5"/>
  <c r="M58" i="5"/>
  <c r="K54" i="5"/>
  <c r="N54" i="5" s="1"/>
  <c r="M60" i="5"/>
  <c r="L16" i="5"/>
  <c r="L31" i="5"/>
  <c r="K39" i="5"/>
  <c r="M54" i="5"/>
  <c r="P54" i="5" s="1"/>
  <c r="L60" i="5"/>
  <c r="K36" i="5"/>
  <c r="M11" i="5"/>
  <c r="K24" i="5"/>
  <c r="M30" i="5"/>
  <c r="K38" i="5"/>
  <c r="M55" i="5"/>
  <c r="P55" i="5" s="1"/>
  <c r="K60" i="5"/>
  <c r="K55" i="5"/>
  <c r="N55" i="5" s="1"/>
  <c r="M59" i="5"/>
  <c r="M8" i="5"/>
  <c r="M13" i="5"/>
  <c r="K8" i="5"/>
  <c r="M26" i="5"/>
  <c r="M42" i="5"/>
  <c r="K52" i="5"/>
  <c r="L63" i="5"/>
  <c r="K9" i="5"/>
  <c r="M18" i="5"/>
  <c r="K16" i="5"/>
  <c r="L22" i="5"/>
  <c r="O22" i="5" s="1"/>
  <c r="M24" i="5"/>
  <c r="K31" i="5"/>
  <c r="M35" i="5"/>
  <c r="L42" i="5"/>
  <c r="M39" i="5"/>
  <c r="M51" i="5"/>
  <c r="L55" i="5"/>
  <c r="O55" i="5" s="1"/>
  <c r="K62" i="5"/>
  <c r="K63" i="5"/>
  <c r="L30" i="5"/>
  <c r="K35" i="5"/>
  <c r="K49" i="5"/>
  <c r="K51" i="5"/>
  <c r="L62" i="5"/>
  <c r="K33" i="5"/>
  <c r="M17" i="5"/>
  <c r="L21" i="5"/>
  <c r="O21" i="5" s="1"/>
  <c r="L26" i="5"/>
  <c r="K28" i="5"/>
  <c r="K30" i="5"/>
  <c r="M33" i="5"/>
  <c r="M34" i="5"/>
  <c r="L38" i="5"/>
  <c r="L41" i="5"/>
  <c r="K47" i="5"/>
  <c r="M49" i="5"/>
  <c r="M50" i="5"/>
  <c r="L54" i="5"/>
  <c r="O54" i="5" s="1"/>
  <c r="L59" i="5"/>
  <c r="M64" i="5"/>
  <c r="L35" i="5"/>
  <c r="L51" i="5"/>
  <c r="M62" i="5"/>
  <c r="K15" i="5"/>
  <c r="L17" i="5"/>
  <c r="K20" i="5"/>
  <c r="N20" i="5" s="1"/>
  <c r="K21" i="5"/>
  <c r="N21" i="5" s="1"/>
  <c r="K26" i="5"/>
  <c r="M28" i="5"/>
  <c r="M29" i="5"/>
  <c r="L33" i="5"/>
  <c r="L34" i="5"/>
  <c r="M43" i="5"/>
  <c r="K41" i="5"/>
  <c r="M46" i="5"/>
  <c r="L49" i="5"/>
  <c r="L50" i="5"/>
  <c r="M56" i="5"/>
  <c r="K59" i="5"/>
  <c r="L64" i="5"/>
  <c r="K13" i="5"/>
  <c r="K17" i="5"/>
  <c r="M20" i="5"/>
  <c r="M25" i="5"/>
  <c r="L28" i="5"/>
  <c r="L29" i="5"/>
  <c r="M36" i="5"/>
  <c r="K34" i="5"/>
  <c r="L43" i="5"/>
  <c r="M40" i="5"/>
  <c r="L46" i="5"/>
  <c r="M52" i="5"/>
  <c r="K50" i="5"/>
  <c r="L56" i="5"/>
  <c r="O56" i="5" s="1"/>
  <c r="K64" i="5"/>
  <c r="K12" i="5"/>
  <c r="M15" i="5"/>
  <c r="M31" i="5"/>
  <c r="K43" i="5"/>
  <c r="K45" i="5"/>
  <c r="N56" i="5"/>
  <c r="O20" i="5"/>
  <c r="M5" i="5"/>
  <c r="M4" i="5"/>
  <c r="L5" i="5"/>
  <c r="O5" i="5" s="1"/>
  <c r="L4" i="5"/>
  <c r="O4" i="5" s="1"/>
  <c r="M3" i="5"/>
  <c r="M6" i="5"/>
  <c r="T51" i="4"/>
  <c r="T50" i="4"/>
  <c r="T49" i="4"/>
  <c r="I25" i="2"/>
  <c r="N18" i="2"/>
  <c r="O16" i="2" s="1"/>
  <c r="P16" i="2" s="1"/>
  <c r="P90" i="5" l="1"/>
  <c r="P93" i="5"/>
  <c r="P73" i="5"/>
  <c r="P78" i="5"/>
  <c r="P20" i="5"/>
  <c r="P23" i="5" s="1"/>
  <c r="P4" i="5"/>
  <c r="P3" i="5"/>
  <c r="P5" i="5"/>
  <c r="S5" i="5" s="1"/>
  <c r="V5" i="5" s="1"/>
  <c r="Y5" i="5" s="1"/>
  <c r="AB5" i="5" s="1"/>
  <c r="P6" i="5"/>
  <c r="P56" i="5"/>
  <c r="P57" i="5" s="1"/>
  <c r="O17" i="2"/>
  <c r="P17" i="2" s="1"/>
  <c r="P18" i="2"/>
  <c r="Q5" i="5" l="1"/>
  <c r="T5" i="5" s="1"/>
  <c r="W5" i="5" s="1"/>
  <c r="Z5" i="5" s="1"/>
  <c r="Q3" i="5"/>
  <c r="T3" i="5" s="1"/>
  <c r="W3" i="5" s="1"/>
  <c r="Z3" i="5" s="1"/>
  <c r="R89" i="5"/>
  <c r="U89" i="5" s="1"/>
  <c r="X89" i="5" s="1"/>
  <c r="AA89" i="5" s="1"/>
  <c r="S89" i="5"/>
  <c r="V89" i="5" s="1"/>
  <c r="Y89" i="5" s="1"/>
  <c r="AB89" i="5" s="1"/>
  <c r="R88" i="5"/>
  <c r="U88" i="5" s="1"/>
  <c r="X88" i="5" s="1"/>
  <c r="AA88" i="5" s="1"/>
  <c r="Q89" i="5"/>
  <c r="T89" i="5" s="1"/>
  <c r="W89" i="5" s="1"/>
  <c r="Z89" i="5" s="1"/>
  <c r="S88" i="5"/>
  <c r="V88" i="5" s="1"/>
  <c r="Y88" i="5" s="1"/>
  <c r="AB88" i="5" s="1"/>
  <c r="Q88" i="5"/>
  <c r="T88" i="5" s="1"/>
  <c r="W88" i="5" s="1"/>
  <c r="Z88" i="5" s="1"/>
  <c r="S22" i="5"/>
  <c r="V22" i="5" s="1"/>
  <c r="Y22" i="5" s="1"/>
  <c r="AB22" i="5" s="1"/>
  <c r="R20" i="5"/>
  <c r="U20" i="5" s="1"/>
  <c r="X20" i="5" s="1"/>
  <c r="AA20" i="5" s="1"/>
  <c r="S20" i="5"/>
  <c r="V20" i="5" s="1"/>
  <c r="Y20" i="5" s="1"/>
  <c r="AB20" i="5" s="1"/>
  <c r="Q21" i="5"/>
  <c r="T21" i="5" s="1"/>
  <c r="W21" i="5" s="1"/>
  <c r="Z21" i="5" s="1"/>
  <c r="Q20" i="5"/>
  <c r="T20" i="5" s="1"/>
  <c r="W20" i="5" s="1"/>
  <c r="Z20" i="5" s="1"/>
  <c r="S21" i="5"/>
  <c r="V21" i="5" s="1"/>
  <c r="Y21" i="5" s="1"/>
  <c r="AB21" i="5" s="1"/>
  <c r="R21" i="5"/>
  <c r="U21" i="5" s="1"/>
  <c r="X21" i="5" s="1"/>
  <c r="AA21" i="5" s="1"/>
  <c r="Q22" i="5"/>
  <c r="T22" i="5" s="1"/>
  <c r="W22" i="5" s="1"/>
  <c r="Z22" i="5" s="1"/>
  <c r="R22" i="5"/>
  <c r="U22" i="5" s="1"/>
  <c r="X22" i="5" s="1"/>
  <c r="AA22" i="5" s="1"/>
  <c r="S54" i="5"/>
  <c r="V54" i="5" s="1"/>
  <c r="Y54" i="5" s="1"/>
  <c r="AB54" i="5" s="1"/>
  <c r="Q55" i="5"/>
  <c r="T55" i="5" s="1"/>
  <c r="W55" i="5" s="1"/>
  <c r="Z55" i="5" s="1"/>
  <c r="Q54" i="5"/>
  <c r="T54" i="5" s="1"/>
  <c r="W54" i="5" s="1"/>
  <c r="Z54" i="5" s="1"/>
  <c r="R55" i="5"/>
  <c r="U55" i="5" s="1"/>
  <c r="X55" i="5" s="1"/>
  <c r="AA55" i="5" s="1"/>
  <c r="S55" i="5"/>
  <c r="V55" i="5" s="1"/>
  <c r="Y55" i="5" s="1"/>
  <c r="AB55" i="5" s="1"/>
  <c r="R56" i="5"/>
  <c r="U56" i="5" s="1"/>
  <c r="X56" i="5" s="1"/>
  <c r="AA56" i="5" s="1"/>
  <c r="S56" i="5"/>
  <c r="V56" i="5" s="1"/>
  <c r="Y56" i="5" s="1"/>
  <c r="AB56" i="5" s="1"/>
  <c r="R54" i="5"/>
  <c r="U54" i="5" s="1"/>
  <c r="X54" i="5" s="1"/>
  <c r="AA54" i="5" s="1"/>
  <c r="Q56" i="5"/>
  <c r="T56" i="5" s="1"/>
  <c r="W56" i="5" s="1"/>
  <c r="Z56" i="5" s="1"/>
  <c r="R75" i="5"/>
  <c r="U75" i="5" s="1"/>
  <c r="X75" i="5" s="1"/>
  <c r="AA75" i="5" s="1"/>
  <c r="S75" i="5"/>
  <c r="V75" i="5" s="1"/>
  <c r="Y75" i="5" s="1"/>
  <c r="AB75" i="5" s="1"/>
  <c r="Q76" i="5"/>
  <c r="T76" i="5" s="1"/>
  <c r="W76" i="5" s="1"/>
  <c r="Z76" i="5" s="1"/>
  <c r="R74" i="5"/>
  <c r="U74" i="5" s="1"/>
  <c r="X74" i="5" s="1"/>
  <c r="AA74" i="5" s="1"/>
  <c r="S74" i="5"/>
  <c r="V74" i="5" s="1"/>
  <c r="Y74" i="5" s="1"/>
  <c r="AB74" i="5" s="1"/>
  <c r="Q74" i="5"/>
  <c r="T74" i="5" s="1"/>
  <c r="W74" i="5" s="1"/>
  <c r="Z74" i="5" s="1"/>
  <c r="R76" i="5"/>
  <c r="U76" i="5" s="1"/>
  <c r="X76" i="5" s="1"/>
  <c r="AA76" i="5" s="1"/>
  <c r="R77" i="5"/>
  <c r="U77" i="5" s="1"/>
  <c r="X77" i="5" s="1"/>
  <c r="AA77" i="5" s="1"/>
  <c r="Q75" i="5"/>
  <c r="T75" i="5" s="1"/>
  <c r="W75" i="5" s="1"/>
  <c r="Z75" i="5" s="1"/>
  <c r="Q77" i="5"/>
  <c r="T77" i="5" s="1"/>
  <c r="W77" i="5" s="1"/>
  <c r="Z77" i="5" s="1"/>
  <c r="S76" i="5"/>
  <c r="V76" i="5" s="1"/>
  <c r="Y76" i="5" s="1"/>
  <c r="AB76" i="5" s="1"/>
  <c r="S77" i="5"/>
  <c r="V77" i="5" s="1"/>
  <c r="Y77" i="5" s="1"/>
  <c r="AB77" i="5" s="1"/>
  <c r="Q91" i="5"/>
  <c r="T91" i="5" s="1"/>
  <c r="W91" i="5" s="1"/>
  <c r="Z91" i="5" s="1"/>
  <c r="Q92" i="5"/>
  <c r="T92" i="5" s="1"/>
  <c r="W92" i="5" s="1"/>
  <c r="Z92" i="5" s="1"/>
  <c r="S92" i="5"/>
  <c r="V92" i="5" s="1"/>
  <c r="Y92" i="5" s="1"/>
  <c r="AB92" i="5" s="1"/>
  <c r="S91" i="5"/>
  <c r="V91" i="5" s="1"/>
  <c r="Y91" i="5" s="1"/>
  <c r="AB91" i="5" s="1"/>
  <c r="R92" i="5"/>
  <c r="U92" i="5" s="1"/>
  <c r="X92" i="5" s="1"/>
  <c r="AA92" i="5" s="1"/>
  <c r="R91" i="5"/>
  <c r="U91" i="5" s="1"/>
  <c r="X91" i="5" s="1"/>
  <c r="AA91" i="5" s="1"/>
  <c r="S70" i="5"/>
  <c r="V70" i="5" s="1"/>
  <c r="Y70" i="5" s="1"/>
  <c r="AB70" i="5" s="1"/>
  <c r="Q71" i="5"/>
  <c r="T71" i="5" s="1"/>
  <c r="W71" i="5" s="1"/>
  <c r="Z71" i="5" s="1"/>
  <c r="Q70" i="5"/>
  <c r="T70" i="5" s="1"/>
  <c r="W70" i="5" s="1"/>
  <c r="Z70" i="5" s="1"/>
  <c r="R71" i="5"/>
  <c r="U71" i="5" s="1"/>
  <c r="X71" i="5" s="1"/>
  <c r="AA71" i="5" s="1"/>
  <c r="S71" i="5"/>
  <c r="V71" i="5" s="1"/>
  <c r="Y71" i="5" s="1"/>
  <c r="AB71" i="5" s="1"/>
  <c r="R72" i="5"/>
  <c r="U72" i="5" s="1"/>
  <c r="X72" i="5" s="1"/>
  <c r="AA72" i="5" s="1"/>
  <c r="S72" i="5"/>
  <c r="V72" i="5" s="1"/>
  <c r="Y72" i="5" s="1"/>
  <c r="AB72" i="5" s="1"/>
  <c r="Q72" i="5"/>
  <c r="T72" i="5" s="1"/>
  <c r="W72" i="5" s="1"/>
  <c r="Z72" i="5" s="1"/>
  <c r="R70" i="5"/>
  <c r="U70" i="5" s="1"/>
  <c r="X70" i="5" s="1"/>
  <c r="AA70" i="5" s="1"/>
  <c r="S3" i="5"/>
  <c r="V3" i="5" s="1"/>
  <c r="Y3" i="5" s="1"/>
  <c r="AB3" i="5" s="1"/>
  <c r="R4" i="5"/>
  <c r="U4" i="5" s="1"/>
  <c r="X4" i="5" s="1"/>
  <c r="AA4" i="5" s="1"/>
  <c r="R3" i="5"/>
  <c r="U3" i="5" s="1"/>
  <c r="X3" i="5" s="1"/>
  <c r="AA3" i="5" s="1"/>
  <c r="R5" i="5"/>
  <c r="U5" i="5" s="1"/>
  <c r="X5" i="5" s="1"/>
  <c r="AA5" i="5" s="1"/>
  <c r="S4" i="5"/>
  <c r="V4" i="5" s="1"/>
  <c r="Y4" i="5" s="1"/>
  <c r="AB4" i="5" s="1"/>
  <c r="Q4" i="5"/>
  <c r="T4" i="5" s="1"/>
  <c r="W4" i="5" s="1"/>
  <c r="Z4" i="5" s="1"/>
  <c r="V38" i="3"/>
  <c r="V71" i="3"/>
  <c r="V68" i="3"/>
  <c r="V69" i="3"/>
  <c r="V70" i="3"/>
  <c r="V67" i="3"/>
  <c r="V66" i="3"/>
  <c r="V4" i="3"/>
  <c r="V3" i="3"/>
  <c r="V8" i="3"/>
  <c r="V7" i="3"/>
  <c r="V6" i="3"/>
  <c r="V11" i="3"/>
  <c r="V10" i="3"/>
  <c r="V9" i="3"/>
  <c r="V14" i="3"/>
  <c r="V13" i="3"/>
  <c r="V12" i="3"/>
  <c r="V17" i="3"/>
  <c r="V16" i="3"/>
  <c r="V15" i="3"/>
  <c r="V20" i="3"/>
  <c r="V19" i="3"/>
  <c r="V18" i="3"/>
  <c r="V23" i="3"/>
  <c r="V22" i="3"/>
  <c r="V21" i="3"/>
  <c r="V26" i="3"/>
  <c r="V25" i="3"/>
  <c r="V24" i="3"/>
  <c r="V29" i="3"/>
  <c r="V28" i="3"/>
  <c r="V27" i="3"/>
  <c r="V32" i="3"/>
  <c r="V31" i="3"/>
  <c r="V30" i="3"/>
  <c r="V35" i="3"/>
  <c r="V34" i="3"/>
  <c r="V33" i="3"/>
  <c r="V37" i="3"/>
  <c r="V36" i="3"/>
  <c r="V41" i="3"/>
  <c r="V40" i="3"/>
  <c r="V39" i="3"/>
  <c r="V44" i="3"/>
  <c r="V43" i="3"/>
  <c r="V42" i="3"/>
  <c r="V47" i="3"/>
  <c r="V46" i="3"/>
  <c r="V45" i="3"/>
  <c r="V50" i="3"/>
  <c r="V49" i="3"/>
  <c r="V48" i="3"/>
  <c r="V53" i="3"/>
  <c r="V52" i="3"/>
  <c r="V51" i="3"/>
  <c r="V59" i="3"/>
  <c r="V58" i="3"/>
  <c r="V57" i="3"/>
  <c r="V62" i="3"/>
  <c r="V61" i="3"/>
  <c r="V60" i="3"/>
  <c r="V65" i="3"/>
  <c r="V64" i="3"/>
  <c r="V63" i="3"/>
  <c r="V56" i="3"/>
  <c r="V55" i="3"/>
  <c r="V54" i="3"/>
  <c r="V5" i="3"/>
  <c r="V72"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Remi Galinier</author>
  </authors>
  <commentList>
    <comment ref="C20" authorId="0" shapeId="0" xr:uid="{00000000-0006-0000-0100-000001000000}">
      <text>
        <r>
          <rPr>
            <b/>
            <sz val="9"/>
            <color indexed="81"/>
            <rFont val="Tahoma"/>
            <family val="2"/>
          </rPr>
          <t>Remi Galinier:</t>
        </r>
        <r>
          <rPr>
            <sz val="9"/>
            <color indexed="81"/>
            <rFont val="Tahoma"/>
            <family val="2"/>
          </rPr>
          <t xml:space="preserve">
Calcul manuel qui diffère de la source de UNFPA pour adapter le découpage admin de 2016 à la structure de 2009</t>
        </r>
      </text>
    </comment>
    <comment ref="C21" authorId="0" shapeId="0" xr:uid="{00000000-0006-0000-0100-000002000000}">
      <text>
        <r>
          <rPr>
            <b/>
            <sz val="9"/>
            <color indexed="81"/>
            <rFont val="Tahoma"/>
            <family val="2"/>
          </rPr>
          <t>Remi Galinier:</t>
        </r>
        <r>
          <rPr>
            <sz val="9"/>
            <color indexed="81"/>
            <rFont val="Tahoma"/>
            <family val="2"/>
          </rPr>
          <t xml:space="preserve">
Calcul manuel qui diffère de la source de UNFPA pour adapter le découpage admin de 2016 à la structure de 2009</t>
        </r>
      </text>
    </comment>
    <comment ref="C22" authorId="0" shapeId="0" xr:uid="{00000000-0006-0000-0100-000003000000}">
      <text>
        <r>
          <rPr>
            <b/>
            <sz val="9"/>
            <color indexed="81"/>
            <rFont val="Tahoma"/>
            <family val="2"/>
          </rPr>
          <t>Remi Galinier:</t>
        </r>
        <r>
          <rPr>
            <sz val="9"/>
            <color indexed="81"/>
            <rFont val="Tahoma"/>
            <family val="2"/>
          </rPr>
          <t xml:space="preserve">
Calcul manuel qui diffère de la source de UNFPA pour adapter le découpage admin de 2016 à la structure de 2009</t>
        </r>
      </text>
    </comment>
    <comment ref="C23" authorId="0" shapeId="0" xr:uid="{00000000-0006-0000-0100-000004000000}">
      <text>
        <r>
          <rPr>
            <b/>
            <sz val="9"/>
            <color indexed="81"/>
            <rFont val="Tahoma"/>
            <family val="2"/>
          </rPr>
          <t>Remi Galinier:</t>
        </r>
        <r>
          <rPr>
            <sz val="9"/>
            <color indexed="81"/>
            <rFont val="Tahoma"/>
            <family val="2"/>
          </rPr>
          <t xml:space="preserve">
Calcul manuel qui diffère de la source de UNFPA pour adapter le découpage admin de 2016 à la structure de 2009</t>
        </r>
      </text>
    </comment>
    <comment ref="C42" authorId="0" shapeId="0" xr:uid="{00000000-0006-0000-0100-000005000000}">
      <text>
        <r>
          <rPr>
            <b/>
            <sz val="9"/>
            <color indexed="81"/>
            <rFont val="Tahoma"/>
            <family val="2"/>
          </rPr>
          <t>Remi Galinier:</t>
        </r>
        <r>
          <rPr>
            <sz val="9"/>
            <color indexed="81"/>
            <rFont val="Tahoma"/>
            <family val="2"/>
          </rPr>
          <t xml:space="preserve">
Calcul manuel qui diffère de la source de UNFPA pour adapter le découpage admin de 2016 à la structure de 2009</t>
        </r>
      </text>
    </comment>
    <comment ref="R42" authorId="0" shapeId="0" xr:uid="{00000000-0006-0000-0100-000006000000}">
      <text>
        <r>
          <rPr>
            <b/>
            <sz val="9"/>
            <color indexed="81"/>
            <rFont val="Tahoma"/>
            <family val="2"/>
          </rPr>
          <t>Remi Galinier:</t>
        </r>
        <r>
          <rPr>
            <sz val="9"/>
            <color indexed="81"/>
            <rFont val="Tahoma"/>
            <family val="2"/>
          </rPr>
          <t xml:space="preserve">
Calculé à partir de la structure de 2019 et les chiffres de projection de 2020 et la désagrégation par sexe</t>
        </r>
      </text>
    </comment>
    <comment ref="S42" authorId="0" shapeId="0" xr:uid="{00000000-0006-0000-0100-000007000000}">
      <text>
        <r>
          <rPr>
            <b/>
            <sz val="9"/>
            <color indexed="81"/>
            <rFont val="Tahoma"/>
            <family val="2"/>
          </rPr>
          <t>Remi Galinier:</t>
        </r>
        <r>
          <rPr>
            <sz val="9"/>
            <color indexed="81"/>
            <rFont val="Tahoma"/>
            <family val="2"/>
          </rPr>
          <t xml:space="preserve">
Calculé à partir de la structure de 2019 et les chiffres de projection de 2020 et la désagrégation par sexe</t>
        </r>
      </text>
    </comment>
    <comment ref="C43" authorId="0" shapeId="0" xr:uid="{00000000-0006-0000-0100-000008000000}">
      <text>
        <r>
          <rPr>
            <b/>
            <sz val="9"/>
            <color indexed="81"/>
            <rFont val="Tahoma"/>
            <family val="2"/>
          </rPr>
          <t>Remi Galinier:</t>
        </r>
        <r>
          <rPr>
            <sz val="9"/>
            <color indexed="81"/>
            <rFont val="Tahoma"/>
            <family val="2"/>
          </rPr>
          <t xml:space="preserve">
Calcul manuel qui diffère de la source de UNFPA pour adapter le découpage admin de 2016 à la structure de 2009</t>
        </r>
      </text>
    </comment>
    <comment ref="R43" authorId="0" shapeId="0" xr:uid="{00000000-0006-0000-0100-000009000000}">
      <text>
        <r>
          <rPr>
            <b/>
            <sz val="9"/>
            <color indexed="81"/>
            <rFont val="Tahoma"/>
            <family val="2"/>
          </rPr>
          <t>Remi Galinier:</t>
        </r>
        <r>
          <rPr>
            <sz val="9"/>
            <color indexed="81"/>
            <rFont val="Tahoma"/>
            <family val="2"/>
          </rPr>
          <t xml:space="preserve">
Calculé à partir de la structure de 2019 et les chiffres de projection de 2020 et la désagrégation par sexe</t>
        </r>
      </text>
    </comment>
    <comment ref="S43" authorId="0" shapeId="0" xr:uid="{00000000-0006-0000-0100-00000A000000}">
      <text>
        <r>
          <rPr>
            <b/>
            <sz val="9"/>
            <color indexed="81"/>
            <rFont val="Tahoma"/>
            <family val="2"/>
          </rPr>
          <t>Remi Galinier:</t>
        </r>
        <r>
          <rPr>
            <sz val="9"/>
            <color indexed="81"/>
            <rFont val="Tahoma"/>
            <family val="2"/>
          </rPr>
          <t xml:space="preserve">
Calculé à partir de la structure de 2019 et les chiffres de projection de 2020 et la désagrégation par sexe</t>
        </r>
      </text>
    </comment>
    <comment ref="C54" authorId="0" shapeId="0" xr:uid="{00000000-0006-0000-0100-00000B000000}">
      <text>
        <r>
          <rPr>
            <b/>
            <sz val="9"/>
            <color indexed="81"/>
            <rFont val="Tahoma"/>
            <family val="2"/>
          </rPr>
          <t>Remi Galinier:</t>
        </r>
        <r>
          <rPr>
            <sz val="9"/>
            <color indexed="81"/>
            <rFont val="Tahoma"/>
            <family val="2"/>
          </rPr>
          <t xml:space="preserve">
Calcul manuel qui diffère de la source de UNFPA pour adapter le découpage admin de 2016 à la structure de 2009</t>
        </r>
      </text>
    </comment>
    <comment ref="C55" authorId="0" shapeId="0" xr:uid="{00000000-0006-0000-0100-00000C000000}">
      <text>
        <r>
          <rPr>
            <b/>
            <sz val="9"/>
            <color indexed="81"/>
            <rFont val="Tahoma"/>
            <family val="2"/>
          </rPr>
          <t>Remi Galinier:</t>
        </r>
        <r>
          <rPr>
            <sz val="9"/>
            <color indexed="81"/>
            <rFont val="Tahoma"/>
            <family val="2"/>
          </rPr>
          <t xml:space="preserve">
Calcul manuel qui diffère de la source de UNFPA pour adapter le découpage admin de 2016 à la structure de 2009</t>
        </r>
      </text>
    </comment>
    <comment ref="C58" authorId="0" shapeId="0" xr:uid="{00000000-0006-0000-0100-00000D000000}">
      <text>
        <r>
          <rPr>
            <b/>
            <sz val="9"/>
            <color indexed="81"/>
            <rFont val="Tahoma"/>
            <family val="2"/>
          </rPr>
          <t>Remi Galinier:</t>
        </r>
        <r>
          <rPr>
            <sz val="9"/>
            <color indexed="81"/>
            <rFont val="Tahoma"/>
            <family val="2"/>
          </rPr>
          <t xml:space="preserve">
Calcul manuel qui diffère de la source de UNFPA pour adapter le découpage admin de 2016 à la structure de 2009</t>
        </r>
      </text>
    </comment>
    <comment ref="C59" authorId="0" shapeId="0" xr:uid="{00000000-0006-0000-0100-00000E000000}">
      <text>
        <r>
          <rPr>
            <b/>
            <sz val="9"/>
            <color indexed="81"/>
            <rFont val="Tahoma"/>
            <family val="2"/>
          </rPr>
          <t>Remi Galinier:</t>
        </r>
        <r>
          <rPr>
            <sz val="9"/>
            <color indexed="81"/>
            <rFont val="Tahoma"/>
            <family val="2"/>
          </rPr>
          <t xml:space="preserve">
Calcul manuel qui diffère de la source de UNFPA pour adapter le découpage admin de 2016 à la structure de 2009. Megri = SP Matadjana de 2009</t>
        </r>
      </text>
    </comment>
    <comment ref="C61" authorId="0" shapeId="0" xr:uid="{00000000-0006-0000-0100-00000F000000}">
      <text>
        <r>
          <rPr>
            <b/>
            <sz val="9"/>
            <color indexed="81"/>
            <rFont val="Tahoma"/>
            <family val="2"/>
          </rPr>
          <t>Remi Galinier:</t>
        </r>
        <r>
          <rPr>
            <sz val="9"/>
            <color indexed="81"/>
            <rFont val="Tahoma"/>
            <family val="2"/>
          </rPr>
          <t xml:space="preserve">
Calcul manuel qui diffère de la source de UNFPA pour adapter le découpage admin de 2016 à la structure de 2009</t>
        </r>
      </text>
    </comment>
    <comment ref="C62" authorId="0" shapeId="0" xr:uid="{00000000-0006-0000-0100-000010000000}">
      <text>
        <r>
          <rPr>
            <b/>
            <sz val="9"/>
            <color indexed="81"/>
            <rFont val="Tahoma"/>
            <family val="2"/>
          </rPr>
          <t>Remi Galinier:</t>
        </r>
        <r>
          <rPr>
            <sz val="9"/>
            <color indexed="81"/>
            <rFont val="Tahoma"/>
            <family val="2"/>
          </rPr>
          <t xml:space="preserve">
Calcul manuel qui diffère de la source de UNFPA pour adapter le découpage admin de 2016 à la structure de 2009</t>
        </r>
      </text>
    </comment>
    <comment ref="C63" authorId="0" shapeId="0" xr:uid="{00000000-0006-0000-0100-000011000000}">
      <text>
        <r>
          <rPr>
            <b/>
            <sz val="9"/>
            <color indexed="81"/>
            <rFont val="Tahoma"/>
            <family val="2"/>
          </rPr>
          <t>Remi Galinier:</t>
        </r>
        <r>
          <rPr>
            <sz val="9"/>
            <color indexed="81"/>
            <rFont val="Tahoma"/>
            <family val="2"/>
          </rPr>
          <t xml:space="preserve">
Calcul manuel qui diffère de la source de UNFPA pour adapter le découpage admin de 2016 à la structure de 2009</t>
        </r>
      </text>
    </comment>
    <comment ref="C64" authorId="0" shapeId="0" xr:uid="{00000000-0006-0000-0100-000012000000}">
      <text>
        <r>
          <rPr>
            <b/>
            <sz val="9"/>
            <color indexed="81"/>
            <rFont val="Tahoma"/>
            <family val="2"/>
          </rPr>
          <t>Remi Galinier:</t>
        </r>
        <r>
          <rPr>
            <sz val="9"/>
            <color indexed="81"/>
            <rFont val="Tahoma"/>
            <family val="2"/>
          </rPr>
          <t xml:space="preserve">
Calcul manuel qui diffère de la source de UNFPA pour adapter le découpage admin de 2016 à la structure de 2009</t>
        </r>
      </text>
    </comment>
    <comment ref="C65" authorId="0" shapeId="0" xr:uid="{00000000-0006-0000-0100-000013000000}">
      <text>
        <r>
          <rPr>
            <b/>
            <sz val="9"/>
            <color indexed="81"/>
            <rFont val="Tahoma"/>
            <family val="2"/>
          </rPr>
          <t>Remi Galinier:</t>
        </r>
        <r>
          <rPr>
            <sz val="9"/>
            <color indexed="81"/>
            <rFont val="Tahoma"/>
            <family val="2"/>
          </rPr>
          <t xml:space="preserve">
Calcul manuel qui diffère de la source de UNFPA pour adapter le découpage admin de 2016 à la structure de 2009</t>
        </r>
      </text>
    </comment>
    <comment ref="C70" authorId="0" shapeId="0" xr:uid="{00000000-0006-0000-0100-000014000000}">
      <text>
        <r>
          <rPr>
            <b/>
            <sz val="9"/>
            <color indexed="81"/>
            <rFont val="Tahoma"/>
            <family val="2"/>
          </rPr>
          <t>Remi Galinier:</t>
        </r>
        <r>
          <rPr>
            <sz val="9"/>
            <color indexed="81"/>
            <rFont val="Tahoma"/>
            <family val="2"/>
          </rPr>
          <t xml:space="preserve">
Calcul manuel qui diffère de la source de UNFPA pour adapter le découpage admin de 2016 à la structure de 2009</t>
        </r>
      </text>
    </comment>
    <comment ref="C71" authorId="0" shapeId="0" xr:uid="{00000000-0006-0000-0100-000015000000}">
      <text>
        <r>
          <rPr>
            <b/>
            <sz val="9"/>
            <color indexed="81"/>
            <rFont val="Tahoma"/>
            <family val="2"/>
          </rPr>
          <t>Remi Galinier:</t>
        </r>
        <r>
          <rPr>
            <sz val="9"/>
            <color indexed="81"/>
            <rFont val="Tahoma"/>
            <family val="2"/>
          </rPr>
          <t xml:space="preserve">
Calcul manuel qui diffère de la source de UNFPA pour adapter le découpage admin de 2016 à la structure de 2009</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Remi Galinier</author>
  </authors>
  <commentList>
    <comment ref="C28" authorId="0" shapeId="0" xr:uid="{00000000-0006-0000-0200-000001000000}">
      <text>
        <r>
          <rPr>
            <b/>
            <sz val="9"/>
            <color indexed="81"/>
            <rFont val="Tahoma"/>
            <family val="2"/>
          </rPr>
          <t>Remi Galinier:</t>
        </r>
        <r>
          <rPr>
            <sz val="9"/>
            <color indexed="81"/>
            <rFont val="Tahoma"/>
            <family val="2"/>
          </rPr>
          <t xml:space="preserve">
Calcul manuel qui diffère de la source de UNFPA pour adapter le découpage admin de 2016 à la structure de 2009</t>
        </r>
      </text>
    </comment>
    <comment ref="C29" authorId="0" shapeId="0" xr:uid="{00000000-0006-0000-0200-000002000000}">
      <text>
        <r>
          <rPr>
            <b/>
            <sz val="9"/>
            <color indexed="81"/>
            <rFont val="Tahoma"/>
            <family val="2"/>
          </rPr>
          <t>Remi Galinier:</t>
        </r>
        <r>
          <rPr>
            <sz val="9"/>
            <color indexed="81"/>
            <rFont val="Tahoma"/>
            <family val="2"/>
          </rPr>
          <t xml:space="preserve">
Calcul manuel qui diffère de la source de UNFPA pour adapter le découpage admin de 2016 à la structure de 2009</t>
        </r>
      </text>
    </comment>
    <comment ref="C30" authorId="0" shapeId="0" xr:uid="{00000000-0006-0000-0200-000003000000}">
      <text>
        <r>
          <rPr>
            <b/>
            <sz val="9"/>
            <color indexed="81"/>
            <rFont val="Tahoma"/>
            <family val="2"/>
          </rPr>
          <t>Remi Galinier:</t>
        </r>
        <r>
          <rPr>
            <sz val="9"/>
            <color indexed="81"/>
            <rFont val="Tahoma"/>
            <family val="2"/>
          </rPr>
          <t xml:space="preserve">
Calcul manuel qui diffère de la source de UNFPA pour adapter le découpage admin de 2016 à la structure de 2009</t>
        </r>
      </text>
    </comment>
    <comment ref="C31" authorId="0" shapeId="0" xr:uid="{00000000-0006-0000-0200-000004000000}">
      <text>
        <r>
          <rPr>
            <b/>
            <sz val="9"/>
            <color indexed="81"/>
            <rFont val="Tahoma"/>
            <family val="2"/>
          </rPr>
          <t>Remi Galinier:</t>
        </r>
        <r>
          <rPr>
            <sz val="9"/>
            <color indexed="81"/>
            <rFont val="Tahoma"/>
            <family val="2"/>
          </rPr>
          <t xml:space="preserve">
Calcul manuel qui diffère de la source de UNFPA pour adapter le découpage admin de 2016 à la structure de 2009</t>
        </r>
      </text>
    </comment>
    <comment ref="C55" authorId="0" shapeId="0" xr:uid="{00000000-0006-0000-0200-000005000000}">
      <text>
        <r>
          <rPr>
            <b/>
            <sz val="9"/>
            <color indexed="81"/>
            <rFont val="Tahoma"/>
            <family val="2"/>
          </rPr>
          <t>Remi Galinier:</t>
        </r>
        <r>
          <rPr>
            <sz val="9"/>
            <color indexed="81"/>
            <rFont val="Tahoma"/>
            <family val="2"/>
          </rPr>
          <t xml:space="preserve">
Calcul manuel qui diffère de la source de UNFPA pour adapter le découpage admin de 2016 à la structure de 2009</t>
        </r>
      </text>
    </comment>
    <comment ref="H55" authorId="0" shapeId="0" xr:uid="{00000000-0006-0000-0200-000006000000}">
      <text>
        <r>
          <rPr>
            <b/>
            <sz val="9"/>
            <color indexed="81"/>
            <rFont val="Tahoma"/>
            <family val="2"/>
          </rPr>
          <t>Remi Galinier:</t>
        </r>
        <r>
          <rPr>
            <sz val="9"/>
            <color indexed="81"/>
            <rFont val="Tahoma"/>
            <family val="2"/>
          </rPr>
          <t xml:space="preserve">
Calculé à partir de la structure de 2019 et les chiffres de projection de 2020 et la désagrégation par sexe</t>
        </r>
      </text>
    </comment>
    <comment ref="I55" authorId="0" shapeId="0" xr:uid="{00000000-0006-0000-0200-000007000000}">
      <text>
        <r>
          <rPr>
            <b/>
            <sz val="9"/>
            <color indexed="81"/>
            <rFont val="Tahoma"/>
            <family val="2"/>
          </rPr>
          <t>Remi Galinier:</t>
        </r>
        <r>
          <rPr>
            <sz val="9"/>
            <color indexed="81"/>
            <rFont val="Tahoma"/>
            <family val="2"/>
          </rPr>
          <t xml:space="preserve">
Calculé à partir de la structure de 2019 et les chiffres de projection de 2020 et la désagrégation par sexe</t>
        </r>
      </text>
    </comment>
    <comment ref="C56" authorId="0" shapeId="0" xr:uid="{00000000-0006-0000-0200-000008000000}">
      <text>
        <r>
          <rPr>
            <b/>
            <sz val="9"/>
            <color indexed="81"/>
            <rFont val="Tahoma"/>
            <family val="2"/>
          </rPr>
          <t>Remi Galinier:</t>
        </r>
        <r>
          <rPr>
            <sz val="9"/>
            <color indexed="81"/>
            <rFont val="Tahoma"/>
            <family val="2"/>
          </rPr>
          <t xml:space="preserve">
Calcul manuel qui diffère de la source de UNFPA pour adapter le découpage admin de 2016 à la structure de 2009</t>
        </r>
      </text>
    </comment>
    <comment ref="H56" authorId="0" shapeId="0" xr:uid="{00000000-0006-0000-0200-000009000000}">
      <text>
        <r>
          <rPr>
            <b/>
            <sz val="9"/>
            <color indexed="81"/>
            <rFont val="Tahoma"/>
            <family val="2"/>
          </rPr>
          <t>Remi Galinier:</t>
        </r>
        <r>
          <rPr>
            <sz val="9"/>
            <color indexed="81"/>
            <rFont val="Tahoma"/>
            <family val="2"/>
          </rPr>
          <t xml:space="preserve">
Calculé à partir de la structure de 2019 et les chiffres de projection de 2020 et la désagrégation par sexe</t>
        </r>
      </text>
    </comment>
    <comment ref="I56" authorId="0" shapeId="0" xr:uid="{00000000-0006-0000-0200-00000A000000}">
      <text>
        <r>
          <rPr>
            <b/>
            <sz val="9"/>
            <color indexed="81"/>
            <rFont val="Tahoma"/>
            <family val="2"/>
          </rPr>
          <t>Remi Galinier:</t>
        </r>
        <r>
          <rPr>
            <sz val="9"/>
            <color indexed="81"/>
            <rFont val="Tahoma"/>
            <family val="2"/>
          </rPr>
          <t xml:space="preserve">
Calculé à partir de la structure de 2019 et les chiffres de projection de 2020 et la désagrégation par sexe</t>
        </r>
      </text>
    </comment>
    <comment ref="C71" authorId="0" shapeId="0" xr:uid="{00000000-0006-0000-0200-00000B000000}">
      <text>
        <r>
          <rPr>
            <b/>
            <sz val="9"/>
            <color indexed="81"/>
            <rFont val="Tahoma"/>
            <family val="2"/>
          </rPr>
          <t>Remi Galinier:</t>
        </r>
        <r>
          <rPr>
            <sz val="9"/>
            <color indexed="81"/>
            <rFont val="Tahoma"/>
            <family val="2"/>
          </rPr>
          <t xml:space="preserve">
Calcul manuel qui diffère de la source de UNFPA pour adapter le découpage admin de 2016 à la structure de 2009</t>
        </r>
      </text>
    </comment>
    <comment ref="C72" authorId="0" shapeId="0" xr:uid="{00000000-0006-0000-0200-00000C000000}">
      <text>
        <r>
          <rPr>
            <b/>
            <sz val="9"/>
            <color indexed="81"/>
            <rFont val="Tahoma"/>
            <family val="2"/>
          </rPr>
          <t>Remi Galinier:</t>
        </r>
        <r>
          <rPr>
            <sz val="9"/>
            <color indexed="81"/>
            <rFont val="Tahoma"/>
            <family val="2"/>
          </rPr>
          <t xml:space="preserve">
Calcul manuel qui diffère de la source de UNFPA pour adapter le découpage admin de 2016 à la structure de 2009</t>
        </r>
      </text>
    </comment>
    <comment ref="C76" authorId="0" shapeId="0" xr:uid="{00000000-0006-0000-0200-00000D000000}">
      <text>
        <r>
          <rPr>
            <b/>
            <sz val="9"/>
            <color indexed="81"/>
            <rFont val="Tahoma"/>
            <family val="2"/>
          </rPr>
          <t>Remi Galinier:</t>
        </r>
        <r>
          <rPr>
            <sz val="9"/>
            <color indexed="81"/>
            <rFont val="Tahoma"/>
            <family val="2"/>
          </rPr>
          <t xml:space="preserve">
Calcul manuel qui diffère de la source de UNFPA pour adapter le découpage admin de 2016 à la structure de 2009</t>
        </r>
      </text>
    </comment>
    <comment ref="C77" authorId="0" shapeId="0" xr:uid="{00000000-0006-0000-0200-00000E000000}">
      <text>
        <r>
          <rPr>
            <b/>
            <sz val="9"/>
            <color indexed="81"/>
            <rFont val="Tahoma"/>
            <family val="2"/>
          </rPr>
          <t>Remi Galinier:</t>
        </r>
        <r>
          <rPr>
            <sz val="9"/>
            <color indexed="81"/>
            <rFont val="Tahoma"/>
            <family val="2"/>
          </rPr>
          <t xml:space="preserve">
Calcul manuel qui diffère de la source de UNFPA pour adapter le découpage admin de 2016 à la structure de 2009. Megri = SP Matadjana de 2009</t>
        </r>
      </text>
    </comment>
    <comment ref="C81" authorId="0" shapeId="0" xr:uid="{00000000-0006-0000-0200-00000F000000}">
      <text>
        <r>
          <rPr>
            <b/>
            <sz val="9"/>
            <color indexed="81"/>
            <rFont val="Tahoma"/>
            <family val="2"/>
          </rPr>
          <t>Remi Galinier:</t>
        </r>
        <r>
          <rPr>
            <sz val="9"/>
            <color indexed="81"/>
            <rFont val="Tahoma"/>
            <family val="2"/>
          </rPr>
          <t xml:space="preserve">
Calcul manuel qui diffère de la source de UNFPA pour adapter le découpage admin de 2016 à la structure de 2009</t>
        </r>
      </text>
    </comment>
    <comment ref="C82" authorId="0" shapeId="0" xr:uid="{00000000-0006-0000-0200-000010000000}">
      <text>
        <r>
          <rPr>
            <b/>
            <sz val="9"/>
            <color indexed="81"/>
            <rFont val="Tahoma"/>
            <family val="2"/>
          </rPr>
          <t>Remi Galinier:</t>
        </r>
        <r>
          <rPr>
            <sz val="9"/>
            <color indexed="81"/>
            <rFont val="Tahoma"/>
            <family val="2"/>
          </rPr>
          <t xml:space="preserve">
Calcul manuel qui diffère de la source de UNFPA pour adapter le découpage admin de 2016 à la structure de 2009</t>
        </r>
      </text>
    </comment>
    <comment ref="C83" authorId="0" shapeId="0" xr:uid="{00000000-0006-0000-0200-000011000000}">
      <text>
        <r>
          <rPr>
            <b/>
            <sz val="9"/>
            <color indexed="81"/>
            <rFont val="Tahoma"/>
            <family val="2"/>
          </rPr>
          <t>Remi Galinier:</t>
        </r>
        <r>
          <rPr>
            <sz val="9"/>
            <color indexed="81"/>
            <rFont val="Tahoma"/>
            <family val="2"/>
          </rPr>
          <t xml:space="preserve">
Calcul manuel qui diffère de la source de UNFPA pour adapter le découpage admin de 2016 à la structure de 2009</t>
        </r>
      </text>
    </comment>
    <comment ref="C85" authorId="0" shapeId="0" xr:uid="{00000000-0006-0000-0200-000012000000}">
      <text>
        <r>
          <rPr>
            <b/>
            <sz val="9"/>
            <color indexed="81"/>
            <rFont val="Tahoma"/>
            <family val="2"/>
          </rPr>
          <t>Remi Galinier:</t>
        </r>
        <r>
          <rPr>
            <sz val="9"/>
            <color indexed="81"/>
            <rFont val="Tahoma"/>
            <family val="2"/>
          </rPr>
          <t xml:space="preserve">
Calcul manuel qui diffère de la source de UNFPA pour adapter le découpage admin de 2016 à la structure de 2009</t>
        </r>
      </text>
    </comment>
    <comment ref="C86" authorId="0" shapeId="0" xr:uid="{00000000-0006-0000-0200-000013000000}">
      <text>
        <r>
          <rPr>
            <b/>
            <sz val="9"/>
            <color indexed="81"/>
            <rFont val="Tahoma"/>
            <family val="2"/>
          </rPr>
          <t>Remi Galinier:</t>
        </r>
        <r>
          <rPr>
            <sz val="9"/>
            <color indexed="81"/>
            <rFont val="Tahoma"/>
            <family val="2"/>
          </rPr>
          <t xml:space="preserve">
Calcul manuel qui diffère de la source de UNFPA pour adapter le découpage admin de 2016 à la structure de 2009</t>
        </r>
      </text>
    </comment>
    <comment ref="C94" authorId="0" shapeId="0" xr:uid="{00000000-0006-0000-0200-000014000000}">
      <text>
        <r>
          <rPr>
            <b/>
            <sz val="9"/>
            <color indexed="81"/>
            <rFont val="Tahoma"/>
            <family val="2"/>
          </rPr>
          <t>Remi Galinier:</t>
        </r>
        <r>
          <rPr>
            <sz val="9"/>
            <color indexed="81"/>
            <rFont val="Tahoma"/>
            <family val="2"/>
          </rPr>
          <t xml:space="preserve">
Calcul manuel qui diffère de la source de UNFPA pour adapter le découpage admin de 2016 à la structure de 2009</t>
        </r>
      </text>
    </comment>
    <comment ref="C95" authorId="0" shapeId="0" xr:uid="{00000000-0006-0000-0200-000015000000}">
      <text>
        <r>
          <rPr>
            <b/>
            <sz val="9"/>
            <color indexed="81"/>
            <rFont val="Tahoma"/>
            <family val="2"/>
          </rPr>
          <t>Remi Galinier:</t>
        </r>
        <r>
          <rPr>
            <sz val="9"/>
            <color indexed="81"/>
            <rFont val="Tahoma"/>
            <family val="2"/>
          </rPr>
          <t xml:space="preserve">
Calcul manuel qui diffère de la source de UNFPA pour adapter le découpage admin de 2016 à la structure de 2009</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Remi Galinier</author>
  </authors>
  <commentList>
    <comment ref="C21" authorId="0" shapeId="0" xr:uid="{00000000-0006-0000-0300-000001000000}">
      <text>
        <r>
          <rPr>
            <b/>
            <sz val="9"/>
            <color indexed="81"/>
            <rFont val="Tahoma"/>
            <family val="2"/>
          </rPr>
          <t>Remi Galinier:</t>
        </r>
        <r>
          <rPr>
            <sz val="9"/>
            <color indexed="81"/>
            <rFont val="Tahoma"/>
            <family val="2"/>
          </rPr>
          <t xml:space="preserve">
Calcul manuel qui diffère de la source de UNFPA pour adapter le découpage admin de 2016 à la structure de 2009</t>
        </r>
      </text>
    </comment>
    <comment ref="C22" authorId="0" shapeId="0" xr:uid="{00000000-0006-0000-0300-000002000000}">
      <text>
        <r>
          <rPr>
            <b/>
            <sz val="9"/>
            <color indexed="81"/>
            <rFont val="Tahoma"/>
            <family val="2"/>
          </rPr>
          <t>Remi Galinier:</t>
        </r>
        <r>
          <rPr>
            <sz val="9"/>
            <color indexed="81"/>
            <rFont val="Tahoma"/>
            <family val="2"/>
          </rPr>
          <t xml:space="preserve">
Calcul manuel qui diffère de la source de UNFPA pour adapter le découpage admin de 2016 à la structure de 2009</t>
        </r>
      </text>
    </comment>
    <comment ref="C23" authorId="0" shapeId="0" xr:uid="{00000000-0006-0000-0300-000003000000}">
      <text>
        <r>
          <rPr>
            <b/>
            <sz val="9"/>
            <color indexed="81"/>
            <rFont val="Tahoma"/>
            <family val="2"/>
          </rPr>
          <t>Remi Galinier:</t>
        </r>
        <r>
          <rPr>
            <sz val="9"/>
            <color indexed="81"/>
            <rFont val="Tahoma"/>
            <family val="2"/>
          </rPr>
          <t xml:space="preserve">
Calcul manuel qui diffère de la source de UNFPA pour adapter le découpage admin de 2016 à la structure de 2009</t>
        </r>
      </text>
    </comment>
    <comment ref="C24" authorId="0" shapeId="0" xr:uid="{00000000-0006-0000-0300-000004000000}">
      <text>
        <r>
          <rPr>
            <b/>
            <sz val="9"/>
            <color indexed="81"/>
            <rFont val="Tahoma"/>
            <family val="2"/>
          </rPr>
          <t>Remi Galinier:</t>
        </r>
        <r>
          <rPr>
            <sz val="9"/>
            <color indexed="81"/>
            <rFont val="Tahoma"/>
            <family val="2"/>
          </rPr>
          <t xml:space="preserve">
Calcul manuel qui diffère de la source de UNFPA pour adapter le découpage admin de 2016 à la structure de 2009</t>
        </r>
      </text>
    </comment>
    <comment ref="C43" authorId="0" shapeId="0" xr:uid="{00000000-0006-0000-0300-000005000000}">
      <text>
        <r>
          <rPr>
            <b/>
            <sz val="9"/>
            <color indexed="81"/>
            <rFont val="Tahoma"/>
            <family val="2"/>
          </rPr>
          <t>Remi Galinier:</t>
        </r>
        <r>
          <rPr>
            <sz val="9"/>
            <color indexed="81"/>
            <rFont val="Tahoma"/>
            <family val="2"/>
          </rPr>
          <t xml:space="preserve">
Calcul manuel qui diffère de la source de UNFPA pour adapter le découpage admin de 2016 à la structure de 2009</t>
        </r>
      </text>
    </comment>
    <comment ref="C44" authorId="0" shapeId="0" xr:uid="{00000000-0006-0000-0300-000006000000}">
      <text>
        <r>
          <rPr>
            <b/>
            <sz val="9"/>
            <color indexed="81"/>
            <rFont val="Tahoma"/>
            <family val="2"/>
          </rPr>
          <t>Remi Galinier:</t>
        </r>
        <r>
          <rPr>
            <sz val="9"/>
            <color indexed="81"/>
            <rFont val="Tahoma"/>
            <family val="2"/>
          </rPr>
          <t xml:space="preserve">
Calcul manuel qui diffère de la source de UNFPA pour adapter le découpage admin de 2016 à la structure de 2009</t>
        </r>
      </text>
    </comment>
    <comment ref="C55" authorId="0" shapeId="0" xr:uid="{00000000-0006-0000-0300-000007000000}">
      <text>
        <r>
          <rPr>
            <b/>
            <sz val="9"/>
            <color indexed="81"/>
            <rFont val="Tahoma"/>
            <family val="2"/>
          </rPr>
          <t>Remi Galinier:</t>
        </r>
        <r>
          <rPr>
            <sz val="9"/>
            <color indexed="81"/>
            <rFont val="Tahoma"/>
            <family val="2"/>
          </rPr>
          <t xml:space="preserve">
Calcul manuel qui diffère de la source de UNFPA pour adapter le découpage admin de 2016 à la structure de 2009</t>
        </r>
      </text>
    </comment>
    <comment ref="C56" authorId="0" shapeId="0" xr:uid="{00000000-0006-0000-0300-000008000000}">
      <text>
        <r>
          <rPr>
            <b/>
            <sz val="9"/>
            <color indexed="81"/>
            <rFont val="Tahoma"/>
            <family val="2"/>
          </rPr>
          <t>Remi Galinier:</t>
        </r>
        <r>
          <rPr>
            <sz val="9"/>
            <color indexed="81"/>
            <rFont val="Tahoma"/>
            <family val="2"/>
          </rPr>
          <t xml:space="preserve">
Calcul manuel qui diffère de la source de UNFPA pour adapter le découpage admin de 2016 à la structure de 2009</t>
        </r>
      </text>
    </comment>
    <comment ref="C59" authorId="0" shapeId="0" xr:uid="{00000000-0006-0000-0300-000009000000}">
      <text>
        <r>
          <rPr>
            <b/>
            <sz val="9"/>
            <color indexed="81"/>
            <rFont val="Tahoma"/>
            <family val="2"/>
          </rPr>
          <t>Remi Galinier:</t>
        </r>
        <r>
          <rPr>
            <sz val="9"/>
            <color indexed="81"/>
            <rFont val="Tahoma"/>
            <family val="2"/>
          </rPr>
          <t xml:space="preserve">
Calcul manuel qui diffère de la source de UNFPA pour adapter le découpage admin de 2016 à la structure de 2009</t>
        </r>
      </text>
    </comment>
    <comment ref="C60" authorId="0" shapeId="0" xr:uid="{00000000-0006-0000-0300-00000A000000}">
      <text>
        <r>
          <rPr>
            <b/>
            <sz val="9"/>
            <color indexed="81"/>
            <rFont val="Tahoma"/>
            <family val="2"/>
          </rPr>
          <t>Remi Galinier:</t>
        </r>
        <r>
          <rPr>
            <sz val="9"/>
            <color indexed="81"/>
            <rFont val="Tahoma"/>
            <family val="2"/>
          </rPr>
          <t xml:space="preserve">
Calcul manuel qui diffère de la source de UNFPA pour adapter le découpage admin de 2016 à la structure de 2009. Megri = SP Matadjana de 2009</t>
        </r>
      </text>
    </comment>
    <comment ref="C62" authorId="0" shapeId="0" xr:uid="{00000000-0006-0000-0300-00000B000000}">
      <text>
        <r>
          <rPr>
            <b/>
            <sz val="9"/>
            <color indexed="81"/>
            <rFont val="Tahoma"/>
            <family val="2"/>
          </rPr>
          <t>Remi Galinier:</t>
        </r>
        <r>
          <rPr>
            <sz val="9"/>
            <color indexed="81"/>
            <rFont val="Tahoma"/>
            <family val="2"/>
          </rPr>
          <t xml:space="preserve">
Calcul manuel qui diffère de la source de UNFPA pour adapter le découpage admin de 2016 à la structure de 2009</t>
        </r>
      </text>
    </comment>
    <comment ref="C63" authorId="0" shapeId="0" xr:uid="{00000000-0006-0000-0300-00000C000000}">
      <text>
        <r>
          <rPr>
            <b/>
            <sz val="9"/>
            <color indexed="81"/>
            <rFont val="Tahoma"/>
            <family val="2"/>
          </rPr>
          <t>Remi Galinier:</t>
        </r>
        <r>
          <rPr>
            <sz val="9"/>
            <color indexed="81"/>
            <rFont val="Tahoma"/>
            <family val="2"/>
          </rPr>
          <t xml:space="preserve">
Calcul manuel qui diffère de la source de UNFPA pour adapter le découpage admin de 2016 à la structure de 2009</t>
        </r>
      </text>
    </comment>
    <comment ref="C64" authorId="0" shapeId="0" xr:uid="{00000000-0006-0000-0300-00000D000000}">
      <text>
        <r>
          <rPr>
            <b/>
            <sz val="9"/>
            <color indexed="81"/>
            <rFont val="Tahoma"/>
            <family val="2"/>
          </rPr>
          <t>Remi Galinier:</t>
        </r>
        <r>
          <rPr>
            <sz val="9"/>
            <color indexed="81"/>
            <rFont val="Tahoma"/>
            <family val="2"/>
          </rPr>
          <t xml:space="preserve">
Calcul manuel qui diffère de la source de UNFPA pour adapter le découpage admin de 2016 à la structure de 2009</t>
        </r>
      </text>
    </comment>
    <comment ref="C65" authorId="0" shapeId="0" xr:uid="{00000000-0006-0000-0300-00000E000000}">
      <text>
        <r>
          <rPr>
            <b/>
            <sz val="9"/>
            <color indexed="81"/>
            <rFont val="Tahoma"/>
            <family val="2"/>
          </rPr>
          <t>Remi Galinier:</t>
        </r>
        <r>
          <rPr>
            <sz val="9"/>
            <color indexed="81"/>
            <rFont val="Tahoma"/>
            <family val="2"/>
          </rPr>
          <t xml:space="preserve">
Calcul manuel qui diffère de la source de UNFPA pour adapter le découpage admin de 2016 à la structure de 2009</t>
        </r>
      </text>
    </comment>
    <comment ref="C66" authorId="0" shapeId="0" xr:uid="{00000000-0006-0000-0300-00000F000000}">
      <text>
        <r>
          <rPr>
            <b/>
            <sz val="9"/>
            <color indexed="81"/>
            <rFont val="Tahoma"/>
            <family val="2"/>
          </rPr>
          <t>Remi Galinier:</t>
        </r>
        <r>
          <rPr>
            <sz val="9"/>
            <color indexed="81"/>
            <rFont val="Tahoma"/>
            <family val="2"/>
          </rPr>
          <t xml:space="preserve">
Calcul manuel qui diffère de la source de UNFPA pour adapter le découpage admin de 2016 à la structure de 2009</t>
        </r>
      </text>
    </comment>
    <comment ref="C71" authorId="0" shapeId="0" xr:uid="{00000000-0006-0000-0300-000010000000}">
      <text>
        <r>
          <rPr>
            <b/>
            <sz val="9"/>
            <color indexed="81"/>
            <rFont val="Tahoma"/>
            <family val="2"/>
          </rPr>
          <t>Remi Galinier:</t>
        </r>
        <r>
          <rPr>
            <sz val="9"/>
            <color indexed="81"/>
            <rFont val="Tahoma"/>
            <family val="2"/>
          </rPr>
          <t xml:space="preserve">
Calcul manuel qui diffère de la source de UNFPA pour adapter le découpage admin de 2016 à la structure de 2009</t>
        </r>
      </text>
    </comment>
    <comment ref="C72" authorId="0" shapeId="0" xr:uid="{00000000-0006-0000-0300-000011000000}">
      <text>
        <r>
          <rPr>
            <b/>
            <sz val="9"/>
            <color indexed="81"/>
            <rFont val="Tahoma"/>
            <family val="2"/>
          </rPr>
          <t>Remi Galinier:</t>
        </r>
        <r>
          <rPr>
            <sz val="9"/>
            <color indexed="81"/>
            <rFont val="Tahoma"/>
            <family val="2"/>
          </rPr>
          <t xml:space="preserve">
Calcul manuel qui diffère de la source de UNFPA pour adapter le découpage admin de 2016 à la structure de 2009</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Remi Galinier</author>
  </authors>
  <commentList>
    <comment ref="H16" authorId="0" shapeId="0" xr:uid="{00000000-0006-0000-0400-000001000000}">
      <text>
        <r>
          <rPr>
            <b/>
            <sz val="9"/>
            <color indexed="81"/>
            <rFont val="Tahoma"/>
            <family val="2"/>
          </rPr>
          <t>Remi Galinier:</t>
        </r>
        <r>
          <rPr>
            <sz val="9"/>
            <color indexed="81"/>
            <rFont val="Tahoma"/>
            <family val="2"/>
          </rPr>
          <t xml:space="preserve">
Chiffre corrigé. En fonction de la source et du tableau INSEED utilisé c'est 836 609. Mais le chiffre de 845 389 semble correspondre plus à la tendance.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Remi Galinier</author>
  </authors>
  <commentList>
    <comment ref="V38" authorId="0" shapeId="0" xr:uid="{00000000-0006-0000-0500-000001000000}">
      <text>
        <r>
          <rPr>
            <b/>
            <sz val="9"/>
            <color indexed="81"/>
            <rFont val="Tahoma"/>
            <family val="2"/>
          </rPr>
          <t>Remi Galinier:</t>
        </r>
        <r>
          <rPr>
            <sz val="9"/>
            <color indexed="81"/>
            <rFont val="Tahoma"/>
            <family val="2"/>
          </rPr>
          <t xml:space="preserve">
Total projection 2020 par région différe avec le total projection par groupe d'age. Erreur dans le fichier source INSEED (Chiffres Projections Regionales de juillet 2014 diffèrent avec les chiffres de 2012)
845000-836000 = 9000 </t>
        </r>
      </text>
    </comment>
  </commentList>
</comments>
</file>

<file path=xl/sharedStrings.xml><?xml version="1.0" encoding="utf-8"?>
<sst xmlns="http://schemas.openxmlformats.org/spreadsheetml/2006/main" count="2267" uniqueCount="358">
  <si>
    <t>admin2Name_fr</t>
  </si>
  <si>
    <t>admin2Pcode</t>
  </si>
  <si>
    <t>admin2RefName</t>
  </si>
  <si>
    <t>admin1Name_fr</t>
  </si>
  <si>
    <t>admin1Pcode</t>
  </si>
  <si>
    <t>Batha Ouest</t>
  </si>
  <si>
    <t>TD0101</t>
  </si>
  <si>
    <t>Batha</t>
  </si>
  <si>
    <t>TD01</t>
  </si>
  <si>
    <t>TD</t>
  </si>
  <si>
    <t>Batha Est</t>
  </si>
  <si>
    <t>TD0102</t>
  </si>
  <si>
    <t>Fitri</t>
  </si>
  <si>
    <t>TD0103</t>
  </si>
  <si>
    <t>Borkou</t>
  </si>
  <si>
    <t>TD0201</t>
  </si>
  <si>
    <t>TD02</t>
  </si>
  <si>
    <t>Baguirmi</t>
  </si>
  <si>
    <t>TD0301</t>
  </si>
  <si>
    <t>Chari-Baguirmi</t>
  </si>
  <si>
    <t>TD03</t>
  </si>
  <si>
    <t>Chari</t>
  </si>
  <si>
    <t>TD0302</t>
  </si>
  <si>
    <t>Loug-Chari</t>
  </si>
  <si>
    <t>TD0303</t>
  </si>
  <si>
    <t>TD0401</t>
  </si>
  <si>
    <t>Guera</t>
  </si>
  <si>
    <t>TD04</t>
  </si>
  <si>
    <t>Abtouyour</t>
  </si>
  <si>
    <t>TD0402</t>
  </si>
  <si>
    <t>Barh-Signaka</t>
  </si>
  <si>
    <t>TD0403</t>
  </si>
  <si>
    <t>TD0404</t>
  </si>
  <si>
    <t>Mangalme</t>
  </si>
  <si>
    <t>Dagana</t>
  </si>
  <si>
    <t>TD0501</t>
  </si>
  <si>
    <t>TD05</t>
  </si>
  <si>
    <t>Dababa</t>
  </si>
  <si>
    <t>TD0502</t>
  </si>
  <si>
    <t>Hadjer Lamis</t>
  </si>
  <si>
    <t>Haraze-Al-Biar</t>
  </si>
  <si>
    <t>TD0503</t>
  </si>
  <si>
    <t>Kanem</t>
  </si>
  <si>
    <t>TD0601</t>
  </si>
  <si>
    <t>TD06</t>
  </si>
  <si>
    <t>Nord Kanem</t>
  </si>
  <si>
    <t>TD0602</t>
  </si>
  <si>
    <t>Wadi Bissam</t>
  </si>
  <si>
    <t>TD0603</t>
  </si>
  <si>
    <t>Wadi-Bissam</t>
  </si>
  <si>
    <t>Mamdi</t>
  </si>
  <si>
    <t>TD0701</t>
  </si>
  <si>
    <t>Lac</t>
  </si>
  <si>
    <t>TD07</t>
  </si>
  <si>
    <t>Wayi</t>
  </si>
  <si>
    <t>TD0702</t>
  </si>
  <si>
    <t>Lac Wey</t>
  </si>
  <si>
    <t>TD0801</t>
  </si>
  <si>
    <t>Logone Occidental</t>
  </si>
  <si>
    <t>TD08</t>
  </si>
  <si>
    <t>TD0802</t>
  </si>
  <si>
    <t>Dodje</t>
  </si>
  <si>
    <t>TD0803</t>
  </si>
  <si>
    <t>Gueni</t>
  </si>
  <si>
    <t>Ngourkosso</t>
  </si>
  <si>
    <t>TD0804</t>
  </si>
  <si>
    <t>TD0901</t>
  </si>
  <si>
    <t>La Pende</t>
  </si>
  <si>
    <t>Logone Oriental</t>
  </si>
  <si>
    <t>TD09</t>
  </si>
  <si>
    <t>Kouh Est</t>
  </si>
  <si>
    <t>TD0902</t>
  </si>
  <si>
    <t>Kouh Ouest</t>
  </si>
  <si>
    <t>TD0903</t>
  </si>
  <si>
    <t>La Nya</t>
  </si>
  <si>
    <t>TD0904</t>
  </si>
  <si>
    <t>TD0905</t>
  </si>
  <si>
    <t>La Nya Pende</t>
  </si>
  <si>
    <t>Monts de Lam</t>
  </si>
  <si>
    <t>TD0906</t>
  </si>
  <si>
    <t>Mandoul Oriental</t>
  </si>
  <si>
    <t>TD1001</t>
  </si>
  <si>
    <t>Mandoul</t>
  </si>
  <si>
    <t>TD10</t>
  </si>
  <si>
    <t>Barh-Sara</t>
  </si>
  <si>
    <t>TD1002</t>
  </si>
  <si>
    <t>Mandoul Occidental</t>
  </si>
  <si>
    <t>TD1003</t>
  </si>
  <si>
    <t>Mayo-Boneye</t>
  </si>
  <si>
    <t>TD1101</t>
  </si>
  <si>
    <t>Mayo-Kebbi Est</t>
  </si>
  <si>
    <t>TD11</t>
  </si>
  <si>
    <t>Kabbia</t>
  </si>
  <si>
    <t>TD1102</t>
  </si>
  <si>
    <t>TD1103</t>
  </si>
  <si>
    <t>Mayo-Lemie</t>
  </si>
  <si>
    <t>Mont Illi</t>
  </si>
  <si>
    <t>TD1104</t>
  </si>
  <si>
    <t>TD1202</t>
  </si>
  <si>
    <t>Lac Lere</t>
  </si>
  <si>
    <t>Mayo-Kebbi Ouest</t>
  </si>
  <si>
    <t>TD12</t>
  </si>
  <si>
    <t>Mayo-Binder</t>
  </si>
  <si>
    <t>TD1203</t>
  </si>
  <si>
    <t>Grande Sido</t>
  </si>
  <si>
    <t>TD1302</t>
  </si>
  <si>
    <t>Moyen-Chari</t>
  </si>
  <si>
    <t>TD13</t>
  </si>
  <si>
    <t>Lac Iro</t>
  </si>
  <si>
    <t>TD1303</t>
  </si>
  <si>
    <t>Ouara</t>
  </si>
  <si>
    <t>TD1401</t>
  </si>
  <si>
    <t>TD14</t>
  </si>
  <si>
    <t>Abdi</t>
  </si>
  <si>
    <t>TD1402</t>
  </si>
  <si>
    <t>Assoungha</t>
  </si>
  <si>
    <t>TD1403</t>
  </si>
  <si>
    <t>Bahr-Azoum</t>
  </si>
  <si>
    <t>TD1501</t>
  </si>
  <si>
    <t>Salamat</t>
  </si>
  <si>
    <t>TD15</t>
  </si>
  <si>
    <t>TD1502</t>
  </si>
  <si>
    <t>Aboudeia</t>
  </si>
  <si>
    <t>Haraze-Mangueigne</t>
  </si>
  <si>
    <t>TD1503</t>
  </si>
  <si>
    <t>TD1601</t>
  </si>
  <si>
    <t>Tandjile Est</t>
  </si>
  <si>
    <t>TD16</t>
  </si>
  <si>
    <t>Biltine</t>
  </si>
  <si>
    <t>TD1701</t>
  </si>
  <si>
    <t>Wadi Fira</t>
  </si>
  <si>
    <t>TD17</t>
  </si>
  <si>
    <t>Dar-Tama</t>
  </si>
  <si>
    <t>TD1702</t>
  </si>
  <si>
    <t>TD1703</t>
  </si>
  <si>
    <t>Kobe</t>
  </si>
  <si>
    <t>TD1801</t>
  </si>
  <si>
    <t>NDjamena</t>
  </si>
  <si>
    <t>N'Djamena</t>
  </si>
  <si>
    <t>TD18</t>
  </si>
  <si>
    <t>Barh-El-Gazel Sud</t>
  </si>
  <si>
    <t>TD1901</t>
  </si>
  <si>
    <t>Barh-El-Gazel</t>
  </si>
  <si>
    <t>TD19</t>
  </si>
  <si>
    <t>Barh-El-Gazel Ouest</t>
  </si>
  <si>
    <t>TD1903</t>
  </si>
  <si>
    <t>Am-Djarass</t>
  </si>
  <si>
    <t>TD2001</t>
  </si>
  <si>
    <t>Ennedi Est</t>
  </si>
  <si>
    <t>TD20</t>
  </si>
  <si>
    <t>Wadi Hawar</t>
  </si>
  <si>
    <t>TD2002</t>
  </si>
  <si>
    <t>Kimiti</t>
  </si>
  <si>
    <t>TD2101</t>
  </si>
  <si>
    <t>Sila</t>
  </si>
  <si>
    <t>TD21</t>
  </si>
  <si>
    <t>Djourf Al Ahmar</t>
  </si>
  <si>
    <t>TD2102</t>
  </si>
  <si>
    <t>Tibesti Est</t>
  </si>
  <si>
    <t>TD2201</t>
  </si>
  <si>
    <t>Tibesti</t>
  </si>
  <si>
    <t>TD22</t>
  </si>
  <si>
    <t>Tibesti Ouest</t>
  </si>
  <si>
    <t>TD2202</t>
  </si>
  <si>
    <t>Fada</t>
  </si>
  <si>
    <t>TD2301</t>
  </si>
  <si>
    <t>Ennedi Ouest</t>
  </si>
  <si>
    <t>TD23</t>
  </si>
  <si>
    <t>Mourtcha</t>
  </si>
  <si>
    <t>TD2303</t>
  </si>
  <si>
    <t>TD1301</t>
  </si>
  <si>
    <t>Bahr-Koh</t>
  </si>
  <si>
    <t>Tandjile Ouest</t>
  </si>
  <si>
    <t>TD1602</t>
  </si>
  <si>
    <t>TD1603</t>
  </si>
  <si>
    <t>Tandjile Centre</t>
  </si>
  <si>
    <t>Borkou Yala</t>
  </si>
  <si>
    <t>TD0202</t>
  </si>
  <si>
    <t>Barh-El-Gazel Nord</t>
  </si>
  <si>
    <t>TD1902</t>
  </si>
  <si>
    <t>TD1704</t>
  </si>
  <si>
    <t>Megri</t>
  </si>
  <si>
    <t>Mayo-Dallah</t>
  </si>
  <si>
    <t>TD1201</t>
  </si>
  <si>
    <t>Fouli</t>
  </si>
  <si>
    <t>TD0704</t>
  </si>
  <si>
    <t>Kaya</t>
  </si>
  <si>
    <t>TD0703</t>
  </si>
  <si>
    <t>Guéra</t>
  </si>
  <si>
    <t>Mangalmé</t>
  </si>
  <si>
    <t>Dodjé</t>
  </si>
  <si>
    <t>Guéni</t>
  </si>
  <si>
    <t>La Pendé</t>
  </si>
  <si>
    <t>La Nya Pendé</t>
  </si>
  <si>
    <t>Mayo-Lemié</t>
  </si>
  <si>
    <t>Lac Léré</t>
  </si>
  <si>
    <t>Aboudéia</t>
  </si>
  <si>
    <t>Tandjilé Est</t>
  </si>
  <si>
    <t>Kobé</t>
  </si>
  <si>
    <t>N'Djaména</t>
  </si>
  <si>
    <t>Tandjilé Centre</t>
  </si>
  <si>
    <t>Tandjilé Ouest</t>
  </si>
  <si>
    <t>Mégri</t>
  </si>
  <si>
    <t>Tandjile</t>
  </si>
  <si>
    <t>Ouaddai</t>
  </si>
  <si>
    <t>admin1RefName</t>
  </si>
  <si>
    <t>Hadjer-Lamis</t>
  </si>
  <si>
    <t>Ouaddaï</t>
  </si>
  <si>
    <t>Tandjilé</t>
  </si>
  <si>
    <t>Proj2018</t>
  </si>
  <si>
    <t>Proj2019</t>
  </si>
  <si>
    <t>Proj2020</t>
  </si>
  <si>
    <t>Proj2018_Hommes</t>
  </si>
  <si>
    <t>Proj2018_Femmes</t>
  </si>
  <si>
    <t>Proj2019_Hommes</t>
  </si>
  <si>
    <t>Proj2019_Femmes</t>
  </si>
  <si>
    <t>Proj2020_Hommes</t>
  </si>
  <si>
    <t>Proj2020_Femmes</t>
  </si>
  <si>
    <t>Proj2018_Total</t>
  </si>
  <si>
    <t>Proj2019_Total</t>
  </si>
  <si>
    <t>Proj_2020_Total</t>
  </si>
  <si>
    <t>Proj2016</t>
  </si>
  <si>
    <t>Proj2017</t>
  </si>
  <si>
    <t>Proj2017_Hommes</t>
  </si>
  <si>
    <t>Proj2017_Femmes</t>
  </si>
  <si>
    <t>Proj2017_Total</t>
  </si>
  <si>
    <t>Proj2016_Total</t>
  </si>
  <si>
    <t>Proj2016_Hommes</t>
  </si>
  <si>
    <t>Proj2016_Femmes</t>
  </si>
  <si>
    <t xml:space="preserve"> 0-4</t>
  </si>
  <si>
    <t xml:space="preserve"> 5-9</t>
  </si>
  <si>
    <t xml:space="preserve"> 10-14 </t>
  </si>
  <si>
    <t xml:space="preserve"> 15-19 </t>
  </si>
  <si>
    <t xml:space="preserve"> 20-24 </t>
  </si>
  <si>
    <t xml:space="preserve"> 25-29 </t>
  </si>
  <si>
    <t xml:space="preserve"> 30-34 </t>
  </si>
  <si>
    <t xml:space="preserve"> 35-39 </t>
  </si>
  <si>
    <t xml:space="preserve"> 40-44 </t>
  </si>
  <si>
    <t xml:space="preserve"> 45-49 </t>
  </si>
  <si>
    <t xml:space="preserve"> 50-54 </t>
  </si>
  <si>
    <t xml:space="preserve"> 55-59 </t>
  </si>
  <si>
    <t xml:space="preserve"> 60-64 </t>
  </si>
  <si>
    <t xml:space="preserve"> 65-69 </t>
  </si>
  <si>
    <t xml:space="preserve"> 70-74 </t>
  </si>
  <si>
    <t xml:space="preserve"> 75-79 </t>
  </si>
  <si>
    <t xml:space="preserve"> 80+ </t>
  </si>
  <si>
    <t>Total</t>
  </si>
  <si>
    <t>Hommes</t>
  </si>
  <si>
    <t>Femmes</t>
  </si>
  <si>
    <t>76 750</t>
  </si>
  <si>
    <t>Sexe</t>
  </si>
  <si>
    <t xml:space="preserve">G    R    O    U    P    E    S          D    '    A    G    E    S  </t>
  </si>
  <si>
    <t>Groupe d'âges</t>
  </si>
  <si>
    <t>Structure 2020</t>
  </si>
  <si>
    <t>Mayo Kebbi Est</t>
  </si>
  <si>
    <t>Mayo Kebbi Ouest</t>
  </si>
  <si>
    <t>Moyen Chari</t>
  </si>
  <si>
    <t>Barh El Gazal</t>
  </si>
  <si>
    <t>Chari Baguirmi</t>
  </si>
  <si>
    <t>N’Djaména</t>
  </si>
  <si>
    <t>Proj 2021</t>
  </si>
  <si>
    <t xml:space="preserve"> Pop 2021</t>
  </si>
  <si>
    <t>Pop 2021 Batha</t>
  </si>
  <si>
    <t>Pop 2021 Borkou</t>
  </si>
  <si>
    <t>Pop 2021 Chari Baguirmi</t>
  </si>
  <si>
    <t>Pop 2021 Guéra</t>
  </si>
  <si>
    <t>Pop 2021 Hadjer Lamis</t>
  </si>
  <si>
    <t>Pop 2021 Kanem</t>
  </si>
  <si>
    <t>Pop 2021 Lac</t>
  </si>
  <si>
    <t>Pop 2021 Logone Occidental</t>
  </si>
  <si>
    <t>Pop 2021 Logone Oriental</t>
  </si>
  <si>
    <t>Pop 2021 Mandoul</t>
  </si>
  <si>
    <t>Pop 2021 MKE</t>
  </si>
  <si>
    <t>Pop 2021 MKO</t>
  </si>
  <si>
    <t>Pop 2021 Moyen Chari</t>
  </si>
  <si>
    <t>Pop 2021 Ouaddaï</t>
  </si>
  <si>
    <t>Pop 2021 Salamat</t>
  </si>
  <si>
    <t>Pop 2021 Tandjilé</t>
  </si>
  <si>
    <t>Pop 2021 Wadi Fira</t>
  </si>
  <si>
    <t>Pop 2021 Barh El Gazal</t>
  </si>
  <si>
    <t>Pop 2021 Ennedi Est</t>
  </si>
  <si>
    <t>Pop 2021 Ennedi Ouest</t>
  </si>
  <si>
    <t>Pop 2021 Sila</t>
  </si>
  <si>
    <t>Pop 2021 Tibesti</t>
  </si>
  <si>
    <t>Proj2020_Hommes2</t>
  </si>
  <si>
    <t>Proj2020_Femmes3</t>
  </si>
  <si>
    <t>Proj_2020_Total4</t>
  </si>
  <si>
    <t>Proj2021_Hommes22</t>
  </si>
  <si>
    <t>Proj2021_Femmes32</t>
  </si>
  <si>
    <t>Proj_2021_Total43</t>
  </si>
  <si>
    <t>Population 2021</t>
  </si>
  <si>
    <t>Proj2021_Hommes</t>
  </si>
  <si>
    <t>Proj2021_Femmes</t>
  </si>
  <si>
    <t>Proj_2021_Total</t>
  </si>
  <si>
    <t>Structure 2021</t>
  </si>
  <si>
    <t>Population 2022</t>
  </si>
  <si>
    <t>Proj2022_Hommes22</t>
  </si>
  <si>
    <t>Proj2022_Femmes32</t>
  </si>
  <si>
    <t>Proj_2022_Total43</t>
  </si>
  <si>
    <t>Région</t>
  </si>
  <si>
    <t>Pop 2021</t>
  </si>
  <si>
    <t>Pop 2022</t>
  </si>
  <si>
    <t>Control</t>
  </si>
  <si>
    <t>Tchad</t>
  </si>
  <si>
    <t>Proj2022_Hommes</t>
  </si>
  <si>
    <t>Proj2022_Femmes</t>
  </si>
  <si>
    <t>Proj_2022_Tota4</t>
  </si>
  <si>
    <t>Proj 2022</t>
  </si>
  <si>
    <t xml:space="preserve"> 0-42</t>
  </si>
  <si>
    <t xml:space="preserve"> 5-93</t>
  </si>
  <si>
    <t xml:space="preserve"> 10-14 4</t>
  </si>
  <si>
    <t xml:space="preserve"> 15-19 5</t>
  </si>
  <si>
    <t xml:space="preserve"> 20-24 6</t>
  </si>
  <si>
    <t xml:space="preserve"> 25-29 7</t>
  </si>
  <si>
    <t xml:space="preserve"> 30-34 8</t>
  </si>
  <si>
    <t xml:space="preserve"> 35-39 9</t>
  </si>
  <si>
    <t xml:space="preserve"> 40-44 10</t>
  </si>
  <si>
    <t xml:space="preserve"> 45-49 11</t>
  </si>
  <si>
    <t xml:space="preserve"> 50-54 12</t>
  </si>
  <si>
    <t xml:space="preserve"> 55-59 13</t>
  </si>
  <si>
    <t xml:space="preserve"> 60-64 14</t>
  </si>
  <si>
    <t xml:space="preserve"> 65-69 15</t>
  </si>
  <si>
    <t xml:space="preserve"> 70-74 16</t>
  </si>
  <si>
    <t xml:space="preserve"> 75-79 17</t>
  </si>
  <si>
    <t xml:space="preserve"> 80+ 18</t>
  </si>
  <si>
    <t>Total19</t>
  </si>
  <si>
    <t>Structure 2022</t>
  </si>
  <si>
    <t>Pop 2023</t>
  </si>
  <si>
    <t>Population 2023</t>
  </si>
  <si>
    <t>Proj2023_Hommes22</t>
  </si>
  <si>
    <t>Proj2023_Femmes32</t>
  </si>
  <si>
    <t>Proj_2023_Total43</t>
  </si>
  <si>
    <t>Struct 2022</t>
  </si>
  <si>
    <t>Proj 2023</t>
  </si>
  <si>
    <t>Proj2023_Hommes2</t>
  </si>
  <si>
    <t>Proj2032_Femmes3</t>
  </si>
  <si>
    <t>Proj_2023_Tota44</t>
  </si>
  <si>
    <t>Proj_2022_Total</t>
  </si>
  <si>
    <t>Structure Pop 22</t>
  </si>
  <si>
    <t>Âge</t>
  </si>
  <si>
    <t>Masculin</t>
  </si>
  <si>
    <t>Féminin</t>
  </si>
  <si>
    <t>0-4</t>
  </si>
  <si>
    <t xml:space="preserve">15-19 </t>
  </si>
  <si>
    <t>20-24</t>
  </si>
  <si>
    <t>25-29</t>
  </si>
  <si>
    <t>30-34</t>
  </si>
  <si>
    <t>35-39</t>
  </si>
  <si>
    <t>40-44</t>
  </si>
  <si>
    <t>45-49</t>
  </si>
  <si>
    <t>50-54</t>
  </si>
  <si>
    <t>55-59</t>
  </si>
  <si>
    <t>60-64</t>
  </si>
  <si>
    <t>65-69</t>
  </si>
  <si>
    <t>70-74</t>
  </si>
  <si>
    <t>75-79</t>
  </si>
  <si>
    <t>80+</t>
  </si>
  <si>
    <t>18 033 737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</si>
</sst>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00"/>
    <numFmt numFmtId="165" formatCode="#,##0.0000"/>
    <numFmt numFmtId="166" formatCode="0.00000"/>
    <numFmt numFmtId="167" formatCode="0.000"/>
    <numFmt numFmtId="168" formatCode="0.0000"/>
  </numFmts>
  <fonts count="33"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9"/>
      <color indexed="81"/>
      <name val="Tahoma"/>
      <family val="2"/>
    </font>
    <font>
      <b/>
      <sz val="9"/>
      <color indexed="81"/>
      <name val="Tahoma"/>
      <family val="2"/>
    </font>
    <font>
      <sz val="11"/>
      <color rgb="FF000000"/>
      <name val="Calibri"/>
      <family val="2"/>
      <scheme val="minor"/>
    </font>
    <font>
      <b/>
      <sz val="12"/>
      <color theme="1"/>
      <name val="Calibri"/>
      <family val="2"/>
      <scheme val="minor"/>
    </font>
    <font>
      <sz val="11"/>
      <color rgb="FF000000"/>
      <name val="Arial"/>
      <family val="2"/>
    </font>
    <font>
      <sz val="12"/>
      <color theme="1"/>
      <name val="Calibri"/>
      <family val="2"/>
      <scheme val="minor"/>
    </font>
    <font>
      <sz val="12"/>
      <color theme="1"/>
      <name val="Times New Roman"/>
      <family val="1"/>
    </font>
    <font>
      <sz val="11"/>
      <color theme="1"/>
      <name val="Calibri"/>
      <family val="2"/>
      <scheme val="minor"/>
    </font>
    <font>
      <sz val="11"/>
      <color rgb="FF000000"/>
      <name val="Calibri"/>
      <family val="2"/>
      <scheme val="minor"/>
    </font>
    <font>
      <b/>
      <sz val="11"/>
      <color rgb="FF000000"/>
      <name val="Arial"/>
      <family val="2"/>
    </font>
    <font>
      <b/>
      <sz val="12"/>
      <color theme="1"/>
      <name val="Times New Roman"/>
      <family val="1"/>
    </font>
    <font>
      <sz val="11"/>
      <color rgb="FF000000"/>
      <name val="Calibri"/>
      <scheme val="minor"/>
    </font>
    <font>
      <sz val="11"/>
      <color theme="1"/>
      <name val="Calibri"/>
      <scheme val="minor"/>
    </font>
    <font>
      <i/>
      <sz val="11"/>
      <color rgb="FF000000"/>
      <name val="Arial"/>
      <family val="2"/>
    </font>
    <font>
      <b/>
      <i/>
      <sz val="11"/>
      <color rgb="FF000000"/>
      <name val="Arial"/>
      <family val="2"/>
    </font>
  </fonts>
  <fills count="41">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39997558519241921"/>
        <bgColor indexed="64"/>
      </patternFill>
    </fill>
    <fill>
      <patternFill patternType="solid">
        <fgColor theme="4" tint="0.79998168889431442"/>
        <bgColor theme="4" tint="0.79998168889431442"/>
      </patternFill>
    </fill>
    <fill>
      <patternFill patternType="solid">
        <fgColor theme="8" tint="0.79998168889431442"/>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4" tint="0.39997558519241921"/>
        <bgColor indexed="64"/>
      </patternFill>
    </fill>
    <fill>
      <patternFill patternType="solid">
        <fgColor theme="4"/>
        <bgColor theme="4"/>
      </patternFill>
    </fill>
  </fills>
  <borders count="2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theme="4" tint="0.39997558519241921"/>
      </right>
      <top style="thin">
        <color theme="4" tint="0.39997558519241921"/>
      </top>
      <bottom style="thin">
        <color theme="4" tint="0.39997558519241921"/>
      </bottom>
      <diagonal/>
    </border>
    <border>
      <left style="thin">
        <color indexed="64"/>
      </left>
      <right style="thin">
        <color indexed="64"/>
      </right>
      <top/>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76">
    <xf numFmtId="0" fontId="0" fillId="0" borderId="0" xfId="0"/>
    <xf numFmtId="3" fontId="0" fillId="0" borderId="0" xfId="0" applyNumberFormat="1"/>
    <xf numFmtId="3" fontId="20" fillId="0" borderId="0" xfId="0" applyNumberFormat="1" applyFont="1" applyAlignment="1">
      <alignment horizontal="right" vertical="center"/>
    </xf>
    <xf numFmtId="3" fontId="20" fillId="0" borderId="0" xfId="0" applyNumberFormat="1" applyFont="1" applyAlignment="1">
      <alignment horizontal="left" vertical="center"/>
    </xf>
    <xf numFmtId="3" fontId="0" fillId="0" borderId="0" xfId="0" applyNumberFormat="1" applyAlignment="1">
      <alignment horizontal="left"/>
    </xf>
    <xf numFmtId="3" fontId="17" fillId="0" borderId="0" xfId="0" applyNumberFormat="1" applyFont="1" applyAlignment="1">
      <alignment horizontal="left" vertical="center"/>
    </xf>
    <xf numFmtId="3" fontId="17" fillId="0" borderId="0" xfId="0" applyNumberFormat="1" applyFont="1" applyAlignment="1">
      <alignment horizontal="center" vertical="center"/>
    </xf>
    <xf numFmtId="3" fontId="13" fillId="0" borderId="0" xfId="0" applyNumberFormat="1" applyFont="1" applyAlignment="1">
      <alignment horizontal="center" vertical="center"/>
    </xf>
    <xf numFmtId="3" fontId="0" fillId="33" borderId="0" xfId="0" applyNumberFormat="1" applyFill="1"/>
    <xf numFmtId="0" fontId="0" fillId="0" borderId="10" xfId="0" applyBorder="1"/>
    <xf numFmtId="2" fontId="0" fillId="0" borderId="10" xfId="0" applyNumberFormat="1" applyBorder="1"/>
    <xf numFmtId="3" fontId="0" fillId="0" borderId="10" xfId="0" applyNumberFormat="1" applyBorder="1"/>
    <xf numFmtId="3" fontId="0" fillId="34" borderId="10" xfId="0" applyNumberFormat="1" applyFill="1" applyBorder="1"/>
    <xf numFmtId="0" fontId="0" fillId="0" borderId="11" xfId="0" applyBorder="1"/>
    <xf numFmtId="3" fontId="21" fillId="0" borderId="10" xfId="0" applyNumberFormat="1" applyFont="1" applyBorder="1"/>
    <xf numFmtId="0" fontId="22" fillId="35" borderId="10" xfId="0" applyFont="1" applyFill="1" applyBorder="1" applyAlignment="1">
      <alignment horizontal="center" vertical="center"/>
    </xf>
    <xf numFmtId="0" fontId="22" fillId="36" borderId="10" xfId="0" applyFont="1" applyFill="1" applyBorder="1" applyAlignment="1">
      <alignment horizontal="center" vertical="center"/>
    </xf>
    <xf numFmtId="0" fontId="22" fillId="37" borderId="10" xfId="0" applyFont="1" applyFill="1" applyBorder="1" applyAlignment="1">
      <alignment horizontal="center" vertical="center"/>
    </xf>
    <xf numFmtId="0" fontId="22" fillId="38" borderId="10" xfId="0" applyFont="1" applyFill="1" applyBorder="1" applyAlignment="1">
      <alignment horizontal="center" vertical="center"/>
    </xf>
    <xf numFmtId="0" fontId="22" fillId="0" borderId="10" xfId="0" applyFont="1" applyBorder="1" applyAlignment="1">
      <alignment horizontal="center" vertical="center"/>
    </xf>
    <xf numFmtId="1" fontId="22" fillId="35" borderId="10" xfId="0" applyNumberFormat="1" applyFont="1" applyFill="1" applyBorder="1" applyAlignment="1">
      <alignment horizontal="right" vertical="center"/>
    </xf>
    <xf numFmtId="3" fontId="22" fillId="0" borderId="10" xfId="0" applyNumberFormat="1" applyFont="1" applyBorder="1" applyAlignment="1">
      <alignment horizontal="right" vertical="center"/>
    </xf>
    <xf numFmtId="3" fontId="22" fillId="35" borderId="10" xfId="0" applyNumberFormat="1" applyFont="1" applyFill="1" applyBorder="1" applyAlignment="1">
      <alignment horizontal="right" vertical="center"/>
    </xf>
    <xf numFmtId="3" fontId="16" fillId="0" borderId="0" xfId="0" applyNumberFormat="1" applyFont="1"/>
    <xf numFmtId="3" fontId="23" fillId="0" borderId="12" xfId="0" applyNumberFormat="1" applyFont="1" applyBorder="1"/>
    <xf numFmtId="3" fontId="13" fillId="40" borderId="13" xfId="0" applyNumberFormat="1" applyFont="1" applyFill="1" applyBorder="1"/>
    <xf numFmtId="3" fontId="0" fillId="34" borderId="13" xfId="0" applyNumberFormat="1" applyFill="1" applyBorder="1"/>
    <xf numFmtId="3" fontId="0" fillId="0" borderId="13" xfId="0" applyNumberFormat="1" applyBorder="1"/>
    <xf numFmtId="164" fontId="0" fillId="0" borderId="10" xfId="0" applyNumberFormat="1" applyBorder="1"/>
    <xf numFmtId="167" fontId="0" fillId="0" borderId="10" xfId="0" applyNumberFormat="1" applyBorder="1"/>
    <xf numFmtId="3" fontId="16" fillId="0" borderId="10" xfId="0" applyNumberFormat="1" applyFont="1" applyBorder="1"/>
    <xf numFmtId="165" fontId="0" fillId="0" borderId="10" xfId="0" applyNumberFormat="1" applyBorder="1"/>
    <xf numFmtId="0" fontId="24" fillId="0" borderId="10" xfId="0" applyFont="1" applyBorder="1"/>
    <xf numFmtId="3" fontId="24" fillId="0" borderId="10" xfId="0" applyNumberFormat="1" applyFont="1" applyBorder="1"/>
    <xf numFmtId="166" fontId="24" fillId="0" borderId="10" xfId="0" applyNumberFormat="1" applyFont="1" applyBorder="1"/>
    <xf numFmtId="3" fontId="25" fillId="0" borderId="0" xfId="0" applyNumberFormat="1" applyFont="1"/>
    <xf numFmtId="3" fontId="26" fillId="0" borderId="0" xfId="0" applyNumberFormat="1" applyFont="1" applyAlignment="1">
      <alignment horizontal="center" vertical="center"/>
    </xf>
    <xf numFmtId="0" fontId="13" fillId="40" borderId="13" xfId="0" applyFont="1" applyFill="1" applyBorder="1"/>
    <xf numFmtId="3" fontId="22" fillId="0" borderId="10" xfId="0" applyNumberFormat="1" applyFont="1" applyBorder="1" applyAlignment="1">
      <alignment horizontal="right" vertical="center" wrapText="1"/>
    </xf>
    <xf numFmtId="0" fontId="0" fillId="0" borderId="14" xfId="0" applyBorder="1"/>
    <xf numFmtId="3" fontId="13" fillId="40" borderId="0" xfId="0" applyNumberFormat="1" applyFont="1" applyFill="1"/>
    <xf numFmtId="0" fontId="28" fillId="0" borderId="10" xfId="0" applyFont="1" applyBorder="1"/>
    <xf numFmtId="3" fontId="27" fillId="0" borderId="10" xfId="0" applyNumberFormat="1" applyFont="1" applyBorder="1" applyAlignment="1">
      <alignment horizontal="right" vertical="center"/>
    </xf>
    <xf numFmtId="3" fontId="22" fillId="35" borderId="15" xfId="0" applyNumberFormat="1" applyFont="1" applyFill="1" applyBorder="1" applyAlignment="1">
      <alignment horizontal="right" vertical="center"/>
    </xf>
    <xf numFmtId="3" fontId="0" fillId="0" borderId="17" xfId="0" applyNumberFormat="1" applyBorder="1"/>
    <xf numFmtId="3" fontId="0" fillId="0" borderId="18" xfId="0" applyNumberFormat="1" applyBorder="1"/>
    <xf numFmtId="3" fontId="20" fillId="0" borderId="18" xfId="0" applyNumberFormat="1" applyFont="1" applyBorder="1" applyAlignment="1">
      <alignment horizontal="left" vertical="center"/>
    </xf>
    <xf numFmtId="3" fontId="0" fillId="34" borderId="17" xfId="0" applyNumberFormat="1" applyFill="1" applyBorder="1"/>
    <xf numFmtId="3" fontId="0" fillId="34" borderId="18" xfId="0" applyNumberFormat="1" applyFill="1" applyBorder="1"/>
    <xf numFmtId="3" fontId="20" fillId="34" borderId="18" xfId="0" applyNumberFormat="1" applyFont="1" applyFill="1" applyBorder="1" applyAlignment="1">
      <alignment horizontal="left" vertical="center"/>
    </xf>
    <xf numFmtId="3" fontId="13" fillId="40" borderId="17" xfId="0" applyNumberFormat="1" applyFont="1" applyFill="1" applyBorder="1"/>
    <xf numFmtId="3" fontId="13" fillId="40" borderId="18" xfId="0" applyNumberFormat="1" applyFont="1" applyFill="1" applyBorder="1"/>
    <xf numFmtId="3" fontId="13" fillId="40" borderId="18" xfId="0" applyNumberFormat="1" applyFont="1" applyFill="1" applyBorder="1" applyAlignment="1">
      <alignment horizontal="left" vertical="center"/>
    </xf>
    <xf numFmtId="3" fontId="13" fillId="40" borderId="18" xfId="0" applyNumberFormat="1" applyFont="1" applyFill="1" applyBorder="1" applyAlignment="1">
      <alignment horizontal="center" vertical="center"/>
    </xf>
    <xf numFmtId="3" fontId="29" fillId="0" borderId="0" xfId="0" applyNumberFormat="1" applyFont="1" applyAlignment="1">
      <alignment horizontal="left" vertical="center"/>
    </xf>
    <xf numFmtId="3" fontId="30" fillId="0" borderId="0" xfId="0" applyNumberFormat="1" applyFont="1"/>
    <xf numFmtId="165" fontId="0" fillId="0" borderId="18" xfId="0" applyNumberFormat="1" applyBorder="1"/>
    <xf numFmtId="165" fontId="0" fillId="0" borderId="0" xfId="0" applyNumberFormat="1"/>
    <xf numFmtId="168" fontId="0" fillId="0" borderId="10" xfId="0" applyNumberFormat="1" applyBorder="1"/>
    <xf numFmtId="0" fontId="31" fillId="0" borderId="10" xfId="0" applyFont="1" applyBorder="1" applyAlignment="1">
      <alignment vertical="center" wrapText="1"/>
    </xf>
    <xf numFmtId="0" fontId="22" fillId="0" borderId="10" xfId="0" applyFont="1" applyBorder="1" applyAlignment="1">
      <alignment vertical="center"/>
    </xf>
    <xf numFmtId="0" fontId="22" fillId="0" borderId="10" xfId="0" applyFont="1" applyBorder="1" applyAlignment="1">
      <alignment vertical="center" wrapText="1"/>
    </xf>
    <xf numFmtId="3" fontId="22" fillId="0" borderId="10" xfId="0" applyNumberFormat="1" applyFont="1" applyBorder="1" applyAlignment="1">
      <alignment vertical="center"/>
    </xf>
    <xf numFmtId="16" fontId="22" fillId="0" borderId="10" xfId="0" applyNumberFormat="1" applyFont="1" applyBorder="1" applyAlignment="1">
      <alignment vertical="center"/>
    </xf>
    <xf numFmtId="3" fontId="27" fillId="0" borderId="10" xfId="0" applyNumberFormat="1" applyFont="1" applyBorder="1" applyAlignment="1">
      <alignment vertical="center"/>
    </xf>
    <xf numFmtId="17" fontId="22" fillId="0" borderId="10" xfId="0" applyNumberFormat="1" applyFont="1" applyBorder="1" applyAlignment="1">
      <alignment vertical="center"/>
    </xf>
    <xf numFmtId="0" fontId="27" fillId="0" borderId="10" xfId="0" applyFont="1" applyBorder="1" applyAlignment="1">
      <alignment vertical="center"/>
    </xf>
    <xf numFmtId="0" fontId="32" fillId="0" borderId="10" xfId="0" applyFont="1" applyBorder="1" applyAlignment="1">
      <alignment vertical="center" wrapText="1"/>
    </xf>
    <xf numFmtId="0" fontId="0" fillId="0" borderId="10" xfId="0" applyBorder="1" applyAlignment="1">
      <alignment horizontal="center"/>
    </xf>
    <xf numFmtId="0" fontId="0" fillId="39" borderId="10" xfId="0" applyFill="1" applyBorder="1" applyAlignment="1">
      <alignment horizontal="center"/>
    </xf>
    <xf numFmtId="0" fontId="16" fillId="0" borderId="10" xfId="0" applyFont="1" applyBorder="1" applyAlignment="1">
      <alignment horizontal="center"/>
    </xf>
    <xf numFmtId="3" fontId="16" fillId="0" borderId="0" xfId="0" applyNumberFormat="1" applyFont="1" applyAlignment="1">
      <alignment horizontal="center"/>
    </xf>
    <xf numFmtId="0" fontId="22" fillId="0" borderId="10" xfId="0" applyFont="1" applyBorder="1" applyAlignment="1">
      <alignment horizontal="center" vertical="center"/>
    </xf>
    <xf numFmtId="0" fontId="27" fillId="0" borderId="16" xfId="0" applyFont="1" applyBorder="1" applyAlignment="1">
      <alignment horizontal="center" vertical="center"/>
    </xf>
    <xf numFmtId="0" fontId="27" fillId="0" borderId="19" xfId="0" applyFont="1" applyBorder="1" applyAlignment="1">
      <alignment horizontal="center" vertical="center"/>
    </xf>
    <xf numFmtId="0" fontId="27" fillId="0" borderId="11" xfId="0" applyFont="1" applyBorder="1" applyAlignment="1">
      <alignment horizontal="center" vertical="center"/>
    </xf>
  </cellXfs>
  <cellStyles count="42">
    <cellStyle name="20 % - Accent1" xfId="19" builtinId="30" customBuiltin="1"/>
    <cellStyle name="20 % - Accent2" xfId="23" builtinId="34" customBuiltin="1"/>
    <cellStyle name="20 % - Accent3" xfId="27" builtinId="38" customBuiltin="1"/>
    <cellStyle name="20 % - Accent4" xfId="31" builtinId="42" customBuiltin="1"/>
    <cellStyle name="20 % - Accent5" xfId="35" builtinId="46" customBuiltin="1"/>
    <cellStyle name="20 % - Accent6" xfId="39" builtinId="50" customBuiltin="1"/>
    <cellStyle name="40 % - Accent1" xfId="20" builtinId="31" customBuiltin="1"/>
    <cellStyle name="40 % - Accent2" xfId="24" builtinId="35" customBuiltin="1"/>
    <cellStyle name="40 % - Accent3" xfId="28" builtinId="39" customBuiltin="1"/>
    <cellStyle name="40 % - Accent4" xfId="32" builtinId="43" customBuiltin="1"/>
    <cellStyle name="40 % - Accent5" xfId="36" builtinId="47" customBuiltin="1"/>
    <cellStyle name="40 % - Accent6" xfId="40" builtinId="51" customBuiltin="1"/>
    <cellStyle name="60 % - Accent1" xfId="21" builtinId="32" customBuiltin="1"/>
    <cellStyle name="60 % - Accent2" xfId="25" builtinId="36" customBuiltin="1"/>
    <cellStyle name="60 % - Accent3" xfId="29" builtinId="40" customBuiltin="1"/>
    <cellStyle name="60 % - Accent4" xfId="33" builtinId="44" customBuiltin="1"/>
    <cellStyle name="60 % - Accent5" xfId="37" builtinId="48" customBuiltin="1"/>
    <cellStyle name="60 %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Avertissement" xfId="14" builtinId="11" customBuiltin="1"/>
    <cellStyle name="Calcul" xfId="11" builtinId="22" customBuiltin="1"/>
    <cellStyle name="Cellule liée" xfId="12" builtinId="24" customBuiltin="1"/>
    <cellStyle name="Entrée" xfId="9" builtinId="20" customBuiltin="1"/>
    <cellStyle name="Insatisfaisant" xfId="7" builtinId="27" customBuiltin="1"/>
    <cellStyle name="Neutre" xfId="8" builtinId="28" customBuiltin="1"/>
    <cellStyle name="Normal" xfId="0" builtinId="0"/>
    <cellStyle name="Note" xfId="15" builtinId="10" customBuiltin="1"/>
    <cellStyle name="Satisfaisant" xfId="6" builtinId="26" customBuiltin="1"/>
    <cellStyle name="Sortie" xfId="10" builtinId="21" customBuiltin="1"/>
    <cellStyle name="Texte explicatif" xfId="16" builtinId="53" customBuiltin="1"/>
    <cellStyle name="Titre" xfId="1" builtinId="15" customBuiltin="1"/>
    <cellStyle name="Titre 1" xfId="2" builtinId="16" customBuiltin="1"/>
    <cellStyle name="Titre 2" xfId="3" builtinId="17" customBuiltin="1"/>
    <cellStyle name="Titre 3" xfId="4" builtinId="18" customBuiltin="1"/>
    <cellStyle name="Titre 4" xfId="5" builtinId="19" customBuiltin="1"/>
    <cellStyle name="Total" xfId="17" builtinId="25" customBuiltin="1"/>
    <cellStyle name="Vérification" xfId="13" builtinId="23" customBuiltin="1"/>
  </cellStyles>
  <dxfs count="130">
    <dxf>
      <font>
        <b val="0"/>
        <i val="0"/>
        <strike val="0"/>
        <condense val="0"/>
        <extend val="0"/>
        <outline val="0"/>
        <shadow val="0"/>
        <u val="none"/>
        <vertAlign val="baseline"/>
        <sz val="11"/>
        <color rgb="FF000000"/>
        <name val="Calibri"/>
        <scheme val="minor"/>
      </font>
      <numFmt numFmtId="3" formatCode="#,##0"/>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1"/>
        <color rgb="FF000000"/>
        <name val="Calibri"/>
        <scheme val="minor"/>
      </font>
      <numFmt numFmtId="3" formatCode="#,##0"/>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1"/>
        <color rgb="FF000000"/>
        <name val="Calibri"/>
        <scheme val="minor"/>
      </font>
      <numFmt numFmtId="3" formatCode="#,##0"/>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1"/>
        <color rgb="FF000000"/>
        <name val="Calibri"/>
        <scheme val="minor"/>
      </font>
      <numFmt numFmtId="3" formatCode="#,##0"/>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1"/>
        <color rgb="FF000000"/>
        <name val="Calibri"/>
        <scheme val="minor"/>
      </font>
      <numFmt numFmtId="3" formatCode="#,##0"/>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1"/>
        <color rgb="FF000000"/>
        <name val="Calibri"/>
        <scheme val="minor"/>
      </font>
      <numFmt numFmtId="3" formatCode="#,##0"/>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1"/>
        <color rgb="FF000000"/>
        <name val="Calibri"/>
        <scheme val="minor"/>
      </font>
      <numFmt numFmtId="3" formatCode="#,##0"/>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1"/>
        <color rgb="FF000000"/>
        <name val="Calibri"/>
        <scheme val="minor"/>
      </font>
      <numFmt numFmtId="3" formatCode="#,##0"/>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1"/>
        <color rgb="FF000000"/>
        <name val="Calibri"/>
        <scheme val="minor"/>
      </font>
      <numFmt numFmtId="3" formatCode="#,##0"/>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1"/>
        <color rgb="FF000000"/>
        <name val="Calibri"/>
        <scheme val="minor"/>
      </font>
      <numFmt numFmtId="3" formatCode="#,##0"/>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1"/>
        <color rgb="FF000000"/>
        <name val="Calibri"/>
        <scheme val="minor"/>
      </font>
      <numFmt numFmtId="3" formatCode="#,##0"/>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1"/>
        <color rgb="FF000000"/>
        <name val="Calibri"/>
        <scheme val="minor"/>
      </font>
      <numFmt numFmtId="3" formatCode="#,##0"/>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1"/>
        <color rgb="FF000000"/>
        <name val="Calibri"/>
        <scheme val="minor"/>
      </font>
      <numFmt numFmtId="3" formatCode="#,##0"/>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1"/>
        <color rgb="FF000000"/>
        <name val="Calibri"/>
        <scheme val="minor"/>
      </font>
      <numFmt numFmtId="3" formatCode="#,##0"/>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1"/>
        <color rgb="FF000000"/>
        <name val="Calibri"/>
        <scheme val="minor"/>
      </font>
      <numFmt numFmtId="3" formatCode="#,##0"/>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1"/>
        <color rgb="FF000000"/>
        <name val="Calibri"/>
        <scheme val="minor"/>
      </font>
      <numFmt numFmtId="3" formatCode="#,##0"/>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1"/>
        <color rgb="FF000000"/>
        <name val="Calibri"/>
        <scheme val="minor"/>
      </font>
      <numFmt numFmtId="3" formatCode="#,##0"/>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1"/>
        <color rgb="FF000000"/>
        <name val="Calibri"/>
        <scheme val="minor"/>
      </font>
      <numFmt numFmtId="3" formatCode="#,##0"/>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1"/>
        <color rgb="FF000000"/>
        <name val="Calibri"/>
        <scheme val="minor"/>
      </font>
      <numFmt numFmtId="3" formatCode="#,##0"/>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numFmt numFmtId="3" formatCode="#,##0"/>
      <fill>
        <patternFill patternType="none">
          <fgColor indexed="64"/>
          <bgColor indexed="65"/>
        </patternFill>
      </fill>
    </dxf>
    <dxf>
      <font>
        <b val="0"/>
        <i val="0"/>
        <strike val="0"/>
        <condense val="0"/>
        <extend val="0"/>
        <outline val="0"/>
        <shadow val="0"/>
        <u val="none"/>
        <vertAlign val="baseline"/>
        <sz val="11"/>
        <color theme="1"/>
        <name val="Calibri"/>
        <scheme val="minor"/>
      </font>
      <numFmt numFmtId="3" formatCode="#,##0"/>
      <fill>
        <patternFill patternType="none">
          <fgColor indexed="64"/>
          <bgColor indexed="65"/>
        </patternFill>
      </fill>
    </dxf>
    <dxf>
      <font>
        <b val="0"/>
        <i val="0"/>
        <strike val="0"/>
        <condense val="0"/>
        <extend val="0"/>
        <outline val="0"/>
        <shadow val="0"/>
        <u val="none"/>
        <vertAlign val="baseline"/>
        <sz val="11"/>
        <color theme="1"/>
        <name val="Calibri"/>
        <scheme val="minor"/>
      </font>
      <numFmt numFmtId="3" formatCode="#,##0"/>
      <fill>
        <patternFill patternType="none">
          <fgColor indexed="64"/>
          <bgColor indexed="65"/>
        </patternFill>
      </fill>
    </dxf>
    <dxf>
      <font>
        <b val="0"/>
        <i val="0"/>
        <strike val="0"/>
        <condense val="0"/>
        <extend val="0"/>
        <outline val="0"/>
        <shadow val="0"/>
        <u val="none"/>
        <vertAlign val="baseline"/>
        <sz val="11"/>
        <color rgb="FF000000"/>
        <name val="Calibri"/>
        <scheme val="none"/>
      </font>
      <fill>
        <patternFill patternType="none">
          <fgColor rgb="FF000000"/>
          <bgColor rgb="FFFFFFFF"/>
        </patternFill>
      </fill>
    </dxf>
    <dxf>
      <font>
        <b val="0"/>
        <i val="0"/>
        <strike val="0"/>
        <condense val="0"/>
        <extend val="0"/>
        <outline val="0"/>
        <shadow val="0"/>
        <u val="none"/>
        <vertAlign val="baseline"/>
        <sz val="11"/>
        <color rgb="FF000000"/>
        <name val="Calibri"/>
        <scheme val="minor"/>
      </font>
      <numFmt numFmtId="3"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minor"/>
      </font>
      <numFmt numFmtId="3" formatCode="#,##0"/>
      <fill>
        <patternFill patternType="none">
          <fgColor indexed="64"/>
          <bgColor indexed="65"/>
        </patternFill>
      </fill>
    </dxf>
    <dxf>
      <font>
        <b val="0"/>
        <i val="0"/>
        <strike val="0"/>
        <condense val="0"/>
        <extend val="0"/>
        <outline val="0"/>
        <shadow val="0"/>
        <u val="none"/>
        <vertAlign val="baseline"/>
        <sz val="11"/>
        <color theme="1"/>
        <name val="Calibri"/>
        <scheme val="minor"/>
      </font>
      <numFmt numFmtId="3" formatCode="#,##0"/>
      <fill>
        <patternFill patternType="none">
          <fgColor indexed="64"/>
          <bgColor indexed="65"/>
        </patternFill>
      </fill>
    </dxf>
    <dxf>
      <font>
        <b val="0"/>
        <i val="0"/>
        <strike val="0"/>
        <condense val="0"/>
        <extend val="0"/>
        <outline val="0"/>
        <shadow val="0"/>
        <u val="none"/>
        <vertAlign val="baseline"/>
        <sz val="11"/>
        <color theme="1"/>
        <name val="Calibri"/>
        <scheme val="minor"/>
      </font>
      <numFmt numFmtId="3" formatCode="#,##0"/>
      <fill>
        <patternFill patternType="none">
          <fgColor indexed="64"/>
          <bgColor indexed="65"/>
        </patternFill>
      </fill>
    </dxf>
    <dxf>
      <font>
        <b val="0"/>
        <i val="0"/>
        <strike val="0"/>
        <condense val="0"/>
        <extend val="0"/>
        <outline val="0"/>
        <shadow val="0"/>
        <u val="none"/>
        <vertAlign val="baseline"/>
        <sz val="11"/>
        <color theme="1"/>
        <name val="Calibri"/>
        <scheme val="minor"/>
      </font>
      <numFmt numFmtId="3" formatCode="#,##0"/>
      <fill>
        <patternFill patternType="none">
          <fgColor indexed="64"/>
          <bgColor indexed="65"/>
        </patternFill>
      </fill>
    </dxf>
    <dxf>
      <font>
        <b val="0"/>
        <i val="0"/>
        <strike val="0"/>
        <condense val="0"/>
        <extend val="0"/>
        <outline val="0"/>
        <shadow val="0"/>
        <u val="none"/>
        <vertAlign val="baseline"/>
        <sz val="11"/>
        <color theme="1"/>
        <name val="Calibri"/>
        <scheme val="minor"/>
      </font>
      <numFmt numFmtId="3" formatCode="#,##0"/>
      <fill>
        <patternFill patternType="none">
          <fgColor indexed="64"/>
          <bgColor indexed="65"/>
        </patternFill>
      </fill>
    </dxf>
    <dxf>
      <font>
        <b val="0"/>
        <i val="0"/>
        <strike val="0"/>
        <condense val="0"/>
        <extend val="0"/>
        <outline val="0"/>
        <shadow val="0"/>
        <u val="none"/>
        <vertAlign val="baseline"/>
        <sz val="11"/>
        <color theme="1"/>
        <name val="Calibri"/>
        <scheme val="minor"/>
      </font>
      <numFmt numFmtId="3" formatCode="#,##0"/>
      <fill>
        <patternFill patternType="none">
          <fgColor indexed="64"/>
          <bgColor indexed="65"/>
        </patternFill>
      </fill>
    </dxf>
    <dxf>
      <font>
        <b val="0"/>
        <i val="0"/>
        <strike val="0"/>
        <condense val="0"/>
        <extend val="0"/>
        <outline val="0"/>
        <shadow val="0"/>
        <u val="none"/>
        <vertAlign val="baseline"/>
        <sz val="11"/>
        <color theme="1"/>
        <name val="Calibri"/>
        <scheme val="minor"/>
      </font>
      <numFmt numFmtId="3" formatCode="#,##0"/>
      <fill>
        <patternFill patternType="none">
          <fgColor indexed="64"/>
          <bgColor indexed="65"/>
        </patternFill>
      </fill>
    </dxf>
    <dxf>
      <font>
        <b val="0"/>
        <i val="0"/>
        <strike val="0"/>
        <condense val="0"/>
        <extend val="0"/>
        <outline val="0"/>
        <shadow val="0"/>
        <u val="none"/>
        <vertAlign val="baseline"/>
        <sz val="11"/>
        <color theme="1"/>
        <name val="Calibri"/>
        <scheme val="minor"/>
      </font>
      <numFmt numFmtId="3" formatCode="#,##0"/>
      <fill>
        <patternFill patternType="none">
          <fgColor indexed="64"/>
          <bgColor indexed="65"/>
        </patternFill>
      </fill>
    </dxf>
    <dxf>
      <font>
        <b val="0"/>
        <i val="0"/>
        <strike val="0"/>
        <condense val="0"/>
        <extend val="0"/>
        <outline val="0"/>
        <shadow val="0"/>
        <u val="none"/>
        <vertAlign val="baseline"/>
        <sz val="11"/>
        <color theme="1"/>
        <name val="Calibri"/>
        <scheme val="minor"/>
      </font>
      <numFmt numFmtId="3" formatCode="#,##0"/>
      <fill>
        <patternFill patternType="none">
          <fgColor indexed="64"/>
          <bgColor indexed="65"/>
        </patternFill>
      </fill>
    </dxf>
    <dxf>
      <font>
        <b val="0"/>
        <i val="0"/>
        <strike val="0"/>
        <condense val="0"/>
        <extend val="0"/>
        <outline val="0"/>
        <shadow val="0"/>
        <u val="none"/>
        <vertAlign val="baseline"/>
        <sz val="11"/>
        <color theme="1"/>
        <name val="Calibri"/>
        <scheme val="minor"/>
      </font>
      <numFmt numFmtId="3" formatCode="#,##0"/>
      <fill>
        <patternFill patternType="none">
          <fgColor indexed="64"/>
          <bgColor indexed="65"/>
        </patternFill>
      </fill>
    </dxf>
    <dxf>
      <font>
        <b val="0"/>
        <i val="0"/>
        <strike val="0"/>
        <condense val="0"/>
        <extend val="0"/>
        <outline val="0"/>
        <shadow val="0"/>
        <u val="none"/>
        <vertAlign val="baseline"/>
        <sz val="11"/>
        <color theme="1"/>
        <name val="Calibri"/>
        <scheme val="minor"/>
      </font>
      <numFmt numFmtId="3" formatCode="#,##0"/>
      <fill>
        <patternFill patternType="none">
          <fgColor indexed="64"/>
          <bgColor indexed="65"/>
        </patternFill>
      </fill>
    </dxf>
    <dxf>
      <font>
        <b val="0"/>
        <i val="0"/>
        <strike val="0"/>
        <condense val="0"/>
        <extend val="0"/>
        <outline val="0"/>
        <shadow val="0"/>
        <u val="none"/>
        <vertAlign val="baseline"/>
        <sz val="11"/>
        <color theme="1"/>
        <name val="Calibri"/>
        <scheme val="minor"/>
      </font>
      <numFmt numFmtId="3" formatCode="#,##0"/>
      <fill>
        <patternFill patternType="none">
          <fgColor indexed="64"/>
          <bgColor indexed="65"/>
        </patternFill>
      </fill>
    </dxf>
    <dxf>
      <font>
        <b val="0"/>
        <i val="0"/>
        <strike val="0"/>
        <condense val="0"/>
        <extend val="0"/>
        <outline val="0"/>
        <shadow val="0"/>
        <u val="none"/>
        <vertAlign val="baseline"/>
        <sz val="11"/>
        <color theme="1"/>
        <name val="Calibri"/>
        <scheme val="minor"/>
      </font>
      <numFmt numFmtId="3" formatCode="#,##0"/>
      <fill>
        <patternFill patternType="none">
          <fgColor indexed="64"/>
          <bgColor indexed="65"/>
        </patternFill>
      </fill>
    </dxf>
    <dxf>
      <font>
        <b val="0"/>
        <i val="0"/>
        <strike val="0"/>
        <condense val="0"/>
        <extend val="0"/>
        <outline val="0"/>
        <shadow val="0"/>
        <u val="none"/>
        <vertAlign val="baseline"/>
        <sz val="11"/>
        <color theme="1"/>
        <name val="Calibri"/>
        <scheme val="minor"/>
      </font>
      <numFmt numFmtId="3" formatCode="#,##0"/>
      <fill>
        <patternFill patternType="none">
          <fgColor indexed="64"/>
          <bgColor indexed="65"/>
        </patternFill>
      </fill>
    </dxf>
    <dxf>
      <font>
        <b val="0"/>
        <i val="0"/>
        <strike val="0"/>
        <condense val="0"/>
        <extend val="0"/>
        <outline val="0"/>
        <shadow val="0"/>
        <u val="none"/>
        <vertAlign val="baseline"/>
        <sz val="11"/>
        <color theme="1"/>
        <name val="Calibri"/>
        <scheme val="minor"/>
      </font>
      <numFmt numFmtId="3" formatCode="#,##0"/>
      <fill>
        <patternFill patternType="none">
          <fgColor indexed="64"/>
          <bgColor indexed="65"/>
        </patternFill>
      </fill>
    </dxf>
    <dxf>
      <font>
        <b val="0"/>
        <i val="0"/>
        <strike val="0"/>
        <condense val="0"/>
        <extend val="0"/>
        <outline val="0"/>
        <shadow val="0"/>
        <u val="none"/>
        <vertAlign val="baseline"/>
        <sz val="11"/>
        <color theme="1"/>
        <name val="Calibri"/>
        <scheme val="minor"/>
      </font>
      <numFmt numFmtId="3" formatCode="#,##0"/>
      <fill>
        <patternFill patternType="none">
          <fgColor indexed="64"/>
          <bgColor indexed="65"/>
        </patternFill>
      </fill>
    </dxf>
    <dxf>
      <font>
        <b val="0"/>
        <i val="0"/>
        <strike val="0"/>
        <condense val="0"/>
        <extend val="0"/>
        <outline val="0"/>
        <shadow val="0"/>
        <u val="none"/>
        <vertAlign val="baseline"/>
        <sz val="11"/>
        <color theme="1"/>
        <name val="Calibri"/>
        <scheme val="minor"/>
      </font>
      <numFmt numFmtId="3" formatCode="#,##0"/>
      <fill>
        <patternFill patternType="none">
          <fgColor indexed="64"/>
          <bgColor indexed="65"/>
        </patternFill>
      </fill>
    </dxf>
    <dxf>
      <font>
        <b val="0"/>
        <i val="0"/>
        <strike val="0"/>
        <condense val="0"/>
        <extend val="0"/>
        <outline val="0"/>
        <shadow val="0"/>
        <u val="none"/>
        <vertAlign val="baseline"/>
        <sz val="11"/>
        <color theme="1"/>
        <name val="Calibri"/>
        <scheme val="minor"/>
      </font>
      <numFmt numFmtId="3" formatCode="#,##0"/>
      <fill>
        <patternFill patternType="none">
          <fgColor indexed="64"/>
          <bgColor indexed="65"/>
        </patternFill>
      </fill>
    </dxf>
    <dxf>
      <font>
        <b val="0"/>
        <i val="0"/>
        <strike val="0"/>
        <condense val="0"/>
        <extend val="0"/>
        <outline val="0"/>
        <shadow val="0"/>
        <u val="none"/>
        <vertAlign val="baseline"/>
        <sz val="11"/>
        <color theme="1"/>
        <name val="Calibri"/>
        <scheme val="minor"/>
      </font>
      <numFmt numFmtId="3" formatCode="#,##0"/>
      <fill>
        <patternFill patternType="none">
          <fgColor indexed="64"/>
          <bgColor indexed="65"/>
        </patternFill>
      </fill>
    </dxf>
    <dxf>
      <font>
        <b val="0"/>
        <i val="0"/>
        <strike val="0"/>
        <condense val="0"/>
        <extend val="0"/>
        <outline val="0"/>
        <shadow val="0"/>
        <u val="none"/>
        <vertAlign val="baseline"/>
        <sz val="11"/>
        <color theme="1"/>
        <name val="Calibri"/>
        <scheme val="minor"/>
      </font>
      <numFmt numFmtId="3" formatCode="#,##0"/>
      <fill>
        <patternFill patternType="none">
          <fgColor indexed="64"/>
          <bgColor indexed="65"/>
        </patternFill>
      </fill>
    </dxf>
    <dxf>
      <font>
        <b val="0"/>
        <i val="0"/>
        <strike val="0"/>
        <condense val="0"/>
        <extend val="0"/>
        <outline val="0"/>
        <shadow val="0"/>
        <u val="none"/>
        <vertAlign val="baseline"/>
        <sz val="11"/>
        <color theme="1"/>
        <name val="Calibri"/>
        <scheme val="minor"/>
      </font>
      <numFmt numFmtId="3" formatCode="#,##0"/>
      <fill>
        <patternFill patternType="none">
          <fgColor indexed="64"/>
          <bgColor indexed="65"/>
        </patternFill>
      </fill>
    </dxf>
    <dxf>
      <font>
        <b val="0"/>
        <i val="0"/>
        <strike val="0"/>
        <condense val="0"/>
        <extend val="0"/>
        <outline val="0"/>
        <shadow val="0"/>
        <u val="none"/>
        <vertAlign val="baseline"/>
        <sz val="11"/>
        <color theme="1"/>
        <name val="Calibri"/>
        <scheme val="minor"/>
      </font>
      <numFmt numFmtId="3" formatCode="#,##0"/>
      <fill>
        <patternFill patternType="none">
          <fgColor indexed="64"/>
          <bgColor indexed="65"/>
        </patternFill>
      </fill>
    </dxf>
    <dxf>
      <font>
        <b val="0"/>
        <i val="0"/>
        <strike val="0"/>
        <condense val="0"/>
        <extend val="0"/>
        <outline val="0"/>
        <shadow val="0"/>
        <u val="none"/>
        <vertAlign val="baseline"/>
        <sz val="11"/>
        <color theme="1"/>
        <name val="Calibri"/>
        <scheme val="minor"/>
      </font>
      <numFmt numFmtId="3" formatCode="#,##0"/>
      <fill>
        <patternFill patternType="none">
          <fgColor indexed="64"/>
          <bgColor indexed="65"/>
        </patternFill>
      </fill>
    </dxf>
    <dxf>
      <font>
        <b val="0"/>
        <i val="0"/>
        <strike val="0"/>
        <condense val="0"/>
        <extend val="0"/>
        <outline val="0"/>
        <shadow val="0"/>
        <u val="none"/>
        <vertAlign val="baseline"/>
        <sz val="11"/>
        <color theme="1"/>
        <name val="Calibri"/>
        <scheme val="minor"/>
      </font>
      <numFmt numFmtId="3" formatCode="#,##0"/>
      <fill>
        <patternFill patternType="none">
          <fgColor indexed="64"/>
          <bgColor indexed="65"/>
        </patternFill>
      </fill>
    </dxf>
    <dxf>
      <font>
        <b val="0"/>
        <i val="0"/>
        <strike val="0"/>
        <condense val="0"/>
        <extend val="0"/>
        <outline val="0"/>
        <shadow val="0"/>
        <u val="none"/>
        <vertAlign val="baseline"/>
        <sz val="11"/>
        <color theme="1"/>
        <name val="Calibri"/>
        <scheme val="minor"/>
      </font>
      <numFmt numFmtId="3" formatCode="#,##0"/>
      <fill>
        <patternFill patternType="none">
          <fgColor indexed="64"/>
          <bgColor indexed="65"/>
        </patternFill>
      </fill>
    </dxf>
    <dxf>
      <font>
        <b val="0"/>
        <i val="0"/>
        <strike val="0"/>
        <condense val="0"/>
        <extend val="0"/>
        <outline val="0"/>
        <shadow val="0"/>
        <u val="none"/>
        <vertAlign val="baseline"/>
        <sz val="11"/>
        <color theme="1"/>
        <name val="Calibri"/>
        <scheme val="minor"/>
      </font>
      <numFmt numFmtId="3" formatCode="#,##0"/>
      <fill>
        <patternFill patternType="none">
          <fgColor indexed="64"/>
          <bgColor indexed="65"/>
        </patternFill>
      </fill>
    </dxf>
    <dxf>
      <font>
        <b val="0"/>
        <i val="0"/>
        <strike val="0"/>
        <condense val="0"/>
        <extend val="0"/>
        <outline val="0"/>
        <shadow val="0"/>
        <u val="none"/>
        <vertAlign val="baseline"/>
        <sz val="11"/>
        <color theme="1"/>
        <name val="Calibri"/>
        <scheme val="minor"/>
      </font>
      <numFmt numFmtId="3" formatCode="#,##0"/>
      <fill>
        <patternFill patternType="none">
          <fgColor indexed="64"/>
          <bgColor indexed="65"/>
        </patternFill>
      </fill>
    </dxf>
    <dxf>
      <font>
        <b val="0"/>
        <i val="0"/>
        <strike val="0"/>
        <condense val="0"/>
        <extend val="0"/>
        <outline val="0"/>
        <shadow val="0"/>
        <u val="none"/>
        <vertAlign val="baseline"/>
        <sz val="11"/>
        <color theme="1"/>
        <name val="Calibri"/>
        <scheme val="minor"/>
      </font>
      <numFmt numFmtId="3" formatCode="#,##0"/>
      <fill>
        <patternFill patternType="none">
          <fgColor indexed="64"/>
          <bgColor indexed="65"/>
        </patternFill>
      </fill>
    </dxf>
    <dxf>
      <font>
        <b val="0"/>
        <i val="0"/>
        <strike val="0"/>
        <condense val="0"/>
        <extend val="0"/>
        <outline val="0"/>
        <shadow val="0"/>
        <u val="none"/>
        <vertAlign val="baseline"/>
        <sz val="11"/>
        <color theme="1"/>
        <name val="Calibri"/>
        <scheme val="minor"/>
      </font>
      <numFmt numFmtId="3" formatCode="#,##0"/>
      <fill>
        <patternFill patternType="none">
          <fgColor indexed="64"/>
          <bgColor indexed="65"/>
        </patternFill>
      </fill>
    </dxf>
    <dxf>
      <font>
        <b val="0"/>
        <i val="0"/>
        <strike val="0"/>
        <condense val="0"/>
        <extend val="0"/>
        <outline val="0"/>
        <shadow val="0"/>
        <u val="none"/>
        <vertAlign val="baseline"/>
        <sz val="11"/>
        <color theme="1"/>
        <name val="Calibri"/>
        <scheme val="minor"/>
      </font>
      <numFmt numFmtId="3" formatCode="#,##0"/>
      <fill>
        <patternFill patternType="none">
          <fgColor indexed="64"/>
          <bgColor indexed="65"/>
        </patternFill>
      </fill>
    </dxf>
    <dxf>
      <font>
        <b val="0"/>
        <i val="0"/>
        <strike val="0"/>
        <condense val="0"/>
        <extend val="0"/>
        <outline val="0"/>
        <shadow val="0"/>
        <u val="none"/>
        <vertAlign val="baseline"/>
        <sz val="11"/>
        <color theme="1"/>
        <name val="Calibri"/>
        <scheme val="minor"/>
      </font>
      <numFmt numFmtId="3" formatCode="#,##0"/>
      <fill>
        <patternFill patternType="none">
          <fgColor indexed="64"/>
          <bgColor indexed="65"/>
        </patternFill>
      </fill>
    </dxf>
    <dxf>
      <font>
        <b val="0"/>
        <i val="0"/>
        <strike val="0"/>
        <condense val="0"/>
        <extend val="0"/>
        <outline val="0"/>
        <shadow val="0"/>
        <u val="none"/>
        <vertAlign val="baseline"/>
        <sz val="11"/>
        <color theme="1"/>
        <name val="Calibri"/>
        <scheme val="minor"/>
      </font>
      <numFmt numFmtId="3" formatCode="#,##0"/>
      <fill>
        <patternFill patternType="none">
          <fgColor indexed="64"/>
          <bgColor indexed="65"/>
        </patternFill>
      </fill>
    </dxf>
    <dxf>
      <font>
        <b val="0"/>
        <i val="0"/>
        <strike val="0"/>
        <condense val="0"/>
        <extend val="0"/>
        <outline val="0"/>
        <shadow val="0"/>
        <u val="none"/>
        <vertAlign val="baseline"/>
        <sz val="11"/>
        <color theme="1"/>
        <name val="Calibri"/>
        <scheme val="minor"/>
      </font>
      <numFmt numFmtId="3" formatCode="#,##0"/>
      <fill>
        <patternFill patternType="none">
          <fgColor indexed="64"/>
          <bgColor indexed="65"/>
        </patternFill>
      </fill>
    </dxf>
    <dxf>
      <font>
        <b val="0"/>
        <i val="0"/>
        <strike val="0"/>
        <condense val="0"/>
        <extend val="0"/>
        <outline val="0"/>
        <shadow val="0"/>
        <u val="none"/>
        <vertAlign val="baseline"/>
        <sz val="11"/>
        <color theme="1"/>
        <name val="Calibri"/>
        <scheme val="minor"/>
      </font>
      <numFmt numFmtId="3" formatCode="#,##0"/>
      <fill>
        <patternFill patternType="none">
          <fgColor indexed="64"/>
          <bgColor indexed="65"/>
        </patternFill>
      </fill>
    </dxf>
    <dxf>
      <font>
        <b val="0"/>
        <i val="0"/>
        <strike val="0"/>
        <condense val="0"/>
        <extend val="0"/>
        <outline val="0"/>
        <shadow val="0"/>
        <u val="none"/>
        <vertAlign val="baseline"/>
        <sz val="11"/>
        <color theme="1"/>
        <name val="Calibri"/>
        <scheme val="minor"/>
      </font>
      <numFmt numFmtId="3" formatCode="#,##0"/>
      <fill>
        <patternFill patternType="none">
          <fgColor indexed="64"/>
          <bgColor indexed="65"/>
        </patternFill>
      </fill>
    </dxf>
    <dxf>
      <font>
        <b val="0"/>
        <i val="0"/>
        <strike val="0"/>
        <condense val="0"/>
        <extend val="0"/>
        <outline val="0"/>
        <shadow val="0"/>
        <u val="none"/>
        <vertAlign val="baseline"/>
        <sz val="11"/>
        <color theme="1"/>
        <name val="Calibri"/>
        <scheme val="minor"/>
      </font>
      <numFmt numFmtId="3" formatCode="#,##0"/>
      <fill>
        <patternFill patternType="none">
          <fgColor indexed="64"/>
          <bgColor indexed="65"/>
        </patternFill>
      </fill>
    </dxf>
    <dxf>
      <font>
        <b val="0"/>
        <i val="0"/>
        <strike val="0"/>
        <condense val="0"/>
        <extend val="0"/>
        <outline val="0"/>
        <shadow val="0"/>
        <u val="none"/>
        <vertAlign val="baseline"/>
        <sz val="11"/>
        <color rgb="FF000000"/>
        <name val="Calibri"/>
        <scheme val="minor"/>
      </font>
      <numFmt numFmtId="3" formatCode="#,##0"/>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numFmt numFmtId="3" formatCode="#,##0"/>
      <fill>
        <patternFill patternType="none">
          <fgColor indexed="64"/>
          <bgColor indexed="65"/>
        </patternFill>
      </fill>
    </dxf>
    <dxf>
      <font>
        <b val="0"/>
        <i val="0"/>
        <strike val="0"/>
        <condense val="0"/>
        <extend val="0"/>
        <outline val="0"/>
        <shadow val="0"/>
        <u val="none"/>
        <vertAlign val="baseline"/>
        <sz val="11"/>
        <color theme="1"/>
        <name val="Calibri"/>
        <scheme val="minor"/>
      </font>
      <numFmt numFmtId="3" formatCode="#,##0"/>
      <fill>
        <patternFill patternType="none">
          <fgColor indexed="64"/>
          <bgColor indexed="65"/>
        </patternFill>
      </fill>
    </dxf>
    <dxf>
      <font>
        <b val="0"/>
        <i val="0"/>
        <strike val="0"/>
        <condense val="0"/>
        <extend val="0"/>
        <outline val="0"/>
        <shadow val="0"/>
        <u val="none"/>
        <vertAlign val="baseline"/>
        <sz val="11"/>
        <color theme="1"/>
        <name val="Calibri"/>
        <scheme val="minor"/>
      </font>
      <numFmt numFmtId="3" formatCode="#,##0"/>
      <fill>
        <patternFill patternType="none">
          <fgColor indexed="64"/>
          <bgColor indexed="65"/>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dxf>
    <dxf>
      <font>
        <b val="0"/>
        <i val="0"/>
        <strike val="0"/>
        <condense val="0"/>
        <extend val="0"/>
        <outline val="0"/>
        <shadow val="0"/>
        <u val="none"/>
        <vertAlign val="baseline"/>
        <sz val="11"/>
        <color rgb="FF000000"/>
        <name val="Calibri"/>
        <scheme val="minor"/>
      </font>
      <numFmt numFmtId="3" formatCode="#,##0"/>
      <fill>
        <patternFill patternType="none">
          <fgColor indexed="64"/>
          <bgColor indexed="65"/>
        </patternFill>
      </fill>
      <alignment horizontal="center" vertical="center" textRotation="0" wrapText="0" indent="0" justifyLastLine="0" shrinkToFit="0" readingOrder="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0" formatCode="General"/>
    </dxf>
    <dxf>
      <numFmt numFmtId="0" formatCode="General"/>
    </dxf>
    <dxf>
      <numFmt numFmtId="0" formatCode="General"/>
    </dxf>
    <dxf>
      <numFmt numFmtId="0" formatCode="General"/>
    </dxf>
    <dxf>
      <numFmt numFmtId="3" formatCode="#,##0"/>
    </dxf>
    <dxf>
      <numFmt numFmtId="3"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dxf>
    <dxf>
      <numFmt numFmtId="3"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dxf>
    <dxf>
      <numFmt numFmtId="3"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dxf>
    <dxf>
      <numFmt numFmtId="3"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dxf>
    <dxf>
      <numFmt numFmtId="3"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dxf>
    <dxf>
      <numFmt numFmtId="3"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dxf>
    <dxf>
      <numFmt numFmtId="3" formatCode="#,##0"/>
    </dxf>
    <dxf>
      <numFmt numFmtId="3" formatCode="#,##0"/>
    </dxf>
    <dxf>
      <numFmt numFmtId="3" formatCode="#,##0"/>
    </dxf>
    <dxf>
      <numFmt numFmtId="3" formatCode="#,##0"/>
    </dxf>
    <dxf>
      <numFmt numFmtId="3" formatCode="#,##0"/>
    </dxf>
    <dxf>
      <numFmt numFmtId="0" formatCode="General"/>
    </dxf>
    <dxf>
      <numFmt numFmtId="0" formatCode="General"/>
    </dxf>
    <dxf>
      <numFmt numFmtId="0" formatCode="General"/>
    </dxf>
    <dxf>
      <numFmt numFmtId="0" formatCode="General"/>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fill>
        <patternFill patternType="none">
          <fgColor indexed="64"/>
          <bgColor indexed="65"/>
        </patternFill>
      </fill>
    </dxf>
    <dxf>
      <numFmt numFmtId="0" formatCode="General"/>
    </dxf>
    <dxf>
      <numFmt numFmtId="0" formatCode="General"/>
    </dxf>
    <dxf>
      <numFmt numFmtId="0" formatCode="General"/>
      <fill>
        <patternFill patternType="none">
          <fgColor indexed="64"/>
          <bgColor indexed="65"/>
        </patternFill>
      </fill>
    </dxf>
    <dxf>
      <numFmt numFmtId="0" formatCode="General"/>
    </dxf>
    <dxf>
      <numFmt numFmtId="0" formatCode="General"/>
    </dxf>
  </dxfs>
  <tableStyles count="1" defaultTableStyle="TableStyleMedium2" defaultPivotStyle="PivotStyleLight16">
    <tableStyle name="Invisible" pivot="0" table="0" count="0" xr9:uid="{5E56AF1F-E547-47C9-86C8-3694879B5845}"/>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unitednations.sharepoint.com/Users/TMatchok&#233;/Downloads/Pop_r&#233;gion_202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s>
    <sheetDataSet>
      <sheetData sheetId="0">
        <row r="27">
          <cell r="D27">
            <v>142104.10277676419</v>
          </cell>
        </row>
        <row r="28">
          <cell r="D28">
            <v>869571.78343272861</v>
          </cell>
        </row>
        <row r="29">
          <cell r="D29">
            <v>654242.95515468728</v>
          </cell>
        </row>
        <row r="30">
          <cell r="D30">
            <v>846044.3415234962</v>
          </cell>
        </row>
        <row r="31">
          <cell r="D31">
            <v>512703.75793699443</v>
          </cell>
        </row>
        <row r="32">
          <cell r="D32">
            <v>657165.23527811689</v>
          </cell>
        </row>
        <row r="33">
          <cell r="D33">
            <v>1062456.6771853303</v>
          </cell>
        </row>
        <row r="34">
          <cell r="D34">
            <v>1194793.7789298429</v>
          </cell>
        </row>
        <row r="35">
          <cell r="D35">
            <v>955198.70693671622</v>
          </cell>
        </row>
        <row r="36">
          <cell r="D36">
            <v>1179900.440019096</v>
          </cell>
        </row>
        <row r="37">
          <cell r="D37">
            <v>869881.50396693707</v>
          </cell>
        </row>
        <row r="38">
          <cell r="D38">
            <v>903208.87400840339</v>
          </cell>
        </row>
        <row r="39">
          <cell r="D39">
            <v>1099914.340330827</v>
          </cell>
        </row>
        <row r="40">
          <cell r="D40">
            <v>463556.97429777891</v>
          </cell>
        </row>
        <row r="41">
          <cell r="D41">
            <v>1025064.868239798</v>
          </cell>
        </row>
        <row r="42">
          <cell r="D42">
            <v>776606.23252018436</v>
          </cell>
        </row>
        <row r="43">
          <cell r="D43">
            <v>1638388.6988633485</v>
          </cell>
        </row>
        <row r="44">
          <cell r="D44">
            <v>384262.34370913851</v>
          </cell>
        </row>
        <row r="46">
          <cell r="D46">
            <v>580047.90917580656</v>
          </cell>
        </row>
        <row r="47">
          <cell r="D47">
            <v>38878.673304108226</v>
          </cell>
        </row>
      </sheetData>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AC71" totalsRowShown="0">
  <autoFilter ref="A1:AC71" xr:uid="{00000000-0009-0000-0100-000001000000}"/>
  <sortState xmlns:xlrd2="http://schemas.microsoft.com/office/spreadsheetml/2017/richdata2" ref="A2:T71">
    <sortCondition ref="A2:A71"/>
  </sortState>
  <tableColumns count="29">
    <tableColumn id="1" xr3:uid="{00000000-0010-0000-0000-000001000000}" name="admin2Pcode"/>
    <tableColumn id="2" xr3:uid="{00000000-0010-0000-0000-000002000000}" name="admin2Name_fr"/>
    <tableColumn id="3" xr3:uid="{00000000-0010-0000-0000-000003000000}" name="admin2RefName"/>
    <tableColumn id="4" xr3:uid="{00000000-0010-0000-0000-000004000000}" name="admin1Pcode"/>
    <tableColumn id="7" xr3:uid="{00000000-0010-0000-0000-000007000000}" name="admin1Name_fr"/>
    <tableColumn id="23" xr3:uid="{00000000-0010-0000-0000-000017000000}" name="Proj2016_Hommes" dataDxfId="129"/>
    <tableColumn id="22" xr3:uid="{00000000-0010-0000-0000-000016000000}" name="Proj2016_Femmes" dataDxfId="128"/>
    <tableColumn id="16" xr3:uid="{00000000-0010-0000-0000-000010000000}" name="Proj2016_Total" dataDxfId="127"/>
    <tableColumn id="21" xr3:uid="{00000000-0010-0000-0000-000015000000}" name="Proj2017_Hommes" dataDxfId="126"/>
    <tableColumn id="25" xr3:uid="{00000000-0010-0000-0000-000019000000}" name="Proj2017_Femmes" dataDxfId="125"/>
    <tableColumn id="15" xr3:uid="{00000000-0010-0000-0000-00000F000000}" name="Proj2017_Total" dataDxfId="124"/>
    <tableColumn id="5" xr3:uid="{00000000-0010-0000-0000-000005000000}" name="Proj2018_Hommes" dataDxfId="123"/>
    <tableColumn id="6" xr3:uid="{00000000-0010-0000-0000-000006000000}" name="Proj2018_Femmes" dataDxfId="122"/>
    <tableColumn id="12" xr3:uid="{00000000-0010-0000-0000-00000C000000}" name="Proj2018_Total" dataDxfId="121"/>
    <tableColumn id="8" xr3:uid="{00000000-0010-0000-0000-000008000000}" name="Proj2019_Hommes" dataDxfId="120"/>
    <tableColumn id="9" xr3:uid="{00000000-0010-0000-0000-000009000000}" name="Proj2019_Femmes" dataDxfId="119"/>
    <tableColumn id="13" xr3:uid="{00000000-0010-0000-0000-00000D000000}" name="Proj2019_Total" dataDxfId="118"/>
    <tableColumn id="10" xr3:uid="{00000000-0010-0000-0000-00000A000000}" name="Proj2020_Hommes" dataDxfId="117"/>
    <tableColumn id="11" xr3:uid="{00000000-0010-0000-0000-00000B000000}" name="Proj2020_Femmes" dataDxfId="116"/>
    <tableColumn id="14" xr3:uid="{00000000-0010-0000-0000-00000E000000}" name="Proj_2020_Total" dataDxfId="115"/>
    <tableColumn id="17" xr3:uid="{00000000-0010-0000-0000-000011000000}" name="Proj2021_Hommes" dataDxfId="114"/>
    <tableColumn id="18" xr3:uid="{00000000-0010-0000-0000-000012000000}" name="Proj2021_Femmes" dataDxfId="113"/>
    <tableColumn id="19" xr3:uid="{00000000-0010-0000-0000-000013000000}" name="Proj_2021_Total" dataDxfId="112"/>
    <tableColumn id="20" xr3:uid="{00000000-0010-0000-0000-000014000000}" name="Proj2022_Hommes" dataDxfId="111"/>
    <tableColumn id="24" xr3:uid="{00000000-0010-0000-0000-000018000000}" name="Proj2022_Femmes" dataDxfId="110"/>
    <tableColumn id="26" xr3:uid="{00000000-0010-0000-0000-00001A000000}" name="Proj_2022_Tota4" dataDxfId="109"/>
    <tableColumn id="27" xr3:uid="{00000000-0010-0000-0000-00001B000000}" name="Proj2023_Hommes2" dataDxfId="108"/>
    <tableColumn id="28" xr3:uid="{00000000-0010-0000-0000-00001C000000}" name="Proj2032_Femmes3" dataDxfId="107"/>
    <tableColumn id="29" xr3:uid="{00000000-0010-0000-0000-00001D000000}" name="Proj_2023_Tota44" dataDxfId="10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1000000}" name="Table15" displayName="Table15" ref="A2:P95" totalsRowShown="0">
  <autoFilter ref="A2:P95" xr:uid="{00000000-0009-0000-0100-000004000000}"/>
  <sortState xmlns:xlrd2="http://schemas.microsoft.com/office/spreadsheetml/2017/richdata2" ref="A2:T71">
    <sortCondition ref="A2:A71"/>
  </sortState>
  <tableColumns count="16">
    <tableColumn id="1" xr3:uid="{00000000-0010-0000-0100-000001000000}" name="admin2Pcode"/>
    <tableColumn id="2" xr3:uid="{00000000-0010-0000-0100-000002000000}" name="admin2Name_fr"/>
    <tableColumn id="3" xr3:uid="{00000000-0010-0000-0100-000003000000}" name="admin2RefName"/>
    <tableColumn id="4" xr3:uid="{00000000-0010-0000-0100-000004000000}" name="admin1Pcode"/>
    <tableColumn id="7" xr3:uid="{00000000-0010-0000-0100-000007000000}" name="admin1Name_fr"/>
    <tableColumn id="23" xr3:uid="{00000000-0010-0000-0100-000017000000}" name="Proj2016_Hommes" dataDxfId="105" totalsRowDxfId="104"/>
    <tableColumn id="22" xr3:uid="{00000000-0010-0000-0100-000016000000}" name="Proj2016_Femmes" dataDxfId="103" totalsRowDxfId="102"/>
    <tableColumn id="10" xr3:uid="{00000000-0010-0000-0100-00000A000000}" name="Proj2020_Hommes" dataDxfId="101" totalsRowDxfId="100"/>
    <tableColumn id="11" xr3:uid="{00000000-0010-0000-0100-00000B000000}" name="Proj2020_Femmes" dataDxfId="99" totalsRowDxfId="98"/>
    <tableColumn id="14" xr3:uid="{00000000-0010-0000-0100-00000E000000}" name="Proj_2020_Total" dataDxfId="97" totalsRowDxfId="96"/>
    <tableColumn id="5" xr3:uid="{00000000-0010-0000-0100-000005000000}" name="Proj2020_Hommes2" dataDxfId="95" totalsRowDxfId="94">
      <calculatedColumnFormula>Table15[[#This Row],[Proj2020_Hommes]]/$J$19</calculatedColumnFormula>
    </tableColumn>
    <tableColumn id="6" xr3:uid="{00000000-0010-0000-0100-000006000000}" name="Proj2020_Femmes3" dataDxfId="93" totalsRowDxfId="92"/>
    <tableColumn id="8" xr3:uid="{00000000-0010-0000-0100-000008000000}" name="Proj_2020_Total4" dataDxfId="91" totalsRowDxfId="90"/>
    <tableColumn id="9" xr3:uid="{00000000-0010-0000-0100-000009000000}" name="Proj2021_Hommes22" dataDxfId="89" totalsRowDxfId="88"/>
    <tableColumn id="12" xr3:uid="{00000000-0010-0000-0100-00000C000000}" name="Proj2021_Femmes32" dataDxfId="87" totalsRowDxfId="86"/>
    <tableColumn id="13" xr3:uid="{00000000-0010-0000-0100-00000D000000}" name="Proj_2021_Total43" dataDxfId="85" totalsRowDxfId="84"/>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156" displayName="Table156" ref="A2:M72" totalsRowShown="0">
  <autoFilter ref="A2:M72" xr:uid="{00000000-0009-0000-0100-000005000000}"/>
  <sortState xmlns:xlrd2="http://schemas.microsoft.com/office/spreadsheetml/2017/richdata2" ref="A3:T72">
    <sortCondition ref="A2:A71"/>
  </sortState>
  <tableColumns count="13">
    <tableColumn id="1" xr3:uid="{00000000-0010-0000-0200-000001000000}" name="admin2Pcode"/>
    <tableColumn id="2" xr3:uid="{00000000-0010-0000-0200-000002000000}" name="admin2Name_fr"/>
    <tableColumn id="3" xr3:uid="{00000000-0010-0000-0200-000003000000}" name="admin2RefName"/>
    <tableColumn id="4" xr3:uid="{00000000-0010-0000-0200-000004000000}" name="admin1Pcode"/>
    <tableColumn id="7" xr3:uid="{00000000-0010-0000-0200-000007000000}" name="admin1Name_fr"/>
    <tableColumn id="23" xr3:uid="{00000000-0010-0000-0200-000017000000}" name="Proj2016_Hommes" dataDxfId="83" totalsRowDxfId="82"/>
    <tableColumn id="22" xr3:uid="{00000000-0010-0000-0200-000016000000}" name="Proj2016_Femmes" dataDxfId="81" totalsRowDxfId="80"/>
    <tableColumn id="9" xr3:uid="{00000000-0010-0000-0200-000009000000}" name="Proj2021_Hommes22" dataDxfId="79" totalsRowDxfId="78"/>
    <tableColumn id="12" xr3:uid="{00000000-0010-0000-0200-00000C000000}" name="Proj2021_Femmes32" dataDxfId="77" totalsRowDxfId="76"/>
    <tableColumn id="13" xr3:uid="{00000000-0010-0000-0200-00000D000000}" name="Proj_2021_Total43" dataDxfId="75" totalsRowDxfId="74"/>
    <tableColumn id="5" xr3:uid="{00000000-0010-0000-0200-000005000000}" name="Proj2022_Hommes" dataDxfId="73"/>
    <tableColumn id="6" xr3:uid="{00000000-0010-0000-0200-000006000000}" name="Proj2022_Femmes" dataDxfId="72"/>
    <tableColumn id="8" xr3:uid="{00000000-0010-0000-0200-000008000000}" name="Proj_2022_Total" dataDxfId="71"/>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3000000}" name="Tableau2" displayName="Tableau2" ref="A1:H25" totalsRowShown="0">
  <autoFilter ref="A1:H25" xr:uid="{00000000-0009-0000-0100-000002000000}"/>
  <sortState xmlns:xlrd2="http://schemas.microsoft.com/office/spreadsheetml/2017/richdata2" ref="A2:H25">
    <sortCondition ref="B2:B25"/>
  </sortState>
  <tableColumns count="8">
    <tableColumn id="1" xr3:uid="{00000000-0010-0000-0300-000001000000}" name="admin1Pcode"/>
    <tableColumn id="2" xr3:uid="{00000000-0010-0000-0300-000002000000}" name="admin1Name_fr"/>
    <tableColumn id="3" xr3:uid="{00000000-0010-0000-0300-000003000000}" name="admin1RefName"/>
    <tableColumn id="9" xr3:uid="{00000000-0010-0000-0300-000009000000}" name="Proj2016" dataDxfId="70"/>
    <tableColumn id="7" xr3:uid="{00000000-0010-0000-0300-000007000000}" name="Proj2017" dataDxfId="69"/>
    <tableColumn id="4" xr3:uid="{00000000-0010-0000-0300-000004000000}" name="Proj2018" dataDxfId="68"/>
    <tableColumn id="5" xr3:uid="{00000000-0010-0000-0300-000005000000}" name="Proj2019" dataDxfId="67"/>
    <tableColumn id="6" xr3:uid="{00000000-0010-0000-0300-000006000000}" name="Proj2020" dataDxfId="66"/>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4000000}" name="Tableau3" displayName="Tableau3" ref="A2:AN72" totalsRowShown="0" headerRowDxfId="65" dataDxfId="64">
  <autoFilter ref="A2:AN72" xr:uid="{00000000-0009-0000-0100-000003000000}"/>
  <sortState xmlns:xlrd2="http://schemas.microsoft.com/office/spreadsheetml/2017/richdata2" ref="A3:V68">
    <sortCondition ref="A3:A68"/>
    <sortCondition ref="D3:D68"/>
  </sortState>
  <tableColumns count="40">
    <tableColumn id="1" xr3:uid="{00000000-0010-0000-0400-000001000000}" name="admin1Pcode" dataDxfId="63"/>
    <tableColumn id="2" xr3:uid="{00000000-0010-0000-0400-000002000000}" name="admin1Name_fr" dataDxfId="62"/>
    <tableColumn id="3" xr3:uid="{00000000-0010-0000-0400-000003000000}" name="admin1RefName" dataDxfId="61"/>
    <tableColumn id="4" xr3:uid="{00000000-0010-0000-0400-000004000000}" name="Sexe" dataDxfId="60"/>
    <tableColumn id="5" xr3:uid="{00000000-0010-0000-0400-000005000000}" name=" 0-4" dataDxfId="59"/>
    <tableColumn id="6" xr3:uid="{00000000-0010-0000-0400-000006000000}" name=" 5-9" dataDxfId="58"/>
    <tableColumn id="7" xr3:uid="{00000000-0010-0000-0400-000007000000}" name=" 10-14 " dataDxfId="57"/>
    <tableColumn id="8" xr3:uid="{00000000-0010-0000-0400-000008000000}" name=" 15-19 " dataDxfId="56"/>
    <tableColumn id="9" xr3:uid="{00000000-0010-0000-0400-000009000000}" name=" 20-24 " dataDxfId="55"/>
    <tableColumn id="10" xr3:uid="{00000000-0010-0000-0400-00000A000000}" name=" 25-29 " dataDxfId="54"/>
    <tableColumn id="11" xr3:uid="{00000000-0010-0000-0400-00000B000000}" name=" 30-34 " dataDxfId="53"/>
    <tableColumn id="12" xr3:uid="{00000000-0010-0000-0400-00000C000000}" name=" 35-39 " dataDxfId="52"/>
    <tableColumn id="13" xr3:uid="{00000000-0010-0000-0400-00000D000000}" name=" 40-44 " dataDxfId="51"/>
    <tableColumn id="14" xr3:uid="{00000000-0010-0000-0400-00000E000000}" name=" 45-49 " dataDxfId="50"/>
    <tableColumn id="15" xr3:uid="{00000000-0010-0000-0400-00000F000000}" name=" 50-54 " dataDxfId="49"/>
    <tableColumn id="16" xr3:uid="{00000000-0010-0000-0400-000010000000}" name=" 55-59 " dataDxfId="48"/>
    <tableColumn id="17" xr3:uid="{00000000-0010-0000-0400-000011000000}" name=" 60-64 " dataDxfId="47"/>
    <tableColumn id="18" xr3:uid="{00000000-0010-0000-0400-000012000000}" name=" 65-69 " dataDxfId="46"/>
    <tableColumn id="19" xr3:uid="{00000000-0010-0000-0400-000013000000}" name=" 70-74 " dataDxfId="45"/>
    <tableColumn id="20" xr3:uid="{00000000-0010-0000-0400-000014000000}" name=" 75-79 " dataDxfId="44"/>
    <tableColumn id="21" xr3:uid="{00000000-0010-0000-0400-000015000000}" name=" 80+ " dataDxfId="43"/>
    <tableColumn id="22" xr3:uid="{00000000-0010-0000-0400-000016000000}" name="Total" dataDxfId="42">
      <calculatedColumnFormula>SUM(E3:U3)</calculatedColumnFormula>
    </tableColumn>
    <tableColumn id="23" xr3:uid="{00000000-0010-0000-0400-000017000000}" name=" 0-42" dataDxfId="41"/>
    <tableColumn id="24" xr3:uid="{00000000-0010-0000-0400-000018000000}" name=" 5-93" dataDxfId="40"/>
    <tableColumn id="25" xr3:uid="{00000000-0010-0000-0400-000019000000}" name=" 10-14 4" dataDxfId="39"/>
    <tableColumn id="26" xr3:uid="{00000000-0010-0000-0400-00001A000000}" name=" 15-19 5" dataDxfId="38"/>
    <tableColumn id="27" xr3:uid="{00000000-0010-0000-0400-00001B000000}" name=" 20-24 6" dataDxfId="37"/>
    <tableColumn id="28" xr3:uid="{00000000-0010-0000-0400-00001C000000}" name=" 25-29 7" dataDxfId="36"/>
    <tableColumn id="29" xr3:uid="{00000000-0010-0000-0400-00001D000000}" name=" 30-34 8" dataDxfId="35"/>
    <tableColumn id="30" xr3:uid="{00000000-0010-0000-0400-00001E000000}" name=" 35-39 9" dataDxfId="34"/>
    <tableColumn id="31" xr3:uid="{00000000-0010-0000-0400-00001F000000}" name=" 40-44 10" dataDxfId="33"/>
    <tableColumn id="32" xr3:uid="{00000000-0010-0000-0400-000020000000}" name=" 45-49 11" dataDxfId="32"/>
    <tableColumn id="33" xr3:uid="{00000000-0010-0000-0400-000021000000}" name=" 50-54 12" dataDxfId="31"/>
    <tableColumn id="34" xr3:uid="{00000000-0010-0000-0400-000022000000}" name=" 55-59 13" dataDxfId="30"/>
    <tableColumn id="35" xr3:uid="{00000000-0010-0000-0400-000023000000}" name=" 60-64 14" dataDxfId="29"/>
    <tableColumn id="36" xr3:uid="{00000000-0010-0000-0400-000024000000}" name=" 65-69 15" dataDxfId="28"/>
    <tableColumn id="37" xr3:uid="{00000000-0010-0000-0400-000025000000}" name=" 70-74 16" dataDxfId="27"/>
    <tableColumn id="38" xr3:uid="{00000000-0010-0000-0400-000026000000}" name=" 75-79 17" dataDxfId="26"/>
    <tableColumn id="39" xr3:uid="{00000000-0010-0000-0400-000027000000}" name=" 80+ 18" dataDxfId="25"/>
    <tableColumn id="40" xr3:uid="{00000000-0010-0000-0400-000028000000}" name="Total19" dataDxfId="24"/>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au37" displayName="Tableau37" ref="A2:V74" totalsRowShown="0" headerRowDxfId="23" dataDxfId="22">
  <autoFilter ref="A2:V74" xr:uid="{00000000-0009-0000-0100-000006000000}"/>
  <sortState xmlns:xlrd2="http://schemas.microsoft.com/office/spreadsheetml/2017/richdata2" ref="A3:V68">
    <sortCondition ref="A3:A68"/>
    <sortCondition ref="D3:D68"/>
  </sortState>
  <tableColumns count="22">
    <tableColumn id="1" xr3:uid="{00000000-0010-0000-0500-000001000000}" name="admin1Pcode" dataDxfId="21"/>
    <tableColumn id="2" xr3:uid="{00000000-0010-0000-0500-000002000000}" name="admin1Name_fr" dataDxfId="20"/>
    <tableColumn id="3" xr3:uid="{00000000-0010-0000-0500-000003000000}" name="admin1RefName" dataDxfId="19"/>
    <tableColumn id="4" xr3:uid="{00000000-0010-0000-0500-000004000000}" name="Sexe" dataDxfId="18"/>
    <tableColumn id="58" xr3:uid="{00000000-0010-0000-0500-00003A000000}" name=" 0-4" dataDxfId="17"/>
    <tableColumn id="59" xr3:uid="{00000000-0010-0000-0500-00003B000000}" name=" 5-9" dataDxfId="16"/>
    <tableColumn id="60" xr3:uid="{00000000-0010-0000-0500-00003C000000}" name=" 10-14 " dataDxfId="15"/>
    <tableColumn id="51" xr3:uid="{00000000-0010-0000-0500-000033000000}" name=" 15-19 " dataDxfId="14"/>
    <tableColumn id="52" xr3:uid="{00000000-0010-0000-0500-000034000000}" name=" 20-24 " dataDxfId="13"/>
    <tableColumn id="53" xr3:uid="{00000000-0010-0000-0500-000035000000}" name=" 25-29 " dataDxfId="12"/>
    <tableColumn id="54" xr3:uid="{00000000-0010-0000-0500-000036000000}" name=" 30-34 " dataDxfId="11"/>
    <tableColumn id="55" xr3:uid="{00000000-0010-0000-0500-000037000000}" name=" 35-39 " dataDxfId="10"/>
    <tableColumn id="46" xr3:uid="{00000000-0010-0000-0500-00002E000000}" name=" 40-44 " dataDxfId="9"/>
    <tableColumn id="47" xr3:uid="{00000000-0010-0000-0500-00002F000000}" name=" 45-49 " dataDxfId="8"/>
    <tableColumn id="48" xr3:uid="{00000000-0010-0000-0500-000030000000}" name=" 50-54 " dataDxfId="7"/>
    <tableColumn id="49" xr3:uid="{00000000-0010-0000-0500-000031000000}" name=" 55-59 " dataDxfId="6"/>
    <tableColumn id="50" xr3:uid="{00000000-0010-0000-0500-000032000000}" name=" 60-64 " dataDxfId="5"/>
    <tableColumn id="41" xr3:uid="{00000000-0010-0000-0500-000029000000}" name=" 65-69 " dataDxfId="4"/>
    <tableColumn id="42" xr3:uid="{00000000-0010-0000-0500-00002A000000}" name=" 70-74 " dataDxfId="3"/>
    <tableColumn id="43" xr3:uid="{00000000-0010-0000-0500-00002B000000}" name=" 75-79 " dataDxfId="2"/>
    <tableColumn id="44" xr3:uid="{00000000-0010-0000-0500-00002C000000}" name=" 80+ " dataDxfId="1"/>
    <tableColumn id="45" xr3:uid="{00000000-0010-0000-0500-00002D000000}" name="Total" dataDxfId="0">
      <calculatedColumnFormula>SUM(E3:U3)</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2.v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table" Target="../tables/table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vmlDrawing" Target="../drawings/vmlDrawing4.vml"/><Relationship Id="rId1" Type="http://schemas.openxmlformats.org/officeDocument/2006/relationships/printerSettings" Target="../printerSettings/printerSettings4.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table" Target="../tables/table5.xml"/><Relationship Id="rId1" Type="http://schemas.openxmlformats.org/officeDocument/2006/relationships/vmlDrawing" Target="../drawings/vmlDrawing5.vml"/></Relationships>
</file>

<file path=xl/worksheets/_rels/sheet9.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6"/>
  <sheetViews>
    <sheetView workbookViewId="0">
      <selection activeCell="A19" sqref="A19:XFD19"/>
    </sheetView>
  </sheetViews>
  <sheetFormatPr baseColWidth="10" defaultColWidth="8.7265625" defaultRowHeight="14.5" x14ac:dyDescent="0.35"/>
  <cols>
    <col min="1" max="1" width="18.1796875" bestFit="1" customWidth="1"/>
    <col min="2" max="2" width="15.453125" bestFit="1" customWidth="1"/>
    <col min="3" max="3" width="14.26953125" bestFit="1" customWidth="1"/>
    <col min="4" max="4" width="15.453125" bestFit="1" customWidth="1"/>
    <col min="5" max="5" width="15.453125" customWidth="1"/>
    <col min="6" max="6" width="16.1796875" customWidth="1"/>
  </cols>
  <sheetData>
    <row r="1" spans="1:6" ht="15.5" x14ac:dyDescent="0.35">
      <c r="A1" s="41" t="s">
        <v>299</v>
      </c>
      <c r="B1" s="41" t="s">
        <v>300</v>
      </c>
      <c r="C1" s="41" t="s">
        <v>294</v>
      </c>
      <c r="D1" s="41" t="s">
        <v>301</v>
      </c>
      <c r="E1" s="41" t="s">
        <v>326</v>
      </c>
      <c r="F1" s="41" t="s">
        <v>327</v>
      </c>
    </row>
    <row r="2" spans="1:6" ht="15.5" x14ac:dyDescent="0.35">
      <c r="A2" s="32" t="s">
        <v>7</v>
      </c>
      <c r="B2" s="33">
        <v>709820.81300919701</v>
      </c>
      <c r="C2" s="34">
        <v>4.2205031896281477E-2</v>
      </c>
      <c r="D2" s="33">
        <v>722960.25235927501</v>
      </c>
      <c r="E2" s="34">
        <v>4.2205031896281477E-2</v>
      </c>
      <c r="F2" s="33">
        <v>761114.31867905578</v>
      </c>
    </row>
    <row r="3" spans="1:6" ht="15.5" x14ac:dyDescent="0.35">
      <c r="A3" s="32" t="s">
        <v>14</v>
      </c>
      <c r="B3" s="33">
        <v>142104.10277676419</v>
      </c>
      <c r="C3" s="34">
        <v>8.4493270419334493E-3</v>
      </c>
      <c r="D3" s="33">
        <v>144734.58106876712</v>
      </c>
      <c r="E3" s="34">
        <v>8.4493270419334493E-3</v>
      </c>
      <c r="F3" s="33">
        <v>152372.91635323467</v>
      </c>
    </row>
    <row r="4" spans="1:6" ht="15.5" x14ac:dyDescent="0.35">
      <c r="A4" s="32" t="s">
        <v>258</v>
      </c>
      <c r="B4" s="33">
        <v>869571.78343272861</v>
      </c>
      <c r="C4" s="34">
        <v>5.1703618974341295E-2</v>
      </c>
      <c r="D4" s="33">
        <v>885668.36090629664</v>
      </c>
      <c r="E4" s="34">
        <v>5.1703618974341295E-2</v>
      </c>
      <c r="F4" s="33">
        <v>932409.3114206238</v>
      </c>
    </row>
    <row r="5" spans="1:6" ht="15.5" x14ac:dyDescent="0.35">
      <c r="A5" s="32" t="s">
        <v>188</v>
      </c>
      <c r="B5" s="33">
        <v>654242.95515468728</v>
      </c>
      <c r="C5" s="34">
        <v>3.8900444005243985E-2</v>
      </c>
      <c r="D5" s="33">
        <v>666353.59698417597</v>
      </c>
      <c r="E5" s="34">
        <v>3.8900444005243985E-2</v>
      </c>
      <c r="F5" s="33">
        <v>701520.25967246469</v>
      </c>
    </row>
    <row r="6" spans="1:6" ht="15.5" x14ac:dyDescent="0.35">
      <c r="A6" s="32" t="s">
        <v>39</v>
      </c>
      <c r="B6" s="33">
        <v>846044.3415234962</v>
      </c>
      <c r="C6" s="34">
        <v>5.0304707561744835E-2</v>
      </c>
      <c r="D6" s="33">
        <v>861705.40430044907</v>
      </c>
      <c r="E6" s="34">
        <v>5.0304707561744835E-2</v>
      </c>
      <c r="F6" s="33">
        <v>907181.71511629492</v>
      </c>
    </row>
    <row r="7" spans="1:6" ht="15.5" x14ac:dyDescent="0.35">
      <c r="A7" s="32" t="s">
        <v>42</v>
      </c>
      <c r="B7" s="33">
        <v>512703.75793699443</v>
      </c>
      <c r="C7" s="34">
        <v>3.0484705520735216E-2</v>
      </c>
      <c r="D7" s="33">
        <v>522194.37839853187</v>
      </c>
      <c r="E7" s="34">
        <v>3.0484705520735216E-2</v>
      </c>
      <c r="F7" s="33">
        <v>549753.07042927039</v>
      </c>
    </row>
    <row r="8" spans="1:6" ht="15.5" x14ac:dyDescent="0.35">
      <c r="A8" s="32" t="s">
        <v>52</v>
      </c>
      <c r="B8" s="33">
        <v>657165.23527811689</v>
      </c>
      <c r="C8" s="34">
        <v>3.9074199019972777E-2</v>
      </c>
      <c r="D8" s="33">
        <v>669329.97121381108</v>
      </c>
      <c r="E8" s="34">
        <v>3.9074199019972777E-2</v>
      </c>
      <c r="F8" s="33">
        <v>704653.71138924977</v>
      </c>
    </row>
    <row r="9" spans="1:6" ht="15.5" x14ac:dyDescent="0.35">
      <c r="A9" s="32" t="s">
        <v>58</v>
      </c>
      <c r="B9" s="33">
        <v>1062456.6771853303</v>
      </c>
      <c r="C9" s="34">
        <v>6.3172306485246868E-2</v>
      </c>
      <c r="D9" s="33">
        <v>1082123.7323295434</v>
      </c>
      <c r="E9" s="34">
        <v>6.3172306485246868E-2</v>
      </c>
      <c r="F9" s="33">
        <v>1139232.5713214169</v>
      </c>
    </row>
    <row r="10" spans="1:6" ht="15.5" x14ac:dyDescent="0.35">
      <c r="A10" s="32" t="s">
        <v>68</v>
      </c>
      <c r="B10" s="33">
        <v>1194793.7789298429</v>
      </c>
      <c r="C10" s="34">
        <v>7.1040900217389569E-2</v>
      </c>
      <c r="D10" s="33">
        <v>1216910.5161491218</v>
      </c>
      <c r="E10" s="34">
        <v>7.1040900217389569E-2</v>
      </c>
      <c r="F10" s="33">
        <v>1281132.6976409457</v>
      </c>
    </row>
    <row r="11" spans="1:6" ht="15.5" x14ac:dyDescent="0.35">
      <c r="A11" s="32" t="s">
        <v>82</v>
      </c>
      <c r="B11" s="33">
        <v>955198.70693671622</v>
      </c>
      <c r="C11" s="34">
        <v>5.6794885631267888E-2</v>
      </c>
      <c r="D11" s="33">
        <v>972880.31791098532</v>
      </c>
      <c r="E11" s="34">
        <v>5.6794885631267888E-2</v>
      </c>
      <c r="F11" s="33">
        <v>1024223.8600347072</v>
      </c>
    </row>
    <row r="12" spans="1:6" ht="15.5" x14ac:dyDescent="0.35">
      <c r="A12" s="32" t="s">
        <v>254</v>
      </c>
      <c r="B12" s="33">
        <v>1179900.440019096</v>
      </c>
      <c r="C12" s="34">
        <v>7.0155361455704848E-2</v>
      </c>
      <c r="D12" s="33">
        <v>1201741.487768932</v>
      </c>
      <c r="E12" s="34">
        <v>7.0155361455704848E-2</v>
      </c>
      <c r="F12" s="33">
        <v>1265163.127166034</v>
      </c>
    </row>
    <row r="13" spans="1:6" ht="15.5" x14ac:dyDescent="0.35">
      <c r="A13" s="32" t="s">
        <v>255</v>
      </c>
      <c r="B13" s="33">
        <v>869881.50396693707</v>
      </c>
      <c r="C13" s="34">
        <v>5.1722034558648815E-2</v>
      </c>
      <c r="D13" s="33">
        <v>885983.81465387414</v>
      </c>
      <c r="E13" s="34">
        <v>5.1722034558648815E-2</v>
      </c>
      <c r="F13" s="33">
        <v>932741.41316948016</v>
      </c>
    </row>
    <row r="14" spans="1:6" ht="15.5" x14ac:dyDescent="0.35">
      <c r="A14" s="32" t="s">
        <v>256</v>
      </c>
      <c r="B14" s="33">
        <v>903208.87400840339</v>
      </c>
      <c r="C14" s="34">
        <v>5.3703637084018881E-2</v>
      </c>
      <c r="D14" s="33">
        <v>919928.10511994862</v>
      </c>
      <c r="E14" s="34">
        <v>5.3703637084018881E-2</v>
      </c>
      <c r="F14" s="33">
        <v>968477.10600573209</v>
      </c>
    </row>
    <row r="15" spans="1:6" ht="15.5" x14ac:dyDescent="0.35">
      <c r="A15" s="32" t="s">
        <v>207</v>
      </c>
      <c r="B15" s="33">
        <v>1099914.340330827</v>
      </c>
      <c r="C15" s="34">
        <v>6.5399490922279396E-2</v>
      </c>
      <c r="D15" s="33">
        <v>1120274.7714427151</v>
      </c>
      <c r="E15" s="34">
        <v>6.5399490922279396E-2</v>
      </c>
      <c r="F15" s="33">
        <v>1179397.0230278014</v>
      </c>
    </row>
    <row r="16" spans="1:6" ht="15.5" x14ac:dyDescent="0.35">
      <c r="A16" s="32" t="s">
        <v>119</v>
      </c>
      <c r="B16" s="33">
        <v>463556.97429777891</v>
      </c>
      <c r="C16" s="34">
        <v>2.7562501024787505E-2</v>
      </c>
      <c r="D16" s="33">
        <v>472137.84236681997</v>
      </c>
      <c r="E16" s="34">
        <v>2.7562501024787505E-2</v>
      </c>
      <c r="F16" s="33">
        <v>497054.81185574527</v>
      </c>
    </row>
    <row r="17" spans="1:6" ht="15.5" x14ac:dyDescent="0.35">
      <c r="A17" s="32" t="s">
        <v>208</v>
      </c>
      <c r="B17" s="33">
        <v>1025064.868239798</v>
      </c>
      <c r="C17" s="34">
        <v>6.0949037654180055E-2</v>
      </c>
      <c r="D17" s="33">
        <v>1044039.7664384482</v>
      </c>
      <c r="E17" s="34">
        <v>6.0949037654180055E-2</v>
      </c>
      <c r="F17" s="33">
        <v>1099138.7326114671</v>
      </c>
    </row>
    <row r="18" spans="1:6" ht="15.5" x14ac:dyDescent="0.35">
      <c r="A18" s="32" t="s">
        <v>130</v>
      </c>
      <c r="B18" s="33">
        <v>776606.23252018436</v>
      </c>
      <c r="C18" s="34">
        <v>4.6176006977609846E-2</v>
      </c>
      <c r="D18" s="33">
        <v>790981.93171648204</v>
      </c>
      <c r="E18" s="34">
        <v>4.6176006977609846E-2</v>
      </c>
      <c r="F18" s="33">
        <v>832725.82701635989</v>
      </c>
    </row>
    <row r="19" spans="1:6" ht="15.5" x14ac:dyDescent="0.35">
      <c r="A19" s="32" t="s">
        <v>259</v>
      </c>
      <c r="B19" s="33">
        <v>1638388.6988633485</v>
      </c>
      <c r="C19" s="34">
        <v>9.7416483183818389E-2</v>
      </c>
      <c r="D19" s="33">
        <v>1668716.788074068</v>
      </c>
      <c r="E19" s="34">
        <v>9.7416483183818389E-2</v>
      </c>
      <c r="F19" s="33">
        <v>1756782.944952454</v>
      </c>
    </row>
    <row r="20" spans="1:6" ht="15.5" x14ac:dyDescent="0.35">
      <c r="A20" s="32" t="s">
        <v>257</v>
      </c>
      <c r="B20" s="33">
        <v>384262.34370913851</v>
      </c>
      <c r="C20" s="34">
        <v>2.2847744354002109E-2</v>
      </c>
      <c r="D20" s="33">
        <v>391375.39487240394</v>
      </c>
      <c r="E20" s="34">
        <v>2.2847744354002109E-2</v>
      </c>
      <c r="F20" s="33">
        <v>412030.14418007602</v>
      </c>
    </row>
    <row r="21" spans="1:6" ht="15.5" x14ac:dyDescent="0.35">
      <c r="A21" s="32" t="s">
        <v>148</v>
      </c>
      <c r="B21" s="33">
        <v>162679.42437820791</v>
      </c>
      <c r="C21" s="34">
        <v>9.6727091808478938E-3</v>
      </c>
      <c r="D21" s="33">
        <v>165690.77089122625</v>
      </c>
      <c r="E21" s="34">
        <v>9.6727091808478938E-3</v>
      </c>
      <c r="F21" s="33">
        <v>174435.0644267688</v>
      </c>
    </row>
    <row r="22" spans="1:6" ht="15.5" x14ac:dyDescent="0.35">
      <c r="A22" s="32" t="s">
        <v>166</v>
      </c>
      <c r="B22" s="33">
        <v>91900.565022491457</v>
      </c>
      <c r="C22" s="34">
        <v>5.4642893065045793E-3</v>
      </c>
      <c r="D22" s="33">
        <v>93601.729426549704</v>
      </c>
      <c r="E22" s="34">
        <v>5.4642893065045793E-3</v>
      </c>
      <c r="F22" s="33">
        <v>98541.539852548056</v>
      </c>
    </row>
    <row r="23" spans="1:6" ht="15.5" x14ac:dyDescent="0.35">
      <c r="A23" s="32" t="s">
        <v>154</v>
      </c>
      <c r="B23" s="33">
        <v>580047.90917580656</v>
      </c>
      <c r="C23" s="34">
        <v>3.4488902071428983E-2</v>
      </c>
      <c r="D23" s="33">
        <v>590785.13212429231</v>
      </c>
      <c r="E23" s="34">
        <v>3.4488902071428983E-2</v>
      </c>
      <c r="F23" s="33">
        <v>621963.68590819929</v>
      </c>
    </row>
    <row r="24" spans="1:6" ht="15.5" x14ac:dyDescent="0.35">
      <c r="A24" s="32" t="s">
        <v>160</v>
      </c>
      <c r="B24" s="33">
        <v>38878.673304108226</v>
      </c>
      <c r="C24" s="34">
        <v>2.3116758720115671E-3</v>
      </c>
      <c r="D24" s="33">
        <v>39598.353483286366</v>
      </c>
      <c r="E24" s="34">
        <v>2.3116758720115671E-3</v>
      </c>
      <c r="F24" s="33">
        <v>41688.147770074647</v>
      </c>
    </row>
    <row r="25" spans="1:6" ht="15.5" x14ac:dyDescent="0.35">
      <c r="A25" s="32" t="s">
        <v>302</v>
      </c>
      <c r="B25" s="33">
        <v>16818392.999999996</v>
      </c>
      <c r="C25" s="32">
        <v>1</v>
      </c>
      <c r="D25" s="32">
        <v>17129717.000000007</v>
      </c>
      <c r="E25" s="34">
        <v>1</v>
      </c>
      <c r="F25" s="33">
        <v>18033734</v>
      </c>
    </row>
    <row r="26" spans="1:6" ht="15.5" x14ac:dyDescent="0.35">
      <c r="A26" t="s">
        <v>303</v>
      </c>
      <c r="E26" s="33"/>
      <c r="F26" s="33">
        <v>18033734</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C71"/>
  <sheetViews>
    <sheetView workbookViewId="0">
      <selection activeCell="C1" sqref="C1:C1048576"/>
    </sheetView>
  </sheetViews>
  <sheetFormatPr baseColWidth="10" defaultColWidth="8.81640625" defaultRowHeight="14.5" x14ac:dyDescent="0.35"/>
  <cols>
    <col min="1" max="1" width="14.453125" customWidth="1"/>
    <col min="2" max="3" width="19" bestFit="1" customWidth="1"/>
    <col min="4" max="4" width="19" customWidth="1"/>
    <col min="5" max="5" width="16.81640625" bestFit="1" customWidth="1"/>
    <col min="6" max="6" width="19.26953125" hidden="1" customWidth="1"/>
    <col min="7" max="7" width="18.7265625" hidden="1" customWidth="1"/>
    <col min="8" max="8" width="18.7265625" bestFit="1" customWidth="1"/>
    <col min="9" max="9" width="19.26953125" hidden="1" customWidth="1"/>
    <col min="10" max="10" width="18.7265625" hidden="1" customWidth="1"/>
    <col min="11" max="11" width="16.81640625" customWidth="1"/>
    <col min="12" max="12" width="19.26953125" hidden="1" customWidth="1"/>
    <col min="13" max="13" width="18.7265625" hidden="1" customWidth="1"/>
    <col min="14" max="14" width="18.7265625" customWidth="1"/>
    <col min="15" max="15" width="19.26953125" hidden="1" customWidth="1"/>
    <col min="16" max="16" width="18.7265625" hidden="1" customWidth="1"/>
    <col min="17" max="17" width="18.7265625" customWidth="1"/>
    <col min="18" max="18" width="20" customWidth="1"/>
    <col min="19" max="19" width="22" customWidth="1"/>
    <col min="20" max="20" width="16.81640625" bestFit="1" customWidth="1"/>
    <col min="21" max="21" width="22" bestFit="1" customWidth="1"/>
    <col min="22" max="22" width="21.7265625" bestFit="1" customWidth="1"/>
    <col min="23" max="23" width="19.54296875" bestFit="1" customWidth="1"/>
    <col min="24" max="24" width="21" bestFit="1" customWidth="1"/>
    <col min="25" max="25" width="20.7265625" bestFit="1" customWidth="1"/>
    <col min="26" max="26" width="18.453125" bestFit="1" customWidth="1"/>
    <col min="27" max="27" width="11.453125" customWidth="1"/>
    <col min="28" max="29" width="16.453125" customWidth="1"/>
  </cols>
  <sheetData>
    <row r="1" spans="1:29" x14ac:dyDescent="0.35">
      <c r="A1" t="s">
        <v>1</v>
      </c>
      <c r="B1" t="s">
        <v>0</v>
      </c>
      <c r="C1" t="s">
        <v>2</v>
      </c>
      <c r="D1" t="s">
        <v>4</v>
      </c>
      <c r="E1" t="s">
        <v>3</v>
      </c>
      <c r="F1" t="s">
        <v>227</v>
      </c>
      <c r="G1" t="s">
        <v>228</v>
      </c>
      <c r="H1" t="s">
        <v>226</v>
      </c>
      <c r="I1" t="s">
        <v>223</v>
      </c>
      <c r="J1" t="s">
        <v>224</v>
      </c>
      <c r="K1" t="s">
        <v>225</v>
      </c>
      <c r="L1" t="s">
        <v>212</v>
      </c>
      <c r="M1" t="s">
        <v>213</v>
      </c>
      <c r="N1" t="s">
        <v>218</v>
      </c>
      <c r="O1" t="s">
        <v>214</v>
      </c>
      <c r="P1" t="s">
        <v>215</v>
      </c>
      <c r="Q1" t="s">
        <v>219</v>
      </c>
      <c r="R1" t="s">
        <v>216</v>
      </c>
      <c r="S1" t="s">
        <v>217</v>
      </c>
      <c r="T1" t="s">
        <v>220</v>
      </c>
      <c r="U1" t="s">
        <v>291</v>
      </c>
      <c r="V1" t="s">
        <v>292</v>
      </c>
      <c r="W1" t="s">
        <v>293</v>
      </c>
      <c r="X1" t="s">
        <v>304</v>
      </c>
      <c r="Y1" t="s">
        <v>305</v>
      </c>
      <c r="Z1" t="s">
        <v>306</v>
      </c>
      <c r="AA1" t="s">
        <v>334</v>
      </c>
      <c r="AB1" t="s">
        <v>335</v>
      </c>
      <c r="AC1" t="s">
        <v>336</v>
      </c>
    </row>
    <row r="2" spans="1:29" x14ac:dyDescent="0.35">
      <c r="A2" t="s">
        <v>6</v>
      </c>
      <c r="B2" t="s">
        <v>5</v>
      </c>
      <c r="C2" t="s">
        <v>5</v>
      </c>
      <c r="D2" t="s">
        <v>8</v>
      </c>
      <c r="E2" t="s">
        <v>7</v>
      </c>
      <c r="F2">
        <v>125463</v>
      </c>
      <c r="G2">
        <v>128277</v>
      </c>
      <c r="H2">
        <v>253741</v>
      </c>
      <c r="I2">
        <v>125406</v>
      </c>
      <c r="J2">
        <v>128217</v>
      </c>
      <c r="K2">
        <v>253624</v>
      </c>
      <c r="L2" s="1">
        <v>129423</v>
      </c>
      <c r="M2" s="1">
        <v>132325</v>
      </c>
      <c r="N2" s="1">
        <v>261749</v>
      </c>
      <c r="O2" s="1">
        <v>133623</v>
      </c>
      <c r="P2" s="1">
        <v>136619</v>
      </c>
      <c r="Q2" s="1">
        <v>270242</v>
      </c>
      <c r="R2" s="1">
        <v>138064</v>
      </c>
      <c r="S2" s="1">
        <v>141159</v>
      </c>
      <c r="T2" s="1">
        <v>279223</v>
      </c>
      <c r="U2" s="1">
        <v>154132.28974037038</v>
      </c>
      <c r="V2" s="1">
        <v>145248.64082507446</v>
      </c>
      <c r="W2" s="1">
        <v>287312.61369873519</v>
      </c>
      <c r="X2" s="1">
        <v>144693.70832406438</v>
      </c>
      <c r="Y2" s="1">
        <v>147937.32742290967</v>
      </c>
      <c r="Z2" s="1">
        <v>292631.035746974</v>
      </c>
      <c r="AA2" s="1">
        <v>152329.88655853237</v>
      </c>
      <c r="AB2" s="1">
        <v>155744.68693298663</v>
      </c>
      <c r="AC2" s="1">
        <v>308074.57349151891</v>
      </c>
    </row>
    <row r="3" spans="1:29" x14ac:dyDescent="0.35">
      <c r="A3" t="s">
        <v>11</v>
      </c>
      <c r="B3" t="s">
        <v>10</v>
      </c>
      <c r="C3" t="s">
        <v>10</v>
      </c>
      <c r="D3" t="s">
        <v>8</v>
      </c>
      <c r="E3" t="s">
        <v>7</v>
      </c>
      <c r="F3">
        <v>107365</v>
      </c>
      <c r="G3">
        <v>124085</v>
      </c>
      <c r="H3">
        <v>231450</v>
      </c>
      <c r="I3">
        <v>107315</v>
      </c>
      <c r="J3">
        <v>124028</v>
      </c>
      <c r="K3">
        <v>231343</v>
      </c>
      <c r="L3" s="1">
        <v>110753</v>
      </c>
      <c r="M3" s="1">
        <v>128001</v>
      </c>
      <c r="N3" s="1">
        <v>238754</v>
      </c>
      <c r="O3" s="1">
        <v>114346</v>
      </c>
      <c r="P3" s="1">
        <v>132155</v>
      </c>
      <c r="Q3" s="1">
        <v>246501</v>
      </c>
      <c r="R3" s="1">
        <v>118146</v>
      </c>
      <c r="S3" s="1">
        <v>136547</v>
      </c>
      <c r="T3" s="1">
        <v>254693</v>
      </c>
      <c r="U3" s="1">
        <v>131896.17498888777</v>
      </c>
      <c r="V3" s="1">
        <v>140503.02254012457</v>
      </c>
      <c r="W3" s="1">
        <v>262071.93361854853</v>
      </c>
      <c r="X3" s="1">
        <v>123819.26399101075</v>
      </c>
      <c r="Y3" s="1">
        <v>143103.86335703745</v>
      </c>
      <c r="Z3" s="1">
        <v>266923.12734804821</v>
      </c>
      <c r="AA3" s="1">
        <v>130353.7980744029</v>
      </c>
      <c r="AB3" s="1">
        <v>150656.13787741857</v>
      </c>
      <c r="AC3" s="1">
        <v>281009.93595182145</v>
      </c>
    </row>
    <row r="4" spans="1:29" x14ac:dyDescent="0.35">
      <c r="A4" t="s">
        <v>13</v>
      </c>
      <c r="B4" t="s">
        <v>12</v>
      </c>
      <c r="C4" t="s">
        <v>12</v>
      </c>
      <c r="D4" t="s">
        <v>8</v>
      </c>
      <c r="E4" t="s">
        <v>7</v>
      </c>
      <c r="F4">
        <v>69296</v>
      </c>
      <c r="G4">
        <v>72394</v>
      </c>
      <c r="H4">
        <v>141690</v>
      </c>
      <c r="I4">
        <v>69265</v>
      </c>
      <c r="J4">
        <v>72360</v>
      </c>
      <c r="K4">
        <v>141625</v>
      </c>
      <c r="L4" s="1">
        <v>71483</v>
      </c>
      <c r="M4" s="1">
        <v>74678</v>
      </c>
      <c r="N4" s="1">
        <v>146161</v>
      </c>
      <c r="O4" s="1">
        <v>73803</v>
      </c>
      <c r="P4" s="1">
        <v>77101</v>
      </c>
      <c r="Q4" s="1">
        <v>150904</v>
      </c>
      <c r="R4" s="1">
        <v>76256</v>
      </c>
      <c r="S4" s="1">
        <v>79663</v>
      </c>
      <c r="T4" s="1">
        <v>155919</v>
      </c>
      <c r="U4" s="1">
        <v>85130.894993928057</v>
      </c>
      <c r="V4" s="1">
        <v>81970.986434077233</v>
      </c>
      <c r="W4" s="1">
        <v>160436.26569191329</v>
      </c>
      <c r="X4" s="1">
        <v>79917.744103892794</v>
      </c>
      <c r="Y4" s="1">
        <v>83488.345160359997</v>
      </c>
      <c r="Z4" s="1">
        <v>163406.08926425278</v>
      </c>
      <c r="AA4" s="1">
        <v>84135.385251821208</v>
      </c>
      <c r="AB4" s="1">
        <v>87894.423983894172</v>
      </c>
      <c r="AC4" s="1">
        <v>172029.80923571537</v>
      </c>
    </row>
    <row r="5" spans="1:29" x14ac:dyDescent="0.35">
      <c r="A5" t="s">
        <v>15</v>
      </c>
      <c r="B5" t="s">
        <v>14</v>
      </c>
      <c r="C5" t="s">
        <v>14</v>
      </c>
      <c r="D5" t="s">
        <v>16</v>
      </c>
      <c r="E5" t="s">
        <v>14</v>
      </c>
      <c r="F5">
        <v>47162</v>
      </c>
      <c r="G5">
        <v>40583</v>
      </c>
      <c r="H5">
        <v>87745</v>
      </c>
      <c r="I5">
        <v>49087</v>
      </c>
      <c r="J5">
        <v>42239</v>
      </c>
      <c r="K5">
        <v>91326</v>
      </c>
      <c r="L5" s="1">
        <v>50763</v>
      </c>
      <c r="M5" s="1">
        <v>43682</v>
      </c>
      <c r="N5" s="1">
        <v>94445</v>
      </c>
      <c r="O5" s="1">
        <v>52479</v>
      </c>
      <c r="P5" s="1">
        <v>45158</v>
      </c>
      <c r="Q5" s="1">
        <v>97637</v>
      </c>
      <c r="R5" s="1">
        <v>54229</v>
      </c>
      <c r="S5" s="1">
        <v>46665</v>
      </c>
      <c r="T5" s="1">
        <v>100894</v>
      </c>
      <c r="U5" s="1">
        <v>55800.115779390348</v>
      </c>
      <c r="V5" s="1">
        <v>48016.972521072683</v>
      </c>
      <c r="W5" s="1">
        <v>103817.08830046303</v>
      </c>
      <c r="X5" s="1">
        <v>56833.027499606615</v>
      </c>
      <c r="Y5" s="1">
        <v>48905.811065465758</v>
      </c>
      <c r="Z5" s="1">
        <v>105738.83856507236</v>
      </c>
      <c r="AA5" s="1">
        <v>59832.37786955796</v>
      </c>
      <c r="AB5" s="1">
        <v>51486.804353444139</v>
      </c>
      <c r="AC5" s="1">
        <v>111319.18222300209</v>
      </c>
    </row>
    <row r="6" spans="1:29" x14ac:dyDescent="0.35">
      <c r="A6" t="s">
        <v>177</v>
      </c>
      <c r="B6" t="s">
        <v>176</v>
      </c>
      <c r="C6" t="s">
        <v>176</v>
      </c>
      <c r="D6" t="s">
        <v>16</v>
      </c>
      <c r="E6" t="s">
        <v>14</v>
      </c>
      <c r="F6">
        <v>16988</v>
      </c>
      <c r="G6">
        <v>15371</v>
      </c>
      <c r="H6">
        <v>32359</v>
      </c>
      <c r="I6">
        <v>17681</v>
      </c>
      <c r="J6">
        <v>15998</v>
      </c>
      <c r="K6">
        <v>33679</v>
      </c>
      <c r="L6" s="1">
        <v>18285</v>
      </c>
      <c r="M6" s="1">
        <v>16545</v>
      </c>
      <c r="N6" s="1">
        <v>34830</v>
      </c>
      <c r="O6" s="1">
        <v>18903</v>
      </c>
      <c r="P6" s="1">
        <v>17104</v>
      </c>
      <c r="Q6" s="1">
        <v>36007</v>
      </c>
      <c r="R6" s="1">
        <v>19534</v>
      </c>
      <c r="S6" s="1">
        <v>17675</v>
      </c>
      <c r="T6" s="1">
        <v>37209</v>
      </c>
      <c r="U6" s="1">
        <v>20099.936595449137</v>
      </c>
      <c r="V6" s="1">
        <v>18187.077880852023</v>
      </c>
      <c r="W6" s="1">
        <v>38287.014476301163</v>
      </c>
      <c r="X6" s="1">
        <v>20472.005000595913</v>
      </c>
      <c r="Y6" s="1">
        <v>18523.737503098837</v>
      </c>
      <c r="Z6" s="1">
        <v>38995.742503694746</v>
      </c>
      <c r="AA6" s="1">
        <v>21552.410505521868</v>
      </c>
      <c r="AB6" s="1">
        <v>19501.323624710709</v>
      </c>
      <c r="AC6" s="1">
        <v>41053.734130232573</v>
      </c>
    </row>
    <row r="7" spans="1:29" x14ac:dyDescent="0.35">
      <c r="A7" t="s">
        <v>18</v>
      </c>
      <c r="B7" t="s">
        <v>17</v>
      </c>
      <c r="C7" t="s">
        <v>17</v>
      </c>
      <c r="D7" t="s">
        <v>20</v>
      </c>
      <c r="E7" t="s">
        <v>19</v>
      </c>
      <c r="F7">
        <v>135091</v>
      </c>
      <c r="G7">
        <v>134062</v>
      </c>
      <c r="H7">
        <v>269153</v>
      </c>
      <c r="I7">
        <v>138679</v>
      </c>
      <c r="J7">
        <v>137621</v>
      </c>
      <c r="K7">
        <v>276300</v>
      </c>
      <c r="L7" s="1">
        <v>143514</v>
      </c>
      <c r="M7" s="1">
        <v>142420</v>
      </c>
      <c r="N7" s="1">
        <v>285934</v>
      </c>
      <c r="O7" s="1">
        <v>148545</v>
      </c>
      <c r="P7" s="1">
        <v>147412</v>
      </c>
      <c r="Q7" s="1">
        <v>295957</v>
      </c>
      <c r="R7" s="1">
        <v>153789</v>
      </c>
      <c r="S7" s="1">
        <v>152617</v>
      </c>
      <c r="T7" s="1">
        <v>306406</v>
      </c>
      <c r="U7" s="1">
        <v>158244.55559934099</v>
      </c>
      <c r="V7" s="1">
        <v>157038.60056248904</v>
      </c>
      <c r="W7" s="1">
        <v>315283.15616183006</v>
      </c>
      <c r="X7" s="1">
        <v>161173.80859202641</v>
      </c>
      <c r="Y7" s="1">
        <v>159945.5302127545</v>
      </c>
      <c r="Z7" s="1">
        <v>321119.33880478097</v>
      </c>
      <c r="AA7" s="1">
        <v>169679.72044812643</v>
      </c>
      <c r="AB7" s="1">
        <v>168386.61995091793</v>
      </c>
      <c r="AC7" s="1">
        <v>338066.34039904445</v>
      </c>
    </row>
    <row r="8" spans="1:29" x14ac:dyDescent="0.35">
      <c r="A8" t="s">
        <v>22</v>
      </c>
      <c r="B8" t="s">
        <v>21</v>
      </c>
      <c r="C8" t="s">
        <v>21</v>
      </c>
      <c r="D8" t="s">
        <v>20</v>
      </c>
      <c r="E8" t="s">
        <v>19</v>
      </c>
      <c r="F8">
        <v>115724</v>
      </c>
      <c r="G8">
        <v>119011</v>
      </c>
      <c r="H8">
        <v>234735</v>
      </c>
      <c r="I8">
        <v>118797</v>
      </c>
      <c r="J8">
        <v>122172</v>
      </c>
      <c r="K8">
        <v>240969</v>
      </c>
      <c r="L8" s="1">
        <v>122939</v>
      </c>
      <c r="M8" s="1">
        <v>126431</v>
      </c>
      <c r="N8" s="1">
        <v>249370</v>
      </c>
      <c r="O8" s="1">
        <v>127249</v>
      </c>
      <c r="P8" s="1">
        <v>130863</v>
      </c>
      <c r="Q8" s="1">
        <v>258112</v>
      </c>
      <c r="R8" s="1">
        <v>131741</v>
      </c>
      <c r="S8" s="1">
        <v>135483</v>
      </c>
      <c r="T8" s="1">
        <v>267224</v>
      </c>
      <c r="U8" s="1">
        <v>135557.78371153193</v>
      </c>
      <c r="V8" s="1">
        <v>139408.19646571288</v>
      </c>
      <c r="W8" s="1">
        <v>274965.98017724481</v>
      </c>
      <c r="X8" s="1">
        <v>138067.08358674651</v>
      </c>
      <c r="Y8" s="1">
        <v>141988.77104001923</v>
      </c>
      <c r="Z8" s="1">
        <v>280055.85462676577</v>
      </c>
      <c r="AA8" s="1">
        <v>145353.54317640813</v>
      </c>
      <c r="AB8" s="1">
        <v>149482.1968116934</v>
      </c>
      <c r="AC8" s="1">
        <v>294835.73998810159</v>
      </c>
    </row>
    <row r="9" spans="1:29" x14ac:dyDescent="0.35">
      <c r="A9" t="s">
        <v>24</v>
      </c>
      <c r="B9" t="s">
        <v>23</v>
      </c>
      <c r="C9" t="s">
        <v>23</v>
      </c>
      <c r="D9" t="s">
        <v>20</v>
      </c>
      <c r="E9" t="s">
        <v>19</v>
      </c>
      <c r="F9">
        <v>117519</v>
      </c>
      <c r="G9">
        <v>120935</v>
      </c>
      <c r="H9">
        <v>238454</v>
      </c>
      <c r="I9">
        <v>120641</v>
      </c>
      <c r="J9">
        <v>124146</v>
      </c>
      <c r="K9">
        <v>244787</v>
      </c>
      <c r="L9" s="1">
        <v>124847</v>
      </c>
      <c r="M9" s="1">
        <v>128475</v>
      </c>
      <c r="N9" s="1">
        <v>253322</v>
      </c>
      <c r="O9" s="1">
        <v>129223</v>
      </c>
      <c r="P9" s="1">
        <v>132978</v>
      </c>
      <c r="Q9" s="1">
        <v>262201</v>
      </c>
      <c r="R9" s="1">
        <v>133785</v>
      </c>
      <c r="S9" s="1">
        <v>137673</v>
      </c>
      <c r="T9" s="1">
        <v>271458</v>
      </c>
      <c r="U9" s="1">
        <v>137661.00222290176</v>
      </c>
      <c r="V9" s="1">
        <v>141661.64487075197</v>
      </c>
      <c r="W9" s="1">
        <v>279322.64709365374</v>
      </c>
      <c r="X9" s="1">
        <v>140209.23461680787</v>
      </c>
      <c r="Y9" s="1">
        <v>144283.9328579421</v>
      </c>
      <c r="Z9" s="1">
        <v>284493.16747474996</v>
      </c>
      <c r="AA9" s="1">
        <v>147608.7457500381</v>
      </c>
      <c r="AB9" s="1">
        <v>151898.48528343975</v>
      </c>
      <c r="AC9" s="1">
        <v>299507.23103347782</v>
      </c>
    </row>
    <row r="10" spans="1:29" x14ac:dyDescent="0.35">
      <c r="A10" t="s">
        <v>25</v>
      </c>
      <c r="B10" t="s">
        <v>188</v>
      </c>
      <c r="C10" t="s">
        <v>26</v>
      </c>
      <c r="D10" t="s">
        <v>27</v>
      </c>
      <c r="E10" t="s">
        <v>26</v>
      </c>
      <c r="F10">
        <v>108267</v>
      </c>
      <c r="G10">
        <v>113049</v>
      </c>
      <c r="H10">
        <v>221316</v>
      </c>
      <c r="I10">
        <v>94089</v>
      </c>
      <c r="J10">
        <v>98246</v>
      </c>
      <c r="K10">
        <v>192335</v>
      </c>
      <c r="L10" s="1">
        <v>95727</v>
      </c>
      <c r="M10" s="1">
        <v>99956</v>
      </c>
      <c r="N10" s="1">
        <v>195683</v>
      </c>
      <c r="O10" s="1">
        <v>97496</v>
      </c>
      <c r="P10" s="1">
        <v>101804</v>
      </c>
      <c r="Q10" s="1">
        <v>199300</v>
      </c>
      <c r="R10" s="1">
        <v>99632</v>
      </c>
      <c r="S10" s="1">
        <v>104034</v>
      </c>
      <c r="T10" s="1">
        <v>203666</v>
      </c>
      <c r="U10" s="1">
        <v>102518.52579491083</v>
      </c>
      <c r="V10" s="1">
        <v>107048.05998622686</v>
      </c>
      <c r="W10" s="1">
        <v>209566.58578113769</v>
      </c>
      <c r="X10" s="1">
        <v>104416.23846725564</v>
      </c>
      <c r="Y10" s="1">
        <v>109029.61852319007</v>
      </c>
      <c r="Z10" s="1">
        <v>213445.8569904457</v>
      </c>
      <c r="AA10" s="1">
        <v>109926.78219955742</v>
      </c>
      <c r="AB10" s="1">
        <v>114783.63236057448</v>
      </c>
      <c r="AC10" s="1">
        <v>224710.4145601319</v>
      </c>
    </row>
    <row r="11" spans="1:29" x14ac:dyDescent="0.35">
      <c r="A11" t="s">
        <v>29</v>
      </c>
      <c r="B11" t="s">
        <v>28</v>
      </c>
      <c r="C11" t="s">
        <v>28</v>
      </c>
      <c r="D11" t="s">
        <v>27</v>
      </c>
      <c r="E11" t="s">
        <v>26</v>
      </c>
      <c r="F11">
        <v>104673</v>
      </c>
      <c r="G11">
        <v>110208</v>
      </c>
      <c r="H11">
        <v>214881</v>
      </c>
      <c r="I11">
        <v>90967</v>
      </c>
      <c r="J11">
        <v>95777</v>
      </c>
      <c r="K11">
        <v>186744</v>
      </c>
      <c r="L11" s="1">
        <v>92550</v>
      </c>
      <c r="M11" s="1">
        <v>97444</v>
      </c>
      <c r="N11" s="1">
        <v>189994</v>
      </c>
      <c r="O11" s="1">
        <v>94260</v>
      </c>
      <c r="P11" s="1">
        <v>99245</v>
      </c>
      <c r="Q11" s="1">
        <v>193505</v>
      </c>
      <c r="R11" s="1">
        <v>96325</v>
      </c>
      <c r="S11" s="1">
        <v>101420</v>
      </c>
      <c r="T11" s="1">
        <v>197745</v>
      </c>
      <c r="U11" s="1">
        <v>99115.715806114371</v>
      </c>
      <c r="V11" s="1">
        <v>104358.32750642221</v>
      </c>
      <c r="W11" s="1">
        <v>203474.04331253661</v>
      </c>
      <c r="X11" s="1">
        <v>100950.43932028263</v>
      </c>
      <c r="Y11" s="1">
        <v>106290.09660901185</v>
      </c>
      <c r="Z11" s="1">
        <v>207240.53592929451</v>
      </c>
      <c r="AA11" s="1">
        <v>106278.07627441353</v>
      </c>
      <c r="AB11" s="1">
        <v>111899.53278744896</v>
      </c>
      <c r="AC11" s="1">
        <v>218177.60906186249</v>
      </c>
    </row>
    <row r="12" spans="1:29" x14ac:dyDescent="0.35">
      <c r="A12" t="s">
        <v>31</v>
      </c>
      <c r="B12" t="s">
        <v>30</v>
      </c>
      <c r="C12" t="s">
        <v>30</v>
      </c>
      <c r="D12" t="s">
        <v>27</v>
      </c>
      <c r="E12" t="s">
        <v>26</v>
      </c>
      <c r="F12">
        <v>65394</v>
      </c>
      <c r="G12">
        <v>67528</v>
      </c>
      <c r="H12">
        <v>132922</v>
      </c>
      <c r="I12">
        <v>56832</v>
      </c>
      <c r="J12">
        <v>58685</v>
      </c>
      <c r="K12">
        <v>115517</v>
      </c>
      <c r="L12" s="1">
        <v>57821</v>
      </c>
      <c r="M12" s="1">
        <v>59707</v>
      </c>
      <c r="N12" s="1">
        <v>117528</v>
      </c>
      <c r="O12" s="1">
        <v>58889</v>
      </c>
      <c r="P12" s="1">
        <v>60810</v>
      </c>
      <c r="Q12" s="1">
        <v>119700</v>
      </c>
      <c r="R12" s="1">
        <v>60180</v>
      </c>
      <c r="S12" s="1">
        <v>62142</v>
      </c>
      <c r="T12" s="1">
        <v>122322</v>
      </c>
      <c r="U12" s="1">
        <v>61923.527404224893</v>
      </c>
      <c r="V12" s="1">
        <v>63942.370221890058</v>
      </c>
      <c r="W12" s="1">
        <v>125865.89762611495</v>
      </c>
      <c r="X12" s="1">
        <v>63069.789133606115</v>
      </c>
      <c r="Y12" s="1">
        <v>65126.002597882216</v>
      </c>
      <c r="Z12" s="1">
        <v>128195.79173148832</v>
      </c>
      <c r="AA12" s="1">
        <v>66398.283209906105</v>
      </c>
      <c r="AB12" s="1">
        <v>68563.0128818542</v>
      </c>
      <c r="AC12" s="1">
        <v>134961.2960917603</v>
      </c>
    </row>
    <row r="13" spans="1:29" x14ac:dyDescent="0.35">
      <c r="A13" t="s">
        <v>32</v>
      </c>
      <c r="B13" t="s">
        <v>189</v>
      </c>
      <c r="C13" t="s">
        <v>33</v>
      </c>
      <c r="D13" t="s">
        <v>27</v>
      </c>
      <c r="E13" t="s">
        <v>26</v>
      </c>
      <c r="F13">
        <v>56874</v>
      </c>
      <c r="G13">
        <v>64928</v>
      </c>
      <c r="H13">
        <v>121802</v>
      </c>
      <c r="I13">
        <v>49426</v>
      </c>
      <c r="J13">
        <v>56426</v>
      </c>
      <c r="K13">
        <v>105852</v>
      </c>
      <c r="L13" s="1">
        <v>50287</v>
      </c>
      <c r="M13" s="1">
        <v>57408</v>
      </c>
      <c r="N13" s="1">
        <v>107695</v>
      </c>
      <c r="O13" s="1">
        <v>51217</v>
      </c>
      <c r="P13" s="1">
        <v>58469</v>
      </c>
      <c r="Q13" s="1">
        <v>109686</v>
      </c>
      <c r="R13" s="1">
        <v>52339</v>
      </c>
      <c r="S13" s="1">
        <v>59750</v>
      </c>
      <c r="T13" s="1">
        <v>112089</v>
      </c>
      <c r="U13" s="1">
        <v>53855.358936685385</v>
      </c>
      <c r="V13" s="1">
        <v>61481.069498212659</v>
      </c>
      <c r="W13" s="1">
        <v>115336.42843489804</v>
      </c>
      <c r="X13" s="1">
        <v>54852.271410166344</v>
      </c>
      <c r="Y13" s="1">
        <v>62619.140922781087</v>
      </c>
      <c r="Z13" s="1">
        <v>117471.41233294742</v>
      </c>
      <c r="AA13" s="1">
        <v>57747.087818598804</v>
      </c>
      <c r="AB13" s="1">
        <v>65923.852140111179</v>
      </c>
      <c r="AC13" s="1">
        <v>123670.93995870998</v>
      </c>
    </row>
    <row r="14" spans="1:29" x14ac:dyDescent="0.35">
      <c r="A14" t="s">
        <v>35</v>
      </c>
      <c r="B14" t="s">
        <v>34</v>
      </c>
      <c r="C14" t="s">
        <v>34</v>
      </c>
      <c r="D14" t="s">
        <v>36</v>
      </c>
      <c r="E14" t="s">
        <v>39</v>
      </c>
      <c r="F14">
        <v>146748</v>
      </c>
      <c r="G14">
        <v>146428</v>
      </c>
      <c r="H14">
        <v>293176</v>
      </c>
      <c r="I14">
        <v>98457</v>
      </c>
      <c r="J14">
        <v>98242</v>
      </c>
      <c r="K14">
        <v>196699</v>
      </c>
      <c r="L14" s="1">
        <v>127765</v>
      </c>
      <c r="M14" s="1">
        <v>127486</v>
      </c>
      <c r="N14" s="1">
        <v>255251</v>
      </c>
      <c r="O14" s="1">
        <v>132112</v>
      </c>
      <c r="P14" s="1">
        <v>131823</v>
      </c>
      <c r="Q14" s="1">
        <v>263934</v>
      </c>
      <c r="R14" s="1">
        <v>136748</v>
      </c>
      <c r="S14" s="1">
        <v>136449</v>
      </c>
      <c r="T14" s="1">
        <v>273197</v>
      </c>
      <c r="U14" s="1">
        <v>140710.01702053103</v>
      </c>
      <c r="V14" s="1">
        <v>140402.35405588703</v>
      </c>
      <c r="W14" s="1">
        <v>281112.37107641803</v>
      </c>
      <c r="X14" s="1">
        <v>143314.68949660531</v>
      </c>
      <c r="Y14" s="1">
        <v>143001.33140610685</v>
      </c>
      <c r="Z14" s="1">
        <v>286316.02090271213</v>
      </c>
      <c r="AA14" s="1">
        <v>150878.09031955252</v>
      </c>
      <c r="AB14" s="1">
        <v>150548.19482561079</v>
      </c>
      <c r="AC14" s="1">
        <v>301426.28514516325</v>
      </c>
    </row>
    <row r="15" spans="1:29" x14ac:dyDescent="0.35">
      <c r="A15" t="s">
        <v>38</v>
      </c>
      <c r="B15" t="s">
        <v>37</v>
      </c>
      <c r="C15" t="s">
        <v>37</v>
      </c>
      <c r="D15" t="s">
        <v>36</v>
      </c>
      <c r="E15" t="s">
        <v>39</v>
      </c>
      <c r="F15">
        <v>119612</v>
      </c>
      <c r="G15">
        <v>122112</v>
      </c>
      <c r="H15">
        <v>241723</v>
      </c>
      <c r="I15">
        <v>122160</v>
      </c>
      <c r="J15">
        <v>124712</v>
      </c>
      <c r="K15">
        <v>246871</v>
      </c>
      <c r="L15" s="1">
        <v>153192</v>
      </c>
      <c r="M15" s="1">
        <v>156393</v>
      </c>
      <c r="N15" s="1">
        <v>309584</v>
      </c>
      <c r="O15" s="1">
        <v>158403</v>
      </c>
      <c r="P15" s="1">
        <v>161713</v>
      </c>
      <c r="Q15" s="1">
        <v>320116</v>
      </c>
      <c r="R15" s="1">
        <v>163962</v>
      </c>
      <c r="S15" s="1">
        <v>167388</v>
      </c>
      <c r="T15" s="1">
        <v>331350</v>
      </c>
      <c r="U15" s="1">
        <v>168712.49166876523</v>
      </c>
      <c r="V15" s="1">
        <v>172237.75359809757</v>
      </c>
      <c r="W15" s="1">
        <v>340950.2452668628</v>
      </c>
      <c r="X15" s="1">
        <v>171835.51583381402</v>
      </c>
      <c r="Y15" s="1">
        <v>175426.03361992692</v>
      </c>
      <c r="Z15" s="1">
        <v>347261.54945374094</v>
      </c>
      <c r="AA15" s="1">
        <v>180904.09691530748</v>
      </c>
      <c r="AB15" s="1">
        <v>184684.10347799788</v>
      </c>
      <c r="AC15" s="1">
        <v>365588.20039330533</v>
      </c>
    </row>
    <row r="16" spans="1:29" x14ac:dyDescent="0.35">
      <c r="A16" t="s">
        <v>41</v>
      </c>
      <c r="B16" t="s">
        <v>40</v>
      </c>
      <c r="C16" t="s">
        <v>40</v>
      </c>
      <c r="D16" t="s">
        <v>36</v>
      </c>
      <c r="E16" t="s">
        <v>39</v>
      </c>
      <c r="F16">
        <v>97617</v>
      </c>
      <c r="G16">
        <v>94981</v>
      </c>
      <c r="H16">
        <v>192598</v>
      </c>
      <c r="I16">
        <v>151759</v>
      </c>
      <c r="J16">
        <v>147660</v>
      </c>
      <c r="K16">
        <v>299419</v>
      </c>
      <c r="L16" s="1">
        <v>103080</v>
      </c>
      <c r="M16" s="1">
        <v>100296</v>
      </c>
      <c r="N16" s="1">
        <v>203376</v>
      </c>
      <c r="O16" s="1">
        <v>106587</v>
      </c>
      <c r="P16" s="1">
        <v>103708</v>
      </c>
      <c r="Q16" s="1">
        <v>210295</v>
      </c>
      <c r="R16" s="1">
        <v>110327</v>
      </c>
      <c r="S16" s="1">
        <v>107348</v>
      </c>
      <c r="T16" s="1">
        <v>217675</v>
      </c>
      <c r="U16" s="1">
        <v>113523.51806113527</v>
      </c>
      <c r="V16" s="1">
        <v>110458.20711908009</v>
      </c>
      <c r="W16" s="1">
        <v>223981.72518021535</v>
      </c>
      <c r="X16" s="1">
        <v>115624.94331245775</v>
      </c>
      <c r="Y16" s="1">
        <v>112502.8906315382</v>
      </c>
      <c r="Z16" s="1">
        <v>228127.83394399597</v>
      </c>
      <c r="AA16" s="1">
        <v>121727.02394686041</v>
      </c>
      <c r="AB16" s="1">
        <v>118440.20563096588</v>
      </c>
      <c r="AC16" s="1">
        <v>240167.22957782631</v>
      </c>
    </row>
    <row r="17" spans="1:29" x14ac:dyDescent="0.35">
      <c r="A17" t="s">
        <v>43</v>
      </c>
      <c r="B17" t="s">
        <v>42</v>
      </c>
      <c r="C17" t="s">
        <v>42</v>
      </c>
      <c r="D17" t="s">
        <v>44</v>
      </c>
      <c r="E17" t="s">
        <v>42</v>
      </c>
      <c r="F17">
        <v>95631</v>
      </c>
      <c r="G17">
        <v>100953</v>
      </c>
      <c r="H17">
        <v>196584</v>
      </c>
      <c r="I17">
        <v>100206</v>
      </c>
      <c r="J17">
        <v>105782</v>
      </c>
      <c r="K17">
        <v>205988</v>
      </c>
      <c r="L17" s="1">
        <v>103815</v>
      </c>
      <c r="M17" s="1">
        <v>109592</v>
      </c>
      <c r="N17" s="1">
        <v>213407</v>
      </c>
      <c r="O17" s="1">
        <v>107537</v>
      </c>
      <c r="P17" s="1">
        <v>113520</v>
      </c>
      <c r="Q17" s="1">
        <v>221058</v>
      </c>
      <c r="R17" s="1">
        <v>111367</v>
      </c>
      <c r="S17" s="1">
        <v>117564</v>
      </c>
      <c r="T17" s="1">
        <v>228931</v>
      </c>
      <c r="U17" s="1">
        <v>114593.51074154724</v>
      </c>
      <c r="V17" s="1">
        <v>120970.04944749575</v>
      </c>
      <c r="W17" s="1">
        <v>235563.56018904297</v>
      </c>
      <c r="X17" s="1">
        <v>116714.74254639933</v>
      </c>
      <c r="Y17" s="1">
        <v>123209.31687775454</v>
      </c>
      <c r="Z17" s="1">
        <v>239924.05942415385</v>
      </c>
      <c r="AA17" s="1">
        <v>122874.33709268217</v>
      </c>
      <c r="AB17" s="1">
        <v>129711.66113807578</v>
      </c>
      <c r="AC17" s="1">
        <v>252585.99823075792</v>
      </c>
    </row>
    <row r="18" spans="1:29" x14ac:dyDescent="0.35">
      <c r="A18" t="s">
        <v>46</v>
      </c>
      <c r="B18" t="s">
        <v>45</v>
      </c>
      <c r="C18" t="s">
        <v>45</v>
      </c>
      <c r="D18" t="s">
        <v>44</v>
      </c>
      <c r="E18" t="s">
        <v>42</v>
      </c>
      <c r="F18">
        <v>58578</v>
      </c>
      <c r="G18">
        <v>58165</v>
      </c>
      <c r="H18">
        <v>116743</v>
      </c>
      <c r="I18">
        <v>61380</v>
      </c>
      <c r="J18">
        <v>60948</v>
      </c>
      <c r="K18">
        <v>122328</v>
      </c>
      <c r="L18" s="1">
        <v>63591</v>
      </c>
      <c r="M18" s="1">
        <v>63143</v>
      </c>
      <c r="N18" s="1">
        <v>126734</v>
      </c>
      <c r="O18" s="1">
        <v>65870</v>
      </c>
      <c r="P18" s="1">
        <v>65407</v>
      </c>
      <c r="Q18" s="1">
        <v>131277</v>
      </c>
      <c r="R18" s="1">
        <v>68216</v>
      </c>
      <c r="S18" s="1">
        <v>67737</v>
      </c>
      <c r="T18" s="1">
        <v>135953</v>
      </c>
      <c r="U18" s="1">
        <v>70192.345387281559</v>
      </c>
      <c r="V18" s="1">
        <v>69699.467859421406</v>
      </c>
      <c r="W18" s="1">
        <v>139891.81324670298</v>
      </c>
      <c r="X18" s="1">
        <v>71491.670580559556</v>
      </c>
      <c r="Y18" s="1">
        <v>70989.66943408236</v>
      </c>
      <c r="Z18" s="1">
        <v>142481.34001464193</v>
      </c>
      <c r="AA18" s="1">
        <v>75264.627574725062</v>
      </c>
      <c r="AB18" s="1">
        <v>74736.133429534879</v>
      </c>
      <c r="AC18" s="1">
        <v>150000.76100425996</v>
      </c>
    </row>
    <row r="19" spans="1:29" x14ac:dyDescent="0.35">
      <c r="A19" t="s">
        <v>48</v>
      </c>
      <c r="B19" t="s">
        <v>47</v>
      </c>
      <c r="C19" t="s">
        <v>49</v>
      </c>
      <c r="D19" t="s">
        <v>44</v>
      </c>
      <c r="E19" t="s">
        <v>42</v>
      </c>
      <c r="F19">
        <v>54777</v>
      </c>
      <c r="G19">
        <v>59760</v>
      </c>
      <c r="H19">
        <v>114537</v>
      </c>
      <c r="I19">
        <v>57398</v>
      </c>
      <c r="J19">
        <v>62618</v>
      </c>
      <c r="K19">
        <v>120016</v>
      </c>
      <c r="L19" s="1">
        <v>59465</v>
      </c>
      <c r="M19" s="1">
        <v>64874</v>
      </c>
      <c r="N19" s="1">
        <v>124339</v>
      </c>
      <c r="O19" s="1">
        <v>61597</v>
      </c>
      <c r="P19" s="1">
        <v>67199</v>
      </c>
      <c r="Q19" s="1">
        <v>128796</v>
      </c>
      <c r="R19" s="1">
        <v>63791</v>
      </c>
      <c r="S19" s="1">
        <v>69593</v>
      </c>
      <c r="T19" s="1">
        <v>133384</v>
      </c>
      <c r="U19" s="1">
        <v>65639.14484285326</v>
      </c>
      <c r="V19" s="1">
        <v>71609.239658395178</v>
      </c>
      <c r="W19" s="1">
        <v>137248.38450124845</v>
      </c>
      <c r="X19" s="1">
        <v>66854.186085441455</v>
      </c>
      <c r="Y19" s="1">
        <v>72934.79287429461</v>
      </c>
      <c r="Z19" s="1">
        <v>139788.97895973609</v>
      </c>
      <c r="AA19" s="1">
        <v>70382.400868114317</v>
      </c>
      <c r="AB19" s="1">
        <v>76783.910326138168</v>
      </c>
      <c r="AC19" s="1">
        <v>147166.31119425251</v>
      </c>
    </row>
    <row r="20" spans="1:29" x14ac:dyDescent="0.35">
      <c r="A20" t="s">
        <v>51</v>
      </c>
      <c r="B20" t="s">
        <v>50</v>
      </c>
      <c r="C20" t="s">
        <v>50</v>
      </c>
      <c r="D20" t="s">
        <v>53</v>
      </c>
      <c r="E20" t="s">
        <v>52</v>
      </c>
      <c r="F20">
        <v>79010</v>
      </c>
      <c r="G20">
        <v>74744</v>
      </c>
      <c r="H20">
        <v>153754</v>
      </c>
      <c r="I20">
        <v>81729</v>
      </c>
      <c r="J20">
        <v>77316</v>
      </c>
      <c r="K20">
        <v>159045</v>
      </c>
      <c r="L20" s="1">
        <v>79429</v>
      </c>
      <c r="M20" s="1">
        <v>75141</v>
      </c>
      <c r="N20" s="1">
        <v>154570</v>
      </c>
      <c r="O20" s="1">
        <v>82217</v>
      </c>
      <c r="P20" s="1">
        <v>77778</v>
      </c>
      <c r="Q20" s="1">
        <v>159994</v>
      </c>
      <c r="R20" s="1">
        <v>85105</v>
      </c>
      <c r="S20" s="1">
        <v>80510</v>
      </c>
      <c r="T20" s="1">
        <v>165615</v>
      </c>
      <c r="U20" s="1">
        <v>87570.788490833394</v>
      </c>
      <c r="V20" s="1">
        <v>82842.655324563719</v>
      </c>
      <c r="W20" s="1">
        <v>170413.4438153971</v>
      </c>
      <c r="X20" s="1">
        <v>89191.80472919342</v>
      </c>
      <c r="Y20" s="1">
        <v>84376.14944771002</v>
      </c>
      <c r="Z20" s="1">
        <v>173567.95417690344</v>
      </c>
      <c r="AA20" s="1">
        <v>93898.882361349926</v>
      </c>
      <c r="AB20" s="1">
        <v>88829.081944800913</v>
      </c>
      <c r="AC20" s="1">
        <v>182727.96430615085</v>
      </c>
    </row>
    <row r="21" spans="1:29" x14ac:dyDescent="0.35">
      <c r="A21" t="s">
        <v>55</v>
      </c>
      <c r="B21" t="s">
        <v>54</v>
      </c>
      <c r="C21" t="s">
        <v>54</v>
      </c>
      <c r="D21" t="s">
        <v>53</v>
      </c>
      <c r="E21" t="s">
        <v>52</v>
      </c>
      <c r="F21">
        <v>134011</v>
      </c>
      <c r="G21">
        <v>136643</v>
      </c>
      <c r="H21">
        <v>270654</v>
      </c>
      <c r="I21">
        <v>138622</v>
      </c>
      <c r="J21">
        <v>141345</v>
      </c>
      <c r="K21">
        <v>279967</v>
      </c>
      <c r="L21" s="1">
        <v>143490</v>
      </c>
      <c r="M21" s="1">
        <v>146308</v>
      </c>
      <c r="N21" s="1">
        <v>289798</v>
      </c>
      <c r="O21" s="1">
        <v>148525</v>
      </c>
      <c r="P21" s="1">
        <v>151442</v>
      </c>
      <c r="Q21" s="1">
        <v>299967</v>
      </c>
      <c r="R21" s="1">
        <v>153743</v>
      </c>
      <c r="S21" s="1">
        <v>156763</v>
      </c>
      <c r="T21" s="1">
        <v>310506</v>
      </c>
      <c r="U21" s="1">
        <v>158197.47059451498</v>
      </c>
      <c r="V21" s="1">
        <v>161304.97052098598</v>
      </c>
      <c r="W21" s="1">
        <v>319502.44111550099</v>
      </c>
      <c r="X21" s="1">
        <v>161125.85200023951</v>
      </c>
      <c r="Y21" s="1">
        <v>164290.87462267251</v>
      </c>
      <c r="Z21" s="1">
        <v>325416.72662291204</v>
      </c>
      <c r="AA21" s="1">
        <v>169629.23295788758</v>
      </c>
      <c r="AB21" s="1">
        <v>172961.28894438982</v>
      </c>
      <c r="AC21" s="1">
        <v>342590.52190227743</v>
      </c>
    </row>
    <row r="22" spans="1:29" x14ac:dyDescent="0.35">
      <c r="A22" t="s">
        <v>187</v>
      </c>
      <c r="B22" t="s">
        <v>186</v>
      </c>
      <c r="C22" t="s">
        <v>186</v>
      </c>
      <c r="D22" t="s">
        <v>53</v>
      </c>
      <c r="E22" t="s">
        <v>52</v>
      </c>
      <c r="F22">
        <v>27453</v>
      </c>
      <c r="G22">
        <v>26731</v>
      </c>
      <c r="H22">
        <v>54185</v>
      </c>
      <c r="I22">
        <v>28398</v>
      </c>
      <c r="J22">
        <v>27650</v>
      </c>
      <c r="K22">
        <v>56049</v>
      </c>
      <c r="L22" s="1">
        <v>27094</v>
      </c>
      <c r="M22" s="1">
        <v>26381</v>
      </c>
      <c r="N22" s="1">
        <v>53476</v>
      </c>
      <c r="O22" s="1">
        <v>28045</v>
      </c>
      <c r="P22" s="1">
        <v>27307</v>
      </c>
      <c r="Q22" s="1">
        <v>55352</v>
      </c>
      <c r="R22" s="1">
        <v>29030</v>
      </c>
      <c r="S22" s="1">
        <v>28267</v>
      </c>
      <c r="T22" s="1">
        <v>57297</v>
      </c>
      <c r="U22" s="1">
        <v>29871.10028657415</v>
      </c>
      <c r="V22" s="1">
        <v>29085.9935170717</v>
      </c>
      <c r="W22" s="1">
        <v>58957.093803645854</v>
      </c>
      <c r="X22" s="1">
        <v>30424.041963321601</v>
      </c>
      <c r="Y22" s="1">
        <v>29624.402141826096</v>
      </c>
      <c r="Z22" s="1">
        <v>60048.444105147697</v>
      </c>
      <c r="AA22" s="1">
        <v>32029.664002702404</v>
      </c>
      <c r="AB22" s="1">
        <v>31187.823367701993</v>
      </c>
      <c r="AC22" s="1">
        <v>63217.4873704044</v>
      </c>
    </row>
    <row r="23" spans="1:29" x14ac:dyDescent="0.35">
      <c r="A23" t="s">
        <v>185</v>
      </c>
      <c r="B23" t="s">
        <v>184</v>
      </c>
      <c r="C23" t="s">
        <v>184</v>
      </c>
      <c r="D23" t="s">
        <v>53</v>
      </c>
      <c r="E23" t="s">
        <v>52</v>
      </c>
      <c r="F23">
        <v>40496</v>
      </c>
      <c r="G23">
        <v>37630</v>
      </c>
      <c r="H23">
        <v>78126</v>
      </c>
      <c r="I23">
        <v>41890</v>
      </c>
      <c r="J23">
        <v>38925</v>
      </c>
      <c r="K23">
        <v>80815</v>
      </c>
      <c r="L23" s="1">
        <v>50914</v>
      </c>
      <c r="M23" s="1">
        <v>47310</v>
      </c>
      <c r="N23" s="1">
        <v>98224</v>
      </c>
      <c r="O23" s="1">
        <v>52701</v>
      </c>
      <c r="P23" s="1">
        <v>48970</v>
      </c>
      <c r="Q23" s="1">
        <v>101671</v>
      </c>
      <c r="R23" s="1">
        <v>54553</v>
      </c>
      <c r="S23" s="1">
        <v>50690</v>
      </c>
      <c r="T23" s="1">
        <v>105243</v>
      </c>
      <c r="U23" s="1">
        <v>56133.590559196688</v>
      </c>
      <c r="V23" s="1">
        <v>52158.665984376283</v>
      </c>
      <c r="W23" s="1">
        <v>108292.25654357296</v>
      </c>
      <c r="X23" s="1">
        <v>57172.675205824431</v>
      </c>
      <c r="Y23" s="1">
        <v>53124.17110302348</v>
      </c>
      <c r="Z23" s="1">
        <v>110296.84630884792</v>
      </c>
      <c r="AA23" s="1">
        <v>60189.95040783412</v>
      </c>
      <c r="AB23" s="1">
        <v>55927.78740258301</v>
      </c>
      <c r="AC23" s="1">
        <v>116117.73781041712</v>
      </c>
    </row>
    <row r="24" spans="1:29" x14ac:dyDescent="0.35">
      <c r="A24" t="s">
        <v>57</v>
      </c>
      <c r="B24" t="s">
        <v>56</v>
      </c>
      <c r="C24" t="s">
        <v>56</v>
      </c>
      <c r="D24" t="s">
        <v>59</v>
      </c>
      <c r="E24" t="s">
        <v>58</v>
      </c>
      <c r="F24">
        <v>209328</v>
      </c>
      <c r="G24">
        <v>216109</v>
      </c>
      <c r="H24">
        <v>425437</v>
      </c>
      <c r="I24">
        <v>219611</v>
      </c>
      <c r="J24">
        <v>226726</v>
      </c>
      <c r="K24">
        <v>446337</v>
      </c>
      <c r="L24" s="1">
        <v>227601</v>
      </c>
      <c r="M24" s="1">
        <v>234974</v>
      </c>
      <c r="N24" s="1">
        <v>462575</v>
      </c>
      <c r="O24" s="1">
        <v>235858</v>
      </c>
      <c r="P24" s="1">
        <v>243498</v>
      </c>
      <c r="Q24" s="1">
        <v>479356</v>
      </c>
      <c r="R24" s="1">
        <v>244417</v>
      </c>
      <c r="S24" s="1">
        <v>252334</v>
      </c>
      <c r="T24" s="1">
        <v>496751</v>
      </c>
      <c r="U24" s="1">
        <v>251498.46220886812</v>
      </c>
      <c r="V24" s="1">
        <v>259644.84042849936</v>
      </c>
      <c r="W24" s="1">
        <v>511143.30263736745</v>
      </c>
      <c r="X24" s="1">
        <v>256153.93120930795</v>
      </c>
      <c r="Y24" s="1">
        <v>264451.10641964147</v>
      </c>
      <c r="Z24" s="1">
        <v>520605.03762894939</v>
      </c>
      <c r="AA24" s="1">
        <v>269672.39788508811</v>
      </c>
      <c r="AB24" s="1">
        <v>278407.45466942078</v>
      </c>
      <c r="AC24" s="1">
        <v>548079.85255450883</v>
      </c>
    </row>
    <row r="25" spans="1:29" x14ac:dyDescent="0.35">
      <c r="A25" t="s">
        <v>60</v>
      </c>
      <c r="B25" t="s">
        <v>190</v>
      </c>
      <c r="C25" t="s">
        <v>61</v>
      </c>
      <c r="D25" t="s">
        <v>59</v>
      </c>
      <c r="E25" t="s">
        <v>58</v>
      </c>
      <c r="F25">
        <v>65617</v>
      </c>
      <c r="G25">
        <v>70887</v>
      </c>
      <c r="H25">
        <v>136504</v>
      </c>
      <c r="I25">
        <v>68841</v>
      </c>
      <c r="J25">
        <v>74369</v>
      </c>
      <c r="K25">
        <v>143210</v>
      </c>
      <c r="L25" s="1">
        <v>71345</v>
      </c>
      <c r="M25" s="1">
        <v>77074</v>
      </c>
      <c r="N25" s="1">
        <v>148419</v>
      </c>
      <c r="O25" s="1">
        <v>73933</v>
      </c>
      <c r="P25" s="1">
        <v>79870</v>
      </c>
      <c r="Q25" s="1">
        <v>153804</v>
      </c>
      <c r="R25" s="1">
        <v>76616</v>
      </c>
      <c r="S25" s="1">
        <v>82769</v>
      </c>
      <c r="T25" s="1">
        <v>159385</v>
      </c>
      <c r="U25" s="1">
        <v>78835.785483802843</v>
      </c>
      <c r="V25" s="1">
        <v>85167.055559006956</v>
      </c>
      <c r="W25" s="1">
        <v>164002.8410428098</v>
      </c>
      <c r="X25" s="1">
        <v>80295.10874256838</v>
      </c>
      <c r="Y25" s="1">
        <v>86743.576478981442</v>
      </c>
      <c r="Z25" s="1">
        <v>167038.68522154982</v>
      </c>
      <c r="AA25" s="1">
        <v>84532.66522526629</v>
      </c>
      <c r="AB25" s="1">
        <v>91321.449410437315</v>
      </c>
      <c r="AC25" s="1">
        <v>175854.11463570359</v>
      </c>
    </row>
    <row r="26" spans="1:29" x14ac:dyDescent="0.35">
      <c r="A26" t="s">
        <v>62</v>
      </c>
      <c r="B26" t="s">
        <v>191</v>
      </c>
      <c r="C26" t="s">
        <v>63</v>
      </c>
      <c r="D26" t="s">
        <v>59</v>
      </c>
      <c r="E26" t="s">
        <v>58</v>
      </c>
      <c r="F26">
        <v>56819</v>
      </c>
      <c r="G26">
        <v>61270</v>
      </c>
      <c r="H26">
        <v>118089</v>
      </c>
      <c r="I26">
        <v>59610</v>
      </c>
      <c r="J26">
        <v>64281</v>
      </c>
      <c r="K26">
        <v>123891</v>
      </c>
      <c r="L26" s="1">
        <v>61779</v>
      </c>
      <c r="M26" s="1">
        <v>66619</v>
      </c>
      <c r="N26" s="1">
        <v>128398</v>
      </c>
      <c r="O26" s="1">
        <v>64020</v>
      </c>
      <c r="P26" s="1">
        <v>69035</v>
      </c>
      <c r="Q26" s="1">
        <v>133056</v>
      </c>
      <c r="R26" s="1">
        <v>66344</v>
      </c>
      <c r="S26" s="1">
        <v>71540</v>
      </c>
      <c r="T26" s="1">
        <v>137884</v>
      </c>
      <c r="U26" s="1">
        <v>68266.176152989137</v>
      </c>
      <c r="V26" s="1">
        <v>73612.719190655407</v>
      </c>
      <c r="W26" s="1">
        <v>141878.89534364457</v>
      </c>
      <c r="X26" s="1">
        <v>69529.846173344442</v>
      </c>
      <c r="Y26" s="1">
        <v>74975.358664552332</v>
      </c>
      <c r="Z26" s="1">
        <v>144505.20483789677</v>
      </c>
      <c r="AA26" s="1">
        <v>73199.268321304524</v>
      </c>
      <c r="AB26" s="1">
        <v>78932.166521556195</v>
      </c>
      <c r="AC26" s="1">
        <v>152131.43484286073</v>
      </c>
    </row>
    <row r="27" spans="1:29" x14ac:dyDescent="0.35">
      <c r="A27" t="s">
        <v>65</v>
      </c>
      <c r="B27" t="s">
        <v>64</v>
      </c>
      <c r="C27" t="s">
        <v>64</v>
      </c>
      <c r="D27" t="s">
        <v>59</v>
      </c>
      <c r="E27" t="s">
        <v>58</v>
      </c>
      <c r="F27">
        <v>97345</v>
      </c>
      <c r="G27">
        <v>106934</v>
      </c>
      <c r="H27">
        <v>204279</v>
      </c>
      <c r="I27">
        <v>102127</v>
      </c>
      <c r="J27">
        <v>112188</v>
      </c>
      <c r="K27">
        <v>214315</v>
      </c>
      <c r="L27" s="1">
        <v>105842</v>
      </c>
      <c r="M27" s="1">
        <v>116269</v>
      </c>
      <c r="N27" s="1">
        <v>222111</v>
      </c>
      <c r="O27" s="1">
        <v>109682</v>
      </c>
      <c r="P27" s="1">
        <v>120487</v>
      </c>
      <c r="Q27" s="1">
        <v>230169</v>
      </c>
      <c r="R27" s="1">
        <v>113662</v>
      </c>
      <c r="S27" s="1">
        <v>124859</v>
      </c>
      <c r="T27" s="1">
        <v>238521</v>
      </c>
      <c r="U27" s="1">
        <v>116955.11446251434</v>
      </c>
      <c r="V27" s="1">
        <v>128476.52369899419</v>
      </c>
      <c r="W27" s="1">
        <v>245431.63816150851</v>
      </c>
      <c r="X27" s="1">
        <v>119120.06173511808</v>
      </c>
      <c r="Y27" s="1">
        <v>130854.74290602937</v>
      </c>
      <c r="Z27" s="1">
        <v>249974.80464114746</v>
      </c>
      <c r="AA27" s="1">
        <v>125406.59646593683</v>
      </c>
      <c r="AB27" s="1">
        <v>137760.57282240686</v>
      </c>
      <c r="AC27" s="1">
        <v>263167.16928834369</v>
      </c>
    </row>
    <row r="28" spans="1:29" x14ac:dyDescent="0.35">
      <c r="A28" t="s">
        <v>66</v>
      </c>
      <c r="B28" t="s">
        <v>192</v>
      </c>
      <c r="C28" t="s">
        <v>67</v>
      </c>
      <c r="D28" t="s">
        <v>69</v>
      </c>
      <c r="E28" t="s">
        <v>68</v>
      </c>
      <c r="F28">
        <v>99688</v>
      </c>
      <c r="G28">
        <v>106239</v>
      </c>
      <c r="H28">
        <v>205927</v>
      </c>
      <c r="I28">
        <v>104163</v>
      </c>
      <c r="J28">
        <v>111008</v>
      </c>
      <c r="K28">
        <v>215171</v>
      </c>
      <c r="L28" s="1">
        <v>107882</v>
      </c>
      <c r="M28" s="1">
        <v>114971</v>
      </c>
      <c r="N28" s="1">
        <v>222853</v>
      </c>
      <c r="O28" s="1">
        <v>111731</v>
      </c>
      <c r="P28" s="1">
        <v>119073</v>
      </c>
      <c r="Q28" s="1">
        <v>230804</v>
      </c>
      <c r="R28" s="1">
        <v>115731</v>
      </c>
      <c r="S28" s="1">
        <v>123336</v>
      </c>
      <c r="T28" s="1">
        <v>239067</v>
      </c>
      <c r="U28" s="1">
        <v>119084.04655835727</v>
      </c>
      <c r="V28" s="1">
        <v>126909.38440280953</v>
      </c>
      <c r="W28" s="1">
        <v>245993.4309611668</v>
      </c>
      <c r="X28" s="1">
        <v>121288.40233186871</v>
      </c>
      <c r="Y28" s="1">
        <v>129258.59441293482</v>
      </c>
      <c r="Z28" s="1">
        <v>250546.99674480353</v>
      </c>
      <c r="AA28" s="1">
        <v>127689.37075480582</v>
      </c>
      <c r="AB28" s="1">
        <v>136080.18794804098</v>
      </c>
      <c r="AC28" s="1">
        <v>263769.55870284681</v>
      </c>
    </row>
    <row r="29" spans="1:29" x14ac:dyDescent="0.35">
      <c r="A29" t="s">
        <v>71</v>
      </c>
      <c r="B29" t="s">
        <v>70</v>
      </c>
      <c r="C29" t="s">
        <v>70</v>
      </c>
      <c r="D29" t="s">
        <v>69</v>
      </c>
      <c r="E29" t="s">
        <v>68</v>
      </c>
      <c r="F29">
        <v>62349</v>
      </c>
      <c r="G29">
        <v>67722</v>
      </c>
      <c r="H29">
        <v>130071</v>
      </c>
      <c r="I29">
        <v>65148</v>
      </c>
      <c r="J29">
        <v>70761</v>
      </c>
      <c r="K29">
        <v>135909</v>
      </c>
      <c r="L29" s="1">
        <v>67474</v>
      </c>
      <c r="M29" s="1">
        <v>73288</v>
      </c>
      <c r="N29" s="1">
        <v>140762</v>
      </c>
      <c r="O29" s="1">
        <v>69882</v>
      </c>
      <c r="P29" s="1">
        <v>75903</v>
      </c>
      <c r="Q29" s="1">
        <v>145785</v>
      </c>
      <c r="R29" s="1">
        <v>72383</v>
      </c>
      <c r="S29" s="1">
        <v>78620</v>
      </c>
      <c r="T29" s="1">
        <v>151003</v>
      </c>
      <c r="U29" s="1">
        <v>74480.135331359561</v>
      </c>
      <c r="V29" s="1">
        <v>80897.838439294981</v>
      </c>
      <c r="W29" s="1">
        <v>155377.97377065453</v>
      </c>
      <c r="X29" s="1">
        <v>75858.83147979065</v>
      </c>
      <c r="Y29" s="1">
        <v>82395.332204262624</v>
      </c>
      <c r="Z29" s="1">
        <v>158254.16368405329</v>
      </c>
      <c r="AA29" s="1">
        <v>79862.264417875136</v>
      </c>
      <c r="AB29" s="1">
        <v>86743.727512445519</v>
      </c>
      <c r="AC29" s="1">
        <v>166605.99193032068</v>
      </c>
    </row>
    <row r="30" spans="1:29" x14ac:dyDescent="0.35">
      <c r="A30" t="s">
        <v>73</v>
      </c>
      <c r="B30" t="s">
        <v>72</v>
      </c>
      <c r="C30" t="s">
        <v>72</v>
      </c>
      <c r="D30" t="s">
        <v>69</v>
      </c>
      <c r="E30" t="s">
        <v>68</v>
      </c>
      <c r="F30">
        <v>31240</v>
      </c>
      <c r="G30">
        <v>32307</v>
      </c>
      <c r="H30">
        <v>63547</v>
      </c>
      <c r="I30">
        <v>32642</v>
      </c>
      <c r="J30">
        <v>33757</v>
      </c>
      <c r="K30">
        <v>66399</v>
      </c>
      <c r="L30" s="1">
        <v>33808</v>
      </c>
      <c r="M30" s="1">
        <v>34962</v>
      </c>
      <c r="N30" s="1">
        <v>68770</v>
      </c>
      <c r="O30" s="1">
        <v>35014</v>
      </c>
      <c r="P30" s="1">
        <v>36210</v>
      </c>
      <c r="Q30" s="1">
        <v>71224</v>
      </c>
      <c r="R30" s="1">
        <v>36268</v>
      </c>
      <c r="S30" s="1">
        <v>37505</v>
      </c>
      <c r="T30" s="1">
        <v>73773</v>
      </c>
      <c r="U30" s="1">
        <v>37318.784081866579</v>
      </c>
      <c r="V30" s="1">
        <v>38591.623386743304</v>
      </c>
      <c r="W30" s="1">
        <v>75910.407468609876</v>
      </c>
      <c r="X30" s="1">
        <v>38009.589269704869</v>
      </c>
      <c r="Y30" s="1">
        <v>39305.990006625158</v>
      </c>
      <c r="Z30" s="1">
        <v>77315.579276330027</v>
      </c>
      <c r="AA30" s="1">
        <v>40015.536878928702</v>
      </c>
      <c r="AB30" s="1">
        <v>41380.354876040059</v>
      </c>
      <c r="AC30" s="1">
        <v>81395.891754968761</v>
      </c>
    </row>
    <row r="31" spans="1:29" x14ac:dyDescent="0.35">
      <c r="A31" t="s">
        <v>75</v>
      </c>
      <c r="B31" t="s">
        <v>74</v>
      </c>
      <c r="C31" t="s">
        <v>74</v>
      </c>
      <c r="D31" t="s">
        <v>69</v>
      </c>
      <c r="E31" t="s">
        <v>68</v>
      </c>
      <c r="F31">
        <v>89786</v>
      </c>
      <c r="G31">
        <v>91094</v>
      </c>
      <c r="H31">
        <v>180880</v>
      </c>
      <c r="I31">
        <v>93816</v>
      </c>
      <c r="J31">
        <v>95184</v>
      </c>
      <c r="K31">
        <v>189000</v>
      </c>
      <c r="L31" s="1">
        <v>97166</v>
      </c>
      <c r="M31" s="1">
        <v>98582</v>
      </c>
      <c r="N31" s="1">
        <v>195748</v>
      </c>
      <c r="O31" s="1">
        <v>100632</v>
      </c>
      <c r="P31" s="1">
        <v>102100</v>
      </c>
      <c r="Q31" s="1">
        <v>202732</v>
      </c>
      <c r="R31" s="1">
        <v>104235</v>
      </c>
      <c r="S31" s="1">
        <v>105754</v>
      </c>
      <c r="T31" s="1">
        <v>209989</v>
      </c>
      <c r="U31" s="1">
        <v>107254.9757023647</v>
      </c>
      <c r="V31" s="1">
        <v>108817.98532573393</v>
      </c>
      <c r="W31" s="1">
        <v>216072.96102809862</v>
      </c>
      <c r="X31" s="1">
        <v>109240.36444048988</v>
      </c>
      <c r="Y31" s="1">
        <v>110832.30681670809</v>
      </c>
      <c r="Z31" s="1">
        <v>220072.67125719794</v>
      </c>
      <c r="AA31" s="1">
        <v>115005.50034672805</v>
      </c>
      <c r="AB31" s="1">
        <v>116681.45712733611</v>
      </c>
      <c r="AC31" s="1">
        <v>231686.95747406414</v>
      </c>
    </row>
    <row r="32" spans="1:29" x14ac:dyDescent="0.35">
      <c r="A32" t="s">
        <v>76</v>
      </c>
      <c r="B32" t="s">
        <v>193</v>
      </c>
      <c r="C32" t="s">
        <v>77</v>
      </c>
      <c r="D32" t="s">
        <v>69</v>
      </c>
      <c r="E32" t="s">
        <v>68</v>
      </c>
      <c r="F32">
        <v>67907</v>
      </c>
      <c r="G32">
        <v>70814</v>
      </c>
      <c r="H32">
        <v>138721</v>
      </c>
      <c r="I32">
        <v>70955</v>
      </c>
      <c r="J32">
        <v>73994</v>
      </c>
      <c r="K32">
        <v>144949</v>
      </c>
      <c r="L32" s="1">
        <v>73488</v>
      </c>
      <c r="M32" s="1">
        <v>76635</v>
      </c>
      <c r="N32" s="1">
        <v>150123</v>
      </c>
      <c r="O32" s="1">
        <v>76110</v>
      </c>
      <c r="P32" s="1">
        <v>79370</v>
      </c>
      <c r="Q32" s="1">
        <v>155480</v>
      </c>
      <c r="R32" s="1">
        <v>78835</v>
      </c>
      <c r="S32" s="1">
        <v>82210</v>
      </c>
      <c r="T32" s="1">
        <v>161045</v>
      </c>
      <c r="U32" s="1">
        <v>81119.067582826508</v>
      </c>
      <c r="V32" s="1">
        <v>84591.85064989113</v>
      </c>
      <c r="W32" s="1">
        <v>165710.91823271764</v>
      </c>
      <c r="X32" s="1">
        <v>82620.656503727354</v>
      </c>
      <c r="Y32" s="1">
        <v>86157.723995324734</v>
      </c>
      <c r="Z32" s="1">
        <v>168778.38049905209</v>
      </c>
      <c r="AA32" s="1">
        <v>86980.943251636272</v>
      </c>
      <c r="AB32" s="1">
        <v>90704.67869242109</v>
      </c>
      <c r="AC32" s="1">
        <v>177685.62194405735</v>
      </c>
    </row>
    <row r="33" spans="1:29" x14ac:dyDescent="0.35">
      <c r="A33" t="s">
        <v>79</v>
      </c>
      <c r="B33" t="s">
        <v>78</v>
      </c>
      <c r="C33" t="s">
        <v>78</v>
      </c>
      <c r="D33" t="s">
        <v>69</v>
      </c>
      <c r="E33" t="s">
        <v>68</v>
      </c>
      <c r="F33">
        <v>135568</v>
      </c>
      <c r="G33">
        <v>145478</v>
      </c>
      <c r="H33">
        <v>281046</v>
      </c>
      <c r="I33">
        <v>141653</v>
      </c>
      <c r="J33">
        <v>152009</v>
      </c>
      <c r="K33">
        <v>293662</v>
      </c>
      <c r="L33" s="1">
        <v>146711</v>
      </c>
      <c r="M33" s="1">
        <v>157436</v>
      </c>
      <c r="N33" s="1">
        <v>304147</v>
      </c>
      <c r="O33" s="1">
        <v>151945</v>
      </c>
      <c r="P33" s="1">
        <v>163053</v>
      </c>
      <c r="Q33" s="1">
        <v>314998</v>
      </c>
      <c r="R33" s="1">
        <v>157385</v>
      </c>
      <c r="S33" s="1">
        <v>168890</v>
      </c>
      <c r="T33" s="1">
        <v>326275</v>
      </c>
      <c r="U33" s="1">
        <v>161944.87792887868</v>
      </c>
      <c r="V33" s="1">
        <v>173783.20953971674</v>
      </c>
      <c r="W33" s="1">
        <v>335728.08746859542</v>
      </c>
      <c r="X33" s="1">
        <v>164942.62730816426</v>
      </c>
      <c r="Y33" s="1">
        <v>177000.09737952068</v>
      </c>
      <c r="Z33" s="1">
        <v>341942.72468768491</v>
      </c>
      <c r="AA33" s="1">
        <v>173647.43773271737</v>
      </c>
      <c r="AB33" s="1">
        <v>186341.23810197055</v>
      </c>
      <c r="AC33" s="1">
        <v>359988.67583468795</v>
      </c>
    </row>
    <row r="34" spans="1:29" x14ac:dyDescent="0.35">
      <c r="A34" t="s">
        <v>81</v>
      </c>
      <c r="B34" t="s">
        <v>80</v>
      </c>
      <c r="C34" t="s">
        <v>80</v>
      </c>
      <c r="D34" t="s">
        <v>83</v>
      </c>
      <c r="E34" t="s">
        <v>82</v>
      </c>
      <c r="F34">
        <v>159561</v>
      </c>
      <c r="G34">
        <v>169135</v>
      </c>
      <c r="H34">
        <v>328696</v>
      </c>
      <c r="I34">
        <v>165901</v>
      </c>
      <c r="J34">
        <v>175856</v>
      </c>
      <c r="K34">
        <v>341757</v>
      </c>
      <c r="L34" s="1">
        <v>171646</v>
      </c>
      <c r="M34" s="1">
        <v>181946</v>
      </c>
      <c r="N34" s="1">
        <v>353592</v>
      </c>
      <c r="O34" s="1">
        <v>177590</v>
      </c>
      <c r="P34" s="1">
        <v>188246</v>
      </c>
      <c r="Q34" s="1">
        <v>365836</v>
      </c>
      <c r="R34" s="1">
        <v>183762</v>
      </c>
      <c r="S34" s="1">
        <v>194787</v>
      </c>
      <c r="T34" s="1">
        <v>378549</v>
      </c>
      <c r="U34" s="1">
        <v>189085.92959214313</v>
      </c>
      <c r="V34" s="1">
        <v>200430.34450792213</v>
      </c>
      <c r="W34" s="1">
        <v>389516.27410006523</v>
      </c>
      <c r="X34" s="1">
        <v>192586.0849247213</v>
      </c>
      <c r="Y34" s="1">
        <v>204140.49544645622</v>
      </c>
      <c r="Z34" s="1">
        <v>396726.58037117752</v>
      </c>
      <c r="AA34" s="1">
        <v>202749.77266897252</v>
      </c>
      <c r="AB34" s="1">
        <v>214913.96463290098</v>
      </c>
      <c r="AC34" s="1">
        <v>417663.73730187351</v>
      </c>
    </row>
    <row r="35" spans="1:29" x14ac:dyDescent="0.35">
      <c r="A35" t="s">
        <v>85</v>
      </c>
      <c r="B35" t="s">
        <v>84</v>
      </c>
      <c r="C35" t="s">
        <v>84</v>
      </c>
      <c r="D35" t="s">
        <v>83</v>
      </c>
      <c r="E35" t="s">
        <v>82</v>
      </c>
      <c r="F35">
        <v>136659</v>
      </c>
      <c r="G35">
        <v>142159</v>
      </c>
      <c r="H35">
        <v>278817</v>
      </c>
      <c r="I35">
        <v>142089</v>
      </c>
      <c r="J35">
        <v>147807</v>
      </c>
      <c r="K35">
        <v>289896</v>
      </c>
      <c r="L35" s="1">
        <v>147010</v>
      </c>
      <c r="M35" s="1">
        <v>152926</v>
      </c>
      <c r="N35" s="1">
        <v>299935</v>
      </c>
      <c r="O35" s="1">
        <v>152100</v>
      </c>
      <c r="P35" s="1">
        <v>158221</v>
      </c>
      <c r="Q35" s="1">
        <v>310322</v>
      </c>
      <c r="R35" s="1">
        <v>157386</v>
      </c>
      <c r="S35" s="1">
        <v>163719</v>
      </c>
      <c r="T35" s="1">
        <v>321105</v>
      </c>
      <c r="U35" s="1">
        <v>161945.76743172714</v>
      </c>
      <c r="V35" s="1">
        <v>168462.24631260044</v>
      </c>
      <c r="W35" s="1">
        <v>330408.01374432759</v>
      </c>
      <c r="X35" s="1">
        <v>164943.53327653263</v>
      </c>
      <c r="Y35" s="1">
        <v>171580.63820479994</v>
      </c>
      <c r="Z35" s="1">
        <v>336524.17148133257</v>
      </c>
      <c r="AA35" s="1">
        <v>173648.39151336462</v>
      </c>
      <c r="AB35" s="1">
        <v>180635.76817618174</v>
      </c>
      <c r="AC35" s="1">
        <v>354284.15968954639</v>
      </c>
    </row>
    <row r="36" spans="1:29" x14ac:dyDescent="0.35">
      <c r="A36" t="s">
        <v>87</v>
      </c>
      <c r="B36" t="s">
        <v>86</v>
      </c>
      <c r="C36" t="s">
        <v>86</v>
      </c>
      <c r="D36" t="s">
        <v>83</v>
      </c>
      <c r="E36" t="s">
        <v>82</v>
      </c>
      <c r="F36">
        <v>95980</v>
      </c>
      <c r="G36">
        <v>102557</v>
      </c>
      <c r="H36">
        <v>198537</v>
      </c>
      <c r="I36">
        <v>99794</v>
      </c>
      <c r="J36">
        <v>106633</v>
      </c>
      <c r="K36">
        <v>206427</v>
      </c>
      <c r="L36" s="1">
        <v>103250</v>
      </c>
      <c r="M36" s="1">
        <v>110325</v>
      </c>
      <c r="N36" s="1">
        <v>213575</v>
      </c>
      <c r="O36" s="1">
        <v>106826</v>
      </c>
      <c r="P36" s="1">
        <v>114145</v>
      </c>
      <c r="Q36" s="1">
        <v>220971</v>
      </c>
      <c r="R36" s="1">
        <v>110538</v>
      </c>
      <c r="S36" s="1">
        <v>118112</v>
      </c>
      <c r="T36" s="1">
        <v>228650</v>
      </c>
      <c r="U36" s="1">
        <v>113740.49305763062</v>
      </c>
      <c r="V36" s="1">
        <v>121533.92603469275</v>
      </c>
      <c r="W36" s="1">
        <v>235274.41909232337</v>
      </c>
      <c r="X36" s="1">
        <v>115845.93471669247</v>
      </c>
      <c r="Y36" s="1">
        <v>123783.63134178275</v>
      </c>
      <c r="Z36" s="1">
        <v>239629.56605847523</v>
      </c>
      <c r="AA36" s="1">
        <v>121959.6781232403</v>
      </c>
      <c r="AB36" s="1">
        <v>130316.28492004702</v>
      </c>
      <c r="AC36" s="1">
        <v>252275.96304328734</v>
      </c>
    </row>
    <row r="37" spans="1:29" x14ac:dyDescent="0.35">
      <c r="A37" t="s">
        <v>89</v>
      </c>
      <c r="B37" t="s">
        <v>88</v>
      </c>
      <c r="C37" t="s">
        <v>88</v>
      </c>
      <c r="D37" t="s">
        <v>91</v>
      </c>
      <c r="E37" t="s">
        <v>90</v>
      </c>
      <c r="F37">
        <v>147459</v>
      </c>
      <c r="G37">
        <v>155378</v>
      </c>
      <c r="H37">
        <v>302838</v>
      </c>
      <c r="I37">
        <v>152849</v>
      </c>
      <c r="J37">
        <v>161056</v>
      </c>
      <c r="K37">
        <v>313906</v>
      </c>
      <c r="L37" s="1">
        <v>158364</v>
      </c>
      <c r="M37" s="1">
        <v>166868</v>
      </c>
      <c r="N37" s="1">
        <v>325233</v>
      </c>
      <c r="O37" s="1">
        <v>164095</v>
      </c>
      <c r="P37" s="1">
        <v>172906</v>
      </c>
      <c r="Q37" s="1">
        <v>337001</v>
      </c>
      <c r="R37" s="1">
        <v>170051</v>
      </c>
      <c r="S37" s="1">
        <v>179182</v>
      </c>
      <c r="T37" s="1">
        <v>349233</v>
      </c>
      <c r="U37" s="1">
        <v>174977.69622159933</v>
      </c>
      <c r="V37" s="1">
        <v>184373.23840717555</v>
      </c>
      <c r="W37" s="1">
        <v>359350.93462877488</v>
      </c>
      <c r="X37" s="1">
        <v>178216.69511397232</v>
      </c>
      <c r="Y37" s="1">
        <v>187786.15746988717</v>
      </c>
      <c r="Z37" s="1">
        <v>366002.85258385952</v>
      </c>
      <c r="AA37" s="1">
        <v>187622.04151092962</v>
      </c>
      <c r="AB37" s="1">
        <v>197696.53011162172</v>
      </c>
      <c r="AC37" s="1">
        <v>385318.5716225513</v>
      </c>
    </row>
    <row r="38" spans="1:29" x14ac:dyDescent="0.35">
      <c r="A38" t="s">
        <v>93</v>
      </c>
      <c r="B38" t="s">
        <v>92</v>
      </c>
      <c r="C38" t="s">
        <v>92</v>
      </c>
      <c r="D38" t="s">
        <v>91</v>
      </c>
      <c r="E38" t="s">
        <v>90</v>
      </c>
      <c r="F38">
        <v>139618</v>
      </c>
      <c r="G38">
        <v>154065</v>
      </c>
      <c r="H38">
        <v>293683</v>
      </c>
      <c r="I38">
        <v>144720</v>
      </c>
      <c r="J38">
        <v>159696</v>
      </c>
      <c r="K38">
        <v>304416</v>
      </c>
      <c r="L38" s="1">
        <v>149942</v>
      </c>
      <c r="M38" s="1">
        <v>165458</v>
      </c>
      <c r="N38" s="1">
        <v>315400</v>
      </c>
      <c r="O38" s="1">
        <v>155367</v>
      </c>
      <c r="P38" s="1">
        <v>171445</v>
      </c>
      <c r="Q38" s="1">
        <v>326812</v>
      </c>
      <c r="R38" s="1">
        <v>161006</v>
      </c>
      <c r="S38" s="1">
        <v>177669</v>
      </c>
      <c r="T38" s="1">
        <v>338675</v>
      </c>
      <c r="U38" s="1">
        <v>165670.64561722553</v>
      </c>
      <c r="V38" s="1">
        <v>182816.40396113711</v>
      </c>
      <c r="W38" s="1">
        <v>348487.04957836267</v>
      </c>
      <c r="X38" s="1">
        <v>168737.36240022242</v>
      </c>
      <c r="Y38" s="1">
        <v>186200.50457924002</v>
      </c>
      <c r="Z38" s="1">
        <v>354937.86697946244</v>
      </c>
      <c r="AA38" s="1">
        <v>177642.43912419645</v>
      </c>
      <c r="AB38" s="1">
        <v>196027.1947427851</v>
      </c>
      <c r="AC38" s="1">
        <v>373669.63386698154</v>
      </c>
    </row>
    <row r="39" spans="1:29" x14ac:dyDescent="0.35">
      <c r="A39" t="s">
        <v>94</v>
      </c>
      <c r="B39" t="s">
        <v>194</v>
      </c>
      <c r="C39" t="s">
        <v>95</v>
      </c>
      <c r="D39" t="s">
        <v>91</v>
      </c>
      <c r="E39" t="s">
        <v>90</v>
      </c>
      <c r="F39">
        <v>51880</v>
      </c>
      <c r="G39">
        <v>53423</v>
      </c>
      <c r="H39">
        <v>105303</v>
      </c>
      <c r="I39">
        <v>53776</v>
      </c>
      <c r="J39">
        <v>55376</v>
      </c>
      <c r="K39">
        <v>109152</v>
      </c>
      <c r="L39" s="1">
        <v>55716</v>
      </c>
      <c r="M39" s="1">
        <v>57374</v>
      </c>
      <c r="N39" s="1">
        <v>113090</v>
      </c>
      <c r="O39" s="1">
        <v>57732</v>
      </c>
      <c r="P39" s="1">
        <v>59450</v>
      </c>
      <c r="Q39" s="1">
        <v>117182</v>
      </c>
      <c r="R39" s="1">
        <v>59828</v>
      </c>
      <c r="S39" s="1">
        <v>61608</v>
      </c>
      <c r="T39" s="1">
        <v>121436</v>
      </c>
      <c r="U39" s="1">
        <v>61561.329304419531</v>
      </c>
      <c r="V39" s="1">
        <v>63392.899240935316</v>
      </c>
      <c r="W39" s="1">
        <v>124954.22854535484</v>
      </c>
      <c r="X39" s="1">
        <v>62700.886412186555</v>
      </c>
      <c r="Y39" s="1">
        <v>64566.360401183207</v>
      </c>
      <c r="Z39" s="1">
        <v>127267.24681336975</v>
      </c>
      <c r="AA39" s="1">
        <v>66009.911729515836</v>
      </c>
      <c r="AB39" s="1">
        <v>67973.835692853027</v>
      </c>
      <c r="AC39" s="1">
        <v>133983.74742236885</v>
      </c>
    </row>
    <row r="40" spans="1:29" x14ac:dyDescent="0.35">
      <c r="A40" t="s">
        <v>97</v>
      </c>
      <c r="B40" t="s">
        <v>96</v>
      </c>
      <c r="C40" t="s">
        <v>96</v>
      </c>
      <c r="D40" t="s">
        <v>91</v>
      </c>
      <c r="E40" t="s">
        <v>90</v>
      </c>
      <c r="F40">
        <v>137494</v>
      </c>
      <c r="G40">
        <v>155027</v>
      </c>
      <c r="H40">
        <v>292520</v>
      </c>
      <c r="I40">
        <v>142520</v>
      </c>
      <c r="J40">
        <v>160693</v>
      </c>
      <c r="K40">
        <v>303212</v>
      </c>
      <c r="L40" s="1">
        <v>147662</v>
      </c>
      <c r="M40" s="1">
        <v>166491</v>
      </c>
      <c r="N40" s="1">
        <v>314152</v>
      </c>
      <c r="O40" s="1">
        <v>153005</v>
      </c>
      <c r="P40" s="1">
        <v>172515</v>
      </c>
      <c r="Q40" s="1">
        <v>325520</v>
      </c>
      <c r="R40" s="1">
        <v>158559</v>
      </c>
      <c r="S40" s="1">
        <v>178776</v>
      </c>
      <c r="T40" s="1">
        <v>337335</v>
      </c>
      <c r="U40" s="1">
        <v>163152.75144045358</v>
      </c>
      <c r="V40" s="1">
        <v>183955.47582615007</v>
      </c>
      <c r="W40" s="1">
        <v>347108.22726660362</v>
      </c>
      <c r="X40" s="1">
        <v>166172.85967489952</v>
      </c>
      <c r="Y40" s="1">
        <v>187360.66171734079</v>
      </c>
      <c r="Z40" s="1">
        <v>353533.52139224025</v>
      </c>
      <c r="AA40" s="1">
        <v>174942.59533864245</v>
      </c>
      <c r="AB40" s="1">
        <v>197248.57891548978</v>
      </c>
      <c r="AC40" s="1">
        <v>372191.1742541322</v>
      </c>
    </row>
    <row r="41" spans="1:29" x14ac:dyDescent="0.35">
      <c r="A41" t="s">
        <v>183</v>
      </c>
      <c r="B41" t="s">
        <v>182</v>
      </c>
      <c r="C41" t="s">
        <v>182</v>
      </c>
      <c r="D41" t="s">
        <v>101</v>
      </c>
      <c r="E41" t="s">
        <v>100</v>
      </c>
      <c r="F41">
        <v>208194</v>
      </c>
      <c r="G41">
        <v>221412</v>
      </c>
      <c r="H41">
        <v>429607</v>
      </c>
      <c r="I41">
        <v>217793</v>
      </c>
      <c r="J41">
        <v>231620</v>
      </c>
      <c r="K41">
        <v>449414</v>
      </c>
      <c r="L41" s="1">
        <v>225872</v>
      </c>
      <c r="M41" s="1">
        <v>240212</v>
      </c>
      <c r="N41" s="1">
        <v>466085</v>
      </c>
      <c r="O41" s="1">
        <v>234254</v>
      </c>
      <c r="P41" s="1">
        <v>249126</v>
      </c>
      <c r="Q41" s="1">
        <v>483379</v>
      </c>
      <c r="R41" s="1">
        <v>242956</v>
      </c>
      <c r="S41" s="1">
        <v>258381</v>
      </c>
      <c r="T41" s="1">
        <v>501337</v>
      </c>
      <c r="U41" s="1">
        <v>249994.5950127056</v>
      </c>
      <c r="V41" s="1">
        <v>265866.46740141371</v>
      </c>
      <c r="W41" s="1">
        <v>515861.06241411925</v>
      </c>
      <c r="X41" s="1">
        <v>254622.22604129065</v>
      </c>
      <c r="Y41" s="1">
        <v>270787.90145859623</v>
      </c>
      <c r="Z41" s="1">
        <v>525410.12749988679</v>
      </c>
      <c r="AA41" s="1">
        <v>268059.85731792933</v>
      </c>
      <c r="AB41" s="1">
        <v>285078.67265539395</v>
      </c>
      <c r="AC41" s="1">
        <v>553138.52997332311</v>
      </c>
    </row>
    <row r="42" spans="1:29" x14ac:dyDescent="0.35">
      <c r="A42" t="s">
        <v>98</v>
      </c>
      <c r="B42" t="s">
        <v>195</v>
      </c>
      <c r="C42" t="s">
        <v>99</v>
      </c>
      <c r="D42" t="s">
        <v>101</v>
      </c>
      <c r="E42" t="s">
        <v>100</v>
      </c>
      <c r="F42">
        <v>34078</v>
      </c>
      <c r="G42">
        <v>36381</v>
      </c>
      <c r="H42">
        <v>70459</v>
      </c>
      <c r="I42">
        <v>35649</v>
      </c>
      <c r="J42">
        <v>38058</v>
      </c>
      <c r="K42">
        <v>73707</v>
      </c>
      <c r="L42" s="1">
        <v>117732</v>
      </c>
      <c r="M42" s="1">
        <v>125685</v>
      </c>
      <c r="N42" s="1">
        <v>243417</v>
      </c>
      <c r="O42" s="1">
        <v>122101</v>
      </c>
      <c r="P42" s="1">
        <v>130348</v>
      </c>
      <c r="Q42" s="1">
        <v>252449</v>
      </c>
      <c r="R42" s="1">
        <v>126725</v>
      </c>
      <c r="S42" s="1">
        <v>135104</v>
      </c>
      <c r="T42" s="1">
        <v>261829</v>
      </c>
      <c r="U42" s="1">
        <v>130396.3065451568</v>
      </c>
      <c r="V42" s="1">
        <v>139018.05168259511</v>
      </c>
      <c r="W42" s="1">
        <v>269414.35822775186</v>
      </c>
      <c r="X42" s="1">
        <v>132810.06270716738</v>
      </c>
      <c r="Y42" s="1">
        <v>141591.40431634753</v>
      </c>
      <c r="Z42" s="1">
        <v>274401.46702351485</v>
      </c>
      <c r="AA42" s="1">
        <v>139819.0841906131</v>
      </c>
      <c r="AB42" s="1">
        <v>149063.85914767085</v>
      </c>
      <c r="AC42" s="1">
        <v>288882.94333828392</v>
      </c>
    </row>
    <row r="43" spans="1:29" x14ac:dyDescent="0.35">
      <c r="A43" t="s">
        <v>103</v>
      </c>
      <c r="B43" t="s">
        <v>102</v>
      </c>
      <c r="C43" t="s">
        <v>102</v>
      </c>
      <c r="D43" t="s">
        <v>101</v>
      </c>
      <c r="E43" t="s">
        <v>100</v>
      </c>
      <c r="F43">
        <v>108855</v>
      </c>
      <c r="G43">
        <v>115511</v>
      </c>
      <c r="H43">
        <v>224366</v>
      </c>
      <c r="I43">
        <v>113873</v>
      </c>
      <c r="J43">
        <v>120837</v>
      </c>
      <c r="K43">
        <v>234710</v>
      </c>
      <c r="L43" s="1">
        <v>37087</v>
      </c>
      <c r="M43" s="1">
        <v>39355</v>
      </c>
      <c r="N43" s="1">
        <v>76442</v>
      </c>
      <c r="O43" s="1">
        <v>38463</v>
      </c>
      <c r="P43" s="1">
        <v>40815</v>
      </c>
      <c r="Q43" s="1">
        <v>79278</v>
      </c>
      <c r="R43" s="1">
        <v>39796</v>
      </c>
      <c r="S43" s="1">
        <v>42428</v>
      </c>
      <c r="T43" s="1">
        <v>82224</v>
      </c>
      <c r="U43" s="1">
        <v>40948.916277538447</v>
      </c>
      <c r="V43" s="1">
        <v>43657.167047527422</v>
      </c>
      <c r="W43" s="1">
        <v>84606.083325065876</v>
      </c>
      <c r="X43" s="1">
        <v>41706.91856772091</v>
      </c>
      <c r="Y43" s="1">
        <v>44465.3015627516</v>
      </c>
      <c r="Z43" s="1">
        <v>86172.220130472517</v>
      </c>
      <c r="AA43" s="1">
        <v>43907.991907276686</v>
      </c>
      <c r="AB43" s="1">
        <v>46811.947950596419</v>
      </c>
      <c r="AC43" s="1">
        <v>90719.93985787312</v>
      </c>
    </row>
    <row r="44" spans="1:29" x14ac:dyDescent="0.35">
      <c r="A44" t="s">
        <v>170</v>
      </c>
      <c r="B44" t="s">
        <v>171</v>
      </c>
      <c r="C44" t="s">
        <v>171</v>
      </c>
      <c r="D44" t="s">
        <v>107</v>
      </c>
      <c r="E44" t="s">
        <v>106</v>
      </c>
      <c r="F44">
        <v>195304</v>
      </c>
      <c r="G44">
        <v>198408</v>
      </c>
      <c r="H44">
        <v>393711</v>
      </c>
      <c r="I44">
        <v>204433</v>
      </c>
      <c r="J44">
        <v>207683</v>
      </c>
      <c r="K44">
        <v>412115</v>
      </c>
      <c r="L44" s="1">
        <v>211768</v>
      </c>
      <c r="M44" s="1">
        <v>215134</v>
      </c>
      <c r="N44" s="1">
        <v>426901</v>
      </c>
      <c r="O44" s="1">
        <v>219340</v>
      </c>
      <c r="P44" s="1">
        <v>222827</v>
      </c>
      <c r="Q44" s="1">
        <v>442167</v>
      </c>
      <c r="R44" s="1">
        <v>227171</v>
      </c>
      <c r="S44" s="1">
        <v>230783</v>
      </c>
      <c r="T44" s="1">
        <v>457954</v>
      </c>
      <c r="U44" s="1">
        <v>233752.56969001616</v>
      </c>
      <c r="V44" s="1">
        <v>237469.216100519</v>
      </c>
      <c r="W44" s="1">
        <v>471221.78579053516</v>
      </c>
      <c r="X44" s="1">
        <v>238079.54581705609</v>
      </c>
      <c r="Y44" s="1">
        <v>241864.9907879864</v>
      </c>
      <c r="Z44" s="1">
        <v>479944.53660504241</v>
      </c>
      <c r="AA44" s="1">
        <v>250644.14082880656</v>
      </c>
      <c r="AB44" s="1">
        <v>254629.36181508409</v>
      </c>
      <c r="AC44" s="1">
        <v>505273.50264389062</v>
      </c>
    </row>
    <row r="45" spans="1:29" x14ac:dyDescent="0.35">
      <c r="A45" t="s">
        <v>105</v>
      </c>
      <c r="B45" t="s">
        <v>104</v>
      </c>
      <c r="C45" t="s">
        <v>104</v>
      </c>
      <c r="D45" t="s">
        <v>107</v>
      </c>
      <c r="E45" t="s">
        <v>106</v>
      </c>
      <c r="F45">
        <v>68275</v>
      </c>
      <c r="G45">
        <v>69096</v>
      </c>
      <c r="H45">
        <v>137371</v>
      </c>
      <c r="I45">
        <v>71467</v>
      </c>
      <c r="J45">
        <v>72326</v>
      </c>
      <c r="K45">
        <v>143793</v>
      </c>
      <c r="L45" s="1">
        <v>74031</v>
      </c>
      <c r="M45" s="1">
        <v>74921</v>
      </c>
      <c r="N45" s="1">
        <v>148952</v>
      </c>
      <c r="O45" s="1">
        <v>76678</v>
      </c>
      <c r="P45" s="1">
        <v>77600</v>
      </c>
      <c r="Q45" s="1">
        <v>154278</v>
      </c>
      <c r="R45" s="1">
        <v>79415</v>
      </c>
      <c r="S45" s="1">
        <v>80371</v>
      </c>
      <c r="T45" s="1">
        <v>159786</v>
      </c>
      <c r="U45" s="1">
        <v>81715.801409214357</v>
      </c>
      <c r="V45" s="1">
        <v>82699.498521185757</v>
      </c>
      <c r="W45" s="1">
        <v>164415.2999304001</v>
      </c>
      <c r="X45" s="1">
        <v>83228.436424814383</v>
      </c>
      <c r="Y45" s="1">
        <v>84230.342679578884</v>
      </c>
      <c r="Z45" s="1">
        <v>167458.77910439327</v>
      </c>
      <c r="AA45" s="1">
        <v>87620.798622710092</v>
      </c>
      <c r="AB45" s="1">
        <v>88675.580256951871</v>
      </c>
      <c r="AC45" s="1">
        <v>176296.37887966196</v>
      </c>
    </row>
    <row r="46" spans="1:29" x14ac:dyDescent="0.35">
      <c r="A46" t="s">
        <v>109</v>
      </c>
      <c r="B46" t="s">
        <v>108</v>
      </c>
      <c r="C46" t="s">
        <v>108</v>
      </c>
      <c r="D46" t="s">
        <v>107</v>
      </c>
      <c r="E46" t="s">
        <v>106</v>
      </c>
      <c r="F46">
        <v>110906</v>
      </c>
      <c r="G46">
        <v>112653</v>
      </c>
      <c r="H46">
        <v>223559</v>
      </c>
      <c r="I46">
        <v>116091</v>
      </c>
      <c r="J46">
        <v>117919</v>
      </c>
      <c r="K46">
        <v>234010</v>
      </c>
      <c r="L46" s="1">
        <v>120256</v>
      </c>
      <c r="M46" s="1">
        <v>122150</v>
      </c>
      <c r="N46" s="1">
        <v>242406</v>
      </c>
      <c r="O46" s="1">
        <v>124556</v>
      </c>
      <c r="P46" s="1">
        <v>126518</v>
      </c>
      <c r="Q46" s="1">
        <v>251074</v>
      </c>
      <c r="R46" s="1">
        <v>129003</v>
      </c>
      <c r="S46" s="1">
        <v>131035</v>
      </c>
      <c r="T46" s="1">
        <v>260038</v>
      </c>
      <c r="U46" s="1">
        <v>132740.45871929583</v>
      </c>
      <c r="V46" s="1">
        <v>134831.32956817228</v>
      </c>
      <c r="W46" s="1">
        <v>267571.78828746814</v>
      </c>
      <c r="X46" s="1">
        <v>135197.60730479544</v>
      </c>
      <c r="Y46" s="1">
        <v>137327.18210571748</v>
      </c>
      <c r="Z46" s="1">
        <v>272524.78941051289</v>
      </c>
      <c r="AA46" s="1">
        <v>142332.63092269053</v>
      </c>
      <c r="AB46" s="1">
        <v>144574.593559489</v>
      </c>
      <c r="AC46" s="1">
        <v>286907.2244821795</v>
      </c>
    </row>
    <row r="47" spans="1:29" x14ac:dyDescent="0.35">
      <c r="A47" t="s">
        <v>111</v>
      </c>
      <c r="B47" t="s">
        <v>110</v>
      </c>
      <c r="C47" t="s">
        <v>110</v>
      </c>
      <c r="D47" t="s">
        <v>112</v>
      </c>
      <c r="E47" t="s">
        <v>204</v>
      </c>
      <c r="F47">
        <v>209796</v>
      </c>
      <c r="G47">
        <v>211985</v>
      </c>
      <c r="H47">
        <v>421781</v>
      </c>
      <c r="I47">
        <v>218342</v>
      </c>
      <c r="J47">
        <v>220620</v>
      </c>
      <c r="K47">
        <v>438962</v>
      </c>
      <c r="L47" s="1">
        <v>226054</v>
      </c>
      <c r="M47" s="1">
        <v>228412</v>
      </c>
      <c r="N47" s="1">
        <v>454466</v>
      </c>
      <c r="O47" s="1">
        <v>234035</v>
      </c>
      <c r="P47" s="1">
        <v>236476</v>
      </c>
      <c r="Q47" s="1">
        <v>470512</v>
      </c>
      <c r="R47" s="1">
        <v>242304</v>
      </c>
      <c r="S47" s="1">
        <v>244832</v>
      </c>
      <c r="T47" s="1">
        <v>487136</v>
      </c>
      <c r="U47" s="1">
        <v>249323.7678231835</v>
      </c>
      <c r="V47" s="1">
        <v>251925.00628832239</v>
      </c>
      <c r="W47" s="1">
        <v>501248.77411150589</v>
      </c>
      <c r="X47" s="1">
        <v>253938.98122043174</v>
      </c>
      <c r="Y47" s="1">
        <v>256588.371013936</v>
      </c>
      <c r="Z47" s="1">
        <v>510527.35223436775</v>
      </c>
      <c r="AA47" s="1">
        <v>267340.55440380372</v>
      </c>
      <c r="AB47" s="1">
        <v>270129.76515365852</v>
      </c>
      <c r="AC47" s="1">
        <v>537470.31955746224</v>
      </c>
    </row>
    <row r="48" spans="1:29" x14ac:dyDescent="0.35">
      <c r="A48" t="s">
        <v>114</v>
      </c>
      <c r="B48" t="s">
        <v>113</v>
      </c>
      <c r="C48" t="s">
        <v>113</v>
      </c>
      <c r="D48" t="s">
        <v>112</v>
      </c>
      <c r="E48" t="s">
        <v>204</v>
      </c>
      <c r="F48">
        <v>65337</v>
      </c>
      <c r="G48">
        <v>71832</v>
      </c>
      <c r="H48">
        <v>137169</v>
      </c>
      <c r="I48">
        <v>67998</v>
      </c>
      <c r="J48">
        <v>74759</v>
      </c>
      <c r="K48">
        <v>142757</v>
      </c>
      <c r="L48" s="1">
        <v>70400</v>
      </c>
      <c r="M48" s="1">
        <v>77399</v>
      </c>
      <c r="N48" s="1">
        <v>147799</v>
      </c>
      <c r="O48" s="1">
        <v>72886</v>
      </c>
      <c r="P48" s="1">
        <v>80132</v>
      </c>
      <c r="Q48" s="1">
        <v>153018</v>
      </c>
      <c r="R48" s="1">
        <v>75461</v>
      </c>
      <c r="S48" s="1">
        <v>82963</v>
      </c>
      <c r="T48" s="1">
        <v>158424</v>
      </c>
      <c r="U48" s="1">
        <v>77647.173978577528</v>
      </c>
      <c r="V48" s="1">
        <v>85366.513759223017</v>
      </c>
      <c r="W48" s="1">
        <v>163013.68773780056</v>
      </c>
      <c r="X48" s="1">
        <v>79084.494939724478</v>
      </c>
      <c r="Y48" s="1">
        <v>86946.726834846646</v>
      </c>
      <c r="Z48" s="1">
        <v>166031.22177457111</v>
      </c>
      <c r="AA48" s="1">
        <v>83258.161548573</v>
      </c>
      <c r="AB48" s="1">
        <v>91535.320981093057</v>
      </c>
      <c r="AC48" s="1">
        <v>174793.48252966607</v>
      </c>
    </row>
    <row r="49" spans="1:29" x14ac:dyDescent="0.35">
      <c r="A49" t="s">
        <v>116</v>
      </c>
      <c r="B49" t="s">
        <v>115</v>
      </c>
      <c r="C49" t="s">
        <v>115</v>
      </c>
      <c r="D49" t="s">
        <v>112</v>
      </c>
      <c r="E49" t="s">
        <v>204</v>
      </c>
      <c r="F49">
        <v>172297</v>
      </c>
      <c r="G49">
        <v>194285</v>
      </c>
      <c r="H49">
        <v>366583</v>
      </c>
      <c r="I49">
        <v>179316</v>
      </c>
      <c r="J49">
        <v>202199</v>
      </c>
      <c r="K49">
        <v>381516</v>
      </c>
      <c r="L49" s="1">
        <v>185650</v>
      </c>
      <c r="M49" s="1">
        <v>209341</v>
      </c>
      <c r="N49" s="1">
        <v>394992</v>
      </c>
      <c r="O49" s="1">
        <v>192205</v>
      </c>
      <c r="P49" s="1">
        <v>216732</v>
      </c>
      <c r="Q49" s="1">
        <v>408937</v>
      </c>
      <c r="R49" s="1">
        <v>198996</v>
      </c>
      <c r="S49" s="1">
        <v>224390</v>
      </c>
      <c r="T49" s="1">
        <v>423386</v>
      </c>
      <c r="U49" s="1">
        <v>204761.09557309092</v>
      </c>
      <c r="V49" s="1">
        <v>230890.78290842968</v>
      </c>
      <c r="W49" s="1">
        <v>435651.87848152063</v>
      </c>
      <c r="X49" s="1">
        <v>208551.41271683932</v>
      </c>
      <c r="Y49" s="1">
        <v>235164.78471693691</v>
      </c>
      <c r="Z49" s="1">
        <v>443716.19743377622</v>
      </c>
      <c r="AA49" s="1">
        <v>219557.66707994638</v>
      </c>
      <c r="AB49" s="1">
        <v>247575.55386072671</v>
      </c>
      <c r="AC49" s="1">
        <v>467133.22094067308</v>
      </c>
    </row>
    <row r="50" spans="1:29" x14ac:dyDescent="0.35">
      <c r="A50" t="s">
        <v>118</v>
      </c>
      <c r="B50" t="s">
        <v>117</v>
      </c>
      <c r="C50" t="s">
        <v>117</v>
      </c>
      <c r="D50" t="s">
        <v>120</v>
      </c>
      <c r="E50" t="s">
        <v>119</v>
      </c>
      <c r="F50">
        <v>114644</v>
      </c>
      <c r="G50">
        <v>119198</v>
      </c>
      <c r="H50">
        <v>233842</v>
      </c>
      <c r="I50">
        <v>119763</v>
      </c>
      <c r="J50">
        <v>124521</v>
      </c>
      <c r="K50">
        <v>244284</v>
      </c>
      <c r="L50" s="1">
        <v>124063</v>
      </c>
      <c r="M50" s="1">
        <v>128992</v>
      </c>
      <c r="N50" s="1">
        <v>253055</v>
      </c>
      <c r="O50" s="1">
        <v>128512</v>
      </c>
      <c r="P50" s="1">
        <v>133618</v>
      </c>
      <c r="Q50" s="1">
        <v>262131</v>
      </c>
      <c r="R50" s="1">
        <v>133123</v>
      </c>
      <c r="S50" s="1">
        <v>138412</v>
      </c>
      <c r="T50" s="1">
        <v>271535</v>
      </c>
      <c r="U50" s="1">
        <v>136979.82284201781</v>
      </c>
      <c r="V50" s="1">
        <v>142422.05508596837</v>
      </c>
      <c r="W50" s="1">
        <v>279401.87792798615</v>
      </c>
      <c r="X50" s="1">
        <v>139515.4459759563</v>
      </c>
      <c r="Y50" s="1">
        <v>145058.41896910421</v>
      </c>
      <c r="Z50" s="1">
        <v>284573.86494506046</v>
      </c>
      <c r="AA50" s="1">
        <v>146878.34256816772</v>
      </c>
      <c r="AB50" s="1">
        <v>152713.84472664548</v>
      </c>
      <c r="AC50" s="1">
        <v>299592.18729481311</v>
      </c>
    </row>
    <row r="51" spans="1:29" x14ac:dyDescent="0.35">
      <c r="A51" t="s">
        <v>121</v>
      </c>
      <c r="B51" t="s">
        <v>196</v>
      </c>
      <c r="C51" t="s">
        <v>122</v>
      </c>
      <c r="D51" t="s">
        <v>120</v>
      </c>
      <c r="E51" t="s">
        <v>119</v>
      </c>
      <c r="F51">
        <v>39397</v>
      </c>
      <c r="G51">
        <v>43611</v>
      </c>
      <c r="H51">
        <v>83008</v>
      </c>
      <c r="I51">
        <v>41156</v>
      </c>
      <c r="J51">
        <v>45558</v>
      </c>
      <c r="K51">
        <v>86714</v>
      </c>
      <c r="L51" s="1">
        <v>42634</v>
      </c>
      <c r="M51" s="1">
        <v>47194</v>
      </c>
      <c r="N51" s="1">
        <v>89828</v>
      </c>
      <c r="O51" s="1">
        <v>44163</v>
      </c>
      <c r="P51" s="1">
        <v>48887</v>
      </c>
      <c r="Q51" s="1">
        <v>93050</v>
      </c>
      <c r="R51" s="1">
        <v>45748</v>
      </c>
      <c r="S51" s="1">
        <v>50640</v>
      </c>
      <c r="T51" s="1">
        <v>96388</v>
      </c>
      <c r="U51" s="1">
        <v>47073.405312204719</v>
      </c>
      <c r="V51" s="1">
        <v>52107.13572199981</v>
      </c>
      <c r="W51" s="1">
        <v>99180.541034204536</v>
      </c>
      <c r="X51" s="1">
        <v>47944.777555403991</v>
      </c>
      <c r="Y51" s="1">
        <v>53071.686967859983</v>
      </c>
      <c r="Z51" s="1">
        <v>101016.46452326399</v>
      </c>
      <c r="AA51" s="1">
        <v>50475.052513904688</v>
      </c>
      <c r="AB51" s="1">
        <v>55872.533428874129</v>
      </c>
      <c r="AC51" s="1">
        <v>106347.58594277882</v>
      </c>
    </row>
    <row r="52" spans="1:29" x14ac:dyDescent="0.35">
      <c r="A52" t="s">
        <v>124</v>
      </c>
      <c r="B52" t="s">
        <v>123</v>
      </c>
      <c r="C52" t="s">
        <v>123</v>
      </c>
      <c r="D52" t="s">
        <v>120</v>
      </c>
      <c r="E52" t="s">
        <v>119</v>
      </c>
      <c r="F52">
        <v>34496</v>
      </c>
      <c r="G52">
        <v>36623</v>
      </c>
      <c r="H52">
        <v>71119</v>
      </c>
      <c r="I52">
        <v>36036</v>
      </c>
      <c r="J52">
        <v>38258</v>
      </c>
      <c r="K52">
        <v>74294</v>
      </c>
      <c r="L52" s="1">
        <v>37330</v>
      </c>
      <c r="M52" s="1">
        <v>39632</v>
      </c>
      <c r="N52" s="1">
        <v>76962</v>
      </c>
      <c r="O52" s="1">
        <v>38669</v>
      </c>
      <c r="P52" s="1">
        <v>41053</v>
      </c>
      <c r="Q52" s="1">
        <v>79722</v>
      </c>
      <c r="R52" s="1">
        <v>40057</v>
      </c>
      <c r="S52" s="1">
        <v>42525</v>
      </c>
      <c r="T52" s="1">
        <v>82582</v>
      </c>
      <c r="U52" s="1">
        <v>41217.526374726433</v>
      </c>
      <c r="V52" s="1">
        <v>43757.028960861804</v>
      </c>
      <c r="W52" s="1">
        <v>84974.555335588244</v>
      </c>
      <c r="X52" s="1">
        <v>41980.500886089409</v>
      </c>
      <c r="Y52" s="1">
        <v>44567.012012406121</v>
      </c>
      <c r="Z52" s="1">
        <v>86547.512898495537</v>
      </c>
      <c r="AA52" s="1">
        <v>44196.012471572103</v>
      </c>
      <c r="AB52" s="1">
        <v>46919.026146581215</v>
      </c>
      <c r="AC52" s="1">
        <v>91115.038618153325</v>
      </c>
    </row>
    <row r="53" spans="1:29" x14ac:dyDescent="0.35">
      <c r="A53" t="s">
        <v>125</v>
      </c>
      <c r="B53" t="s">
        <v>197</v>
      </c>
      <c r="C53" t="s">
        <v>126</v>
      </c>
      <c r="D53" t="s">
        <v>127</v>
      </c>
      <c r="E53" t="s">
        <v>203</v>
      </c>
      <c r="F53">
        <v>155778</v>
      </c>
      <c r="G53">
        <v>171016</v>
      </c>
      <c r="H53">
        <v>326795</v>
      </c>
      <c r="I53">
        <v>163913</v>
      </c>
      <c r="J53">
        <v>179945</v>
      </c>
      <c r="K53">
        <v>343859</v>
      </c>
      <c r="L53" s="1">
        <v>169956</v>
      </c>
      <c r="M53" s="1">
        <v>186580</v>
      </c>
      <c r="N53" s="1">
        <v>356537</v>
      </c>
      <c r="O53" s="1">
        <v>176208</v>
      </c>
      <c r="P53" s="1">
        <v>193444</v>
      </c>
      <c r="Q53" s="1">
        <v>369652</v>
      </c>
      <c r="R53" s="1">
        <v>182685</v>
      </c>
      <c r="S53" s="1">
        <v>200554</v>
      </c>
      <c r="T53" s="1">
        <v>383239</v>
      </c>
      <c r="U53" s="1">
        <v>187977.72688336365</v>
      </c>
      <c r="V53" s="1">
        <v>206364.42530785839</v>
      </c>
      <c r="W53" s="1">
        <v>394342.15219122201</v>
      </c>
      <c r="X53" s="1">
        <v>191457.36835946885</v>
      </c>
      <c r="Y53" s="1">
        <v>210184.42156698642</v>
      </c>
      <c r="Z53" s="1">
        <v>401641.78992645524</v>
      </c>
      <c r="AA53" s="1">
        <v>201561.48833834662</v>
      </c>
      <c r="AB53" s="1">
        <v>221276.85760849967</v>
      </c>
      <c r="AC53" s="1">
        <v>422838.3459468463</v>
      </c>
    </row>
    <row r="54" spans="1:29" x14ac:dyDescent="0.35">
      <c r="A54" t="s">
        <v>173</v>
      </c>
      <c r="B54" t="s">
        <v>201</v>
      </c>
      <c r="C54" t="s">
        <v>172</v>
      </c>
      <c r="D54" t="s">
        <v>127</v>
      </c>
      <c r="E54" t="s">
        <v>203</v>
      </c>
      <c r="F54">
        <v>54044</v>
      </c>
      <c r="G54">
        <v>58903</v>
      </c>
      <c r="H54">
        <v>112947</v>
      </c>
      <c r="I54">
        <v>56866</v>
      </c>
      <c r="J54">
        <v>61979</v>
      </c>
      <c r="K54">
        <v>118845</v>
      </c>
      <c r="L54" s="1">
        <v>213899</v>
      </c>
      <c r="M54" s="1">
        <v>233130</v>
      </c>
      <c r="N54" s="1">
        <v>447029</v>
      </c>
      <c r="O54" s="1">
        <v>221768</v>
      </c>
      <c r="P54" s="1">
        <v>241706</v>
      </c>
      <c r="Q54" s="1">
        <v>463474</v>
      </c>
      <c r="R54" s="1">
        <v>229919</v>
      </c>
      <c r="S54" s="1">
        <v>250590</v>
      </c>
      <c r="T54" s="1">
        <v>480509</v>
      </c>
      <c r="U54" s="1">
        <v>236580.18440099669</v>
      </c>
      <c r="V54" s="1">
        <v>257850.06201769219</v>
      </c>
      <c r="W54" s="1">
        <v>494430.24641868885</v>
      </c>
      <c r="X54" s="1">
        <v>240959.50228995658</v>
      </c>
      <c r="Y54" s="1">
        <v>262623.10500150151</v>
      </c>
      <c r="Z54" s="1">
        <v>503582.60729145806</v>
      </c>
      <c r="AA54" s="1">
        <v>253676.08636321707</v>
      </c>
      <c r="AB54" s="1">
        <v>276482.98088352237</v>
      </c>
      <c r="AC54" s="1">
        <v>530159.0672467394</v>
      </c>
    </row>
    <row r="55" spans="1:29" x14ac:dyDescent="0.35">
      <c r="A55" t="s">
        <v>174</v>
      </c>
      <c r="B55" t="s">
        <v>200</v>
      </c>
      <c r="C55" t="s">
        <v>175</v>
      </c>
      <c r="D55" t="s">
        <v>127</v>
      </c>
      <c r="E55" t="s">
        <v>203</v>
      </c>
      <c r="F55">
        <v>192450</v>
      </c>
      <c r="G55">
        <v>217288</v>
      </c>
      <c r="H55">
        <v>409738</v>
      </c>
      <c r="I55">
        <v>202499</v>
      </c>
      <c r="J55">
        <v>228634</v>
      </c>
      <c r="K55">
        <v>431133</v>
      </c>
      <c r="L55" s="1">
        <v>57878</v>
      </c>
      <c r="M55" s="1">
        <v>65348</v>
      </c>
      <c r="N55" s="1">
        <v>123226</v>
      </c>
      <c r="O55" s="1">
        <v>60007</v>
      </c>
      <c r="P55" s="1">
        <v>67752</v>
      </c>
      <c r="Q55" s="1">
        <v>127759</v>
      </c>
      <c r="R55" s="1">
        <v>62213</v>
      </c>
      <c r="S55" s="1">
        <v>70242</v>
      </c>
      <c r="T55" s="1">
        <v>132455</v>
      </c>
      <c r="U55" s="1">
        <v>64015.427224975785</v>
      </c>
      <c r="V55" s="1">
        <v>72277.042404911335</v>
      </c>
      <c r="W55" s="1">
        <v>136292.46962988711</v>
      </c>
      <c r="X55" s="1">
        <v>65200.411953623094</v>
      </c>
      <c r="Y55" s="1">
        <v>73614.957266911952</v>
      </c>
      <c r="Z55" s="1">
        <v>138815.36922053504</v>
      </c>
      <c r="AA55" s="1">
        <v>68641.34917477383</v>
      </c>
      <c r="AB55" s="1">
        <v>77499.97024310776</v>
      </c>
      <c r="AC55" s="1">
        <v>146141.3194178816</v>
      </c>
    </row>
    <row r="56" spans="1:29" x14ac:dyDescent="0.35">
      <c r="A56" t="s">
        <v>129</v>
      </c>
      <c r="B56" t="s">
        <v>128</v>
      </c>
      <c r="C56" t="s">
        <v>128</v>
      </c>
      <c r="D56" t="s">
        <v>131</v>
      </c>
      <c r="E56" t="s">
        <v>130</v>
      </c>
      <c r="F56">
        <v>102456</v>
      </c>
      <c r="G56">
        <v>114500</v>
      </c>
      <c r="H56">
        <v>216956</v>
      </c>
      <c r="I56">
        <v>106482</v>
      </c>
      <c r="J56">
        <v>118999</v>
      </c>
      <c r="K56">
        <v>225481</v>
      </c>
      <c r="L56" s="1">
        <v>110343</v>
      </c>
      <c r="M56" s="1">
        <v>123314</v>
      </c>
      <c r="N56" s="1">
        <v>233657</v>
      </c>
      <c r="O56" s="1">
        <v>114355</v>
      </c>
      <c r="P56" s="1">
        <v>127797</v>
      </c>
      <c r="Q56" s="1">
        <v>242152</v>
      </c>
      <c r="R56" s="1">
        <v>118519</v>
      </c>
      <c r="S56" s="1">
        <v>132451</v>
      </c>
      <c r="T56" s="1">
        <v>250970</v>
      </c>
      <c r="U56" s="1">
        <v>121952.55600538426</v>
      </c>
      <c r="V56" s="1">
        <v>136288.17316606748</v>
      </c>
      <c r="W56" s="1">
        <v>258240.72917145173</v>
      </c>
      <c r="X56" s="1">
        <v>124210.01054017965</v>
      </c>
      <c r="Y56" s="1">
        <v>138810.99322519879</v>
      </c>
      <c r="Z56" s="1">
        <v>263021.00376537844</v>
      </c>
      <c r="AA56" s="1">
        <v>130765.16618568749</v>
      </c>
      <c r="AB56" s="1">
        <v>146136.71248036597</v>
      </c>
      <c r="AC56" s="1">
        <v>276901.87866605341</v>
      </c>
    </row>
    <row r="57" spans="1:29" x14ac:dyDescent="0.35">
      <c r="A57" t="s">
        <v>133</v>
      </c>
      <c r="B57" t="s">
        <v>132</v>
      </c>
      <c r="C57" t="s">
        <v>132</v>
      </c>
      <c r="D57" t="s">
        <v>131</v>
      </c>
      <c r="E57" t="s">
        <v>130</v>
      </c>
      <c r="F57">
        <v>111696</v>
      </c>
      <c r="G57">
        <v>118517</v>
      </c>
      <c r="H57">
        <v>230213</v>
      </c>
      <c r="I57">
        <v>116085</v>
      </c>
      <c r="J57">
        <v>123175</v>
      </c>
      <c r="K57">
        <v>239260</v>
      </c>
      <c r="L57" s="1">
        <v>120294</v>
      </c>
      <c r="M57" s="1">
        <v>127641</v>
      </c>
      <c r="N57" s="1">
        <v>247935</v>
      </c>
      <c r="O57" s="1">
        <v>124667</v>
      </c>
      <c r="P57" s="1">
        <v>132282</v>
      </c>
      <c r="Q57" s="1">
        <v>256949</v>
      </c>
      <c r="R57" s="1">
        <v>129207</v>
      </c>
      <c r="S57" s="1">
        <v>137099</v>
      </c>
      <c r="T57" s="1">
        <v>266306</v>
      </c>
      <c r="U57" s="1">
        <v>132950.19282805023</v>
      </c>
      <c r="V57" s="1">
        <v>141070.82810167296</v>
      </c>
      <c r="W57" s="1">
        <v>274021.02092972322</v>
      </c>
      <c r="X57" s="1">
        <v>135411.22378576425</v>
      </c>
      <c r="Y57" s="1">
        <v>143682.17952436392</v>
      </c>
      <c r="Z57" s="1">
        <v>279093.4033101282</v>
      </c>
      <c r="AA57" s="1">
        <v>142557.52096587149</v>
      </c>
      <c r="AB57" s="1">
        <v>151264.97455168844</v>
      </c>
      <c r="AC57" s="1">
        <v>293822.49551755999</v>
      </c>
    </row>
    <row r="58" spans="1:29" x14ac:dyDescent="0.35">
      <c r="A58" t="s">
        <v>134</v>
      </c>
      <c r="B58" t="s">
        <v>198</v>
      </c>
      <c r="C58" t="s">
        <v>135</v>
      </c>
      <c r="D58" t="s">
        <v>131</v>
      </c>
      <c r="E58" t="s">
        <v>130</v>
      </c>
      <c r="F58">
        <v>87578</v>
      </c>
      <c r="G58">
        <v>91492</v>
      </c>
      <c r="H58">
        <v>179070</v>
      </c>
      <c r="I58">
        <v>91019</v>
      </c>
      <c r="J58">
        <v>95087</v>
      </c>
      <c r="K58">
        <v>186106</v>
      </c>
      <c r="L58" s="1">
        <v>94455</v>
      </c>
      <c r="M58" s="1">
        <v>98676</v>
      </c>
      <c r="N58" s="1">
        <v>193131</v>
      </c>
      <c r="O58" s="1">
        <v>97889</v>
      </c>
      <c r="P58" s="1">
        <v>102264</v>
      </c>
      <c r="Q58" s="1">
        <v>200153</v>
      </c>
      <c r="R58" s="1">
        <v>101454</v>
      </c>
      <c r="S58" s="1">
        <v>105988</v>
      </c>
      <c r="T58" s="1">
        <v>207442</v>
      </c>
      <c r="U58" s="1">
        <v>104393.17423341621</v>
      </c>
      <c r="V58" s="1">
        <v>109058.52653075599</v>
      </c>
      <c r="W58" s="1">
        <v>213451.70076417219</v>
      </c>
      <c r="X58" s="1">
        <v>106325.58838113204</v>
      </c>
      <c r="Y58" s="1">
        <v>111077.30066177205</v>
      </c>
      <c r="Z58" s="1">
        <v>217402.88904290408</v>
      </c>
      <c r="AA58" s="1">
        <v>111936.89762993899</v>
      </c>
      <c r="AB58" s="1">
        <v>116939.3804680148</v>
      </c>
      <c r="AC58" s="1">
        <v>228876.27809795376</v>
      </c>
    </row>
    <row r="59" spans="1:29" x14ac:dyDescent="0.35">
      <c r="A59" t="s">
        <v>180</v>
      </c>
      <c r="B59" t="s">
        <v>202</v>
      </c>
      <c r="C59" t="s">
        <v>181</v>
      </c>
      <c r="D59" t="s">
        <v>131</v>
      </c>
      <c r="E59" t="s">
        <v>130</v>
      </c>
      <c r="F59">
        <v>12948</v>
      </c>
      <c r="G59">
        <v>13264</v>
      </c>
      <c r="H59">
        <v>26212</v>
      </c>
      <c r="I59">
        <v>13457</v>
      </c>
      <c r="J59">
        <v>13785</v>
      </c>
      <c r="K59">
        <v>27242</v>
      </c>
      <c r="L59" s="1">
        <v>13808</v>
      </c>
      <c r="M59" s="1">
        <v>14144</v>
      </c>
      <c r="N59" s="1">
        <v>27952</v>
      </c>
      <c r="O59" s="1">
        <v>14310</v>
      </c>
      <c r="P59" s="1">
        <v>14658</v>
      </c>
      <c r="Q59" s="1">
        <v>28968</v>
      </c>
      <c r="R59" s="1">
        <v>14831</v>
      </c>
      <c r="S59" s="1">
        <v>15192</v>
      </c>
      <c r="T59" s="1">
        <v>30023</v>
      </c>
      <c r="U59" s="1">
        <v>15260.661650164564</v>
      </c>
      <c r="V59" s="1">
        <v>15632.120004672652</v>
      </c>
      <c r="W59" s="1">
        <v>30892.781654837218</v>
      </c>
      <c r="X59" s="1">
        <v>15543.150603037524</v>
      </c>
      <c r="Y59" s="1">
        <v>15921.484995033787</v>
      </c>
      <c r="Z59" s="1">
        <v>31464.635598071316</v>
      </c>
      <c r="AA59" s="1">
        <v>16363.436914755701</v>
      </c>
      <c r="AB59" s="1">
        <v>16761.737820036993</v>
      </c>
      <c r="AC59" s="1">
        <v>33125.174734792694</v>
      </c>
    </row>
    <row r="60" spans="1:29" x14ac:dyDescent="0.35">
      <c r="A60" t="s">
        <v>136</v>
      </c>
      <c r="B60" t="s">
        <v>199</v>
      </c>
      <c r="C60" t="s">
        <v>137</v>
      </c>
      <c r="D60" t="s">
        <v>139</v>
      </c>
      <c r="E60" t="s">
        <v>138</v>
      </c>
      <c r="F60">
        <v>649673</v>
      </c>
      <c r="G60">
        <v>571363</v>
      </c>
      <c r="H60">
        <v>1221036</v>
      </c>
      <c r="I60">
        <v>739737</v>
      </c>
      <c r="J60">
        <v>650572</v>
      </c>
      <c r="K60">
        <v>1390309</v>
      </c>
      <c r="L60" s="1">
        <v>773982</v>
      </c>
      <c r="M60" s="1">
        <v>680689</v>
      </c>
      <c r="N60" s="1">
        <v>1454671</v>
      </c>
      <c r="O60" s="1">
        <v>809743</v>
      </c>
      <c r="P60" s="1">
        <v>712139</v>
      </c>
      <c r="Q60" s="1">
        <v>1521882</v>
      </c>
      <c r="R60" s="1">
        <v>847188</v>
      </c>
      <c r="S60" s="1">
        <v>745070</v>
      </c>
      <c r="T60" s="1">
        <v>1592258</v>
      </c>
      <c r="U60" s="1">
        <v>871732.62436906749</v>
      </c>
      <c r="V60" s="1">
        <v>766656.07449428109</v>
      </c>
      <c r="W60" s="1">
        <v>1638388.6988633485</v>
      </c>
      <c r="X60" s="1">
        <v>887869.20100567478</v>
      </c>
      <c r="Y60" s="1">
        <v>780847.58706839336</v>
      </c>
      <c r="Z60" s="1">
        <v>1668716.788074068</v>
      </c>
      <c r="AA60" s="1">
        <v>934726.30036613392</v>
      </c>
      <c r="AB60" s="1">
        <v>822056.64458632015</v>
      </c>
      <c r="AC60" s="1">
        <v>1756782.944952454</v>
      </c>
    </row>
    <row r="61" spans="1:29" x14ac:dyDescent="0.35">
      <c r="A61" t="s">
        <v>141</v>
      </c>
      <c r="B61" t="s">
        <v>140</v>
      </c>
      <c r="C61" t="s">
        <v>140</v>
      </c>
      <c r="D61" t="s">
        <v>143</v>
      </c>
      <c r="E61" t="s">
        <v>142</v>
      </c>
      <c r="F61">
        <v>96114</v>
      </c>
      <c r="G61">
        <v>85233</v>
      </c>
      <c r="H61">
        <v>181347</v>
      </c>
      <c r="I61">
        <v>98303</v>
      </c>
      <c r="J61">
        <v>87175</v>
      </c>
      <c r="K61">
        <v>185478</v>
      </c>
      <c r="L61" s="1">
        <v>101798</v>
      </c>
      <c r="M61" s="1">
        <v>90274</v>
      </c>
      <c r="N61" s="1">
        <v>192072</v>
      </c>
      <c r="O61" s="1">
        <v>105273</v>
      </c>
      <c r="P61" s="1">
        <v>93356</v>
      </c>
      <c r="Q61" s="1">
        <v>198629</v>
      </c>
      <c r="R61" s="1">
        <v>108858</v>
      </c>
      <c r="S61" s="1">
        <v>96536</v>
      </c>
      <c r="T61" s="1">
        <v>205394</v>
      </c>
      <c r="U61" s="1">
        <v>112011.82030855953</v>
      </c>
      <c r="V61" s="1">
        <v>99332.828871622696</v>
      </c>
      <c r="W61" s="1">
        <v>211344.64918018223</v>
      </c>
      <c r="X61" s="1">
        <v>114085.26263719003</v>
      </c>
      <c r="Y61" s="1">
        <v>101171.5713493154</v>
      </c>
      <c r="Z61" s="1">
        <v>215256.83398650543</v>
      </c>
      <c r="AA61" s="1">
        <v>120106.08696683217</v>
      </c>
      <c r="AB61" s="1">
        <v>106510.87849703385</v>
      </c>
      <c r="AC61" s="1">
        <v>226616.96546386601</v>
      </c>
    </row>
    <row r="62" spans="1:29" x14ac:dyDescent="0.35">
      <c r="A62" t="s">
        <v>179</v>
      </c>
      <c r="B62" t="s">
        <v>178</v>
      </c>
      <c r="C62" t="s">
        <v>178</v>
      </c>
      <c r="D62" t="s">
        <v>143</v>
      </c>
      <c r="E62" t="s">
        <v>142</v>
      </c>
      <c r="F62">
        <v>38862</v>
      </c>
      <c r="G62">
        <v>30533</v>
      </c>
      <c r="H62">
        <v>69395</v>
      </c>
      <c r="I62">
        <v>39747</v>
      </c>
      <c r="J62">
        <v>31229</v>
      </c>
      <c r="K62">
        <v>70976</v>
      </c>
      <c r="L62" s="1">
        <v>41069</v>
      </c>
      <c r="M62" s="1">
        <v>32267</v>
      </c>
      <c r="N62" s="1">
        <v>73336</v>
      </c>
      <c r="O62" s="1">
        <v>42471</v>
      </c>
      <c r="P62" s="1">
        <v>33369</v>
      </c>
      <c r="Q62" s="1">
        <v>75840</v>
      </c>
      <c r="R62" s="1">
        <v>43918</v>
      </c>
      <c r="S62" s="1">
        <v>34505</v>
      </c>
      <c r="T62" s="1">
        <v>78423</v>
      </c>
      <c r="U62" s="1">
        <v>45190.386781966576</v>
      </c>
      <c r="V62" s="1">
        <v>35504.674527796276</v>
      </c>
      <c r="W62" s="1">
        <v>80695.061309762852</v>
      </c>
      <c r="X62" s="1">
        <v>46026.902611660247</v>
      </c>
      <c r="Y62" s="1">
        <v>36161.898870971738</v>
      </c>
      <c r="Z62" s="1">
        <v>82188.801482631985</v>
      </c>
      <c r="AA62" s="1">
        <v>48455.962147102968</v>
      </c>
      <c r="AB62" s="1">
        <v>38070.33503087089</v>
      </c>
      <c r="AC62" s="1">
        <v>86526.297177973858</v>
      </c>
    </row>
    <row r="63" spans="1:29" x14ac:dyDescent="0.35">
      <c r="A63" t="s">
        <v>145</v>
      </c>
      <c r="B63" t="s">
        <v>144</v>
      </c>
      <c r="C63" t="s">
        <v>144</v>
      </c>
      <c r="D63" t="s">
        <v>143</v>
      </c>
      <c r="E63" t="s">
        <v>142</v>
      </c>
      <c r="F63">
        <v>43686</v>
      </c>
      <c r="G63">
        <v>35744</v>
      </c>
      <c r="H63">
        <v>79430</v>
      </c>
      <c r="I63">
        <v>44682</v>
      </c>
      <c r="J63">
        <v>36558</v>
      </c>
      <c r="K63">
        <v>81240</v>
      </c>
      <c r="L63" s="1">
        <v>46097</v>
      </c>
      <c r="M63" s="1">
        <v>37716</v>
      </c>
      <c r="N63" s="1">
        <v>83813</v>
      </c>
      <c r="O63" s="1">
        <v>47671</v>
      </c>
      <c r="P63" s="1">
        <v>39004</v>
      </c>
      <c r="Q63" s="1">
        <v>86674</v>
      </c>
      <c r="R63" s="1">
        <v>49294</v>
      </c>
      <c r="S63" s="1">
        <v>40332</v>
      </c>
      <c r="T63" s="1">
        <v>89626</v>
      </c>
      <c r="U63" s="1">
        <v>50722.139578994043</v>
      </c>
      <c r="V63" s="1">
        <v>41500.493640199369</v>
      </c>
      <c r="W63" s="1">
        <v>92222.63321919342</v>
      </c>
      <c r="X63" s="1">
        <v>51661.053266068135</v>
      </c>
      <c r="Y63" s="1">
        <v>42268.706137198438</v>
      </c>
      <c r="Z63" s="1">
        <v>93929.75940326658</v>
      </c>
      <c r="AA63" s="1">
        <v>54387.453847609038</v>
      </c>
      <c r="AB63" s="1">
        <v>44499.427690627002</v>
      </c>
      <c r="AC63" s="1">
        <v>98886.881538236048</v>
      </c>
    </row>
    <row r="64" spans="1:29" x14ac:dyDescent="0.35">
      <c r="A64" t="s">
        <v>147</v>
      </c>
      <c r="B64" t="s">
        <v>146</v>
      </c>
      <c r="C64" t="s">
        <v>146</v>
      </c>
      <c r="D64" t="s">
        <v>149</v>
      </c>
      <c r="E64" t="s">
        <v>148</v>
      </c>
      <c r="F64">
        <v>56054</v>
      </c>
      <c r="G64">
        <v>45861</v>
      </c>
      <c r="H64">
        <v>101915</v>
      </c>
      <c r="I64">
        <v>58239</v>
      </c>
      <c r="J64">
        <v>47649</v>
      </c>
      <c r="K64">
        <v>105888</v>
      </c>
      <c r="L64" s="1">
        <v>60225</v>
      </c>
      <c r="M64" s="1">
        <v>49274</v>
      </c>
      <c r="N64" s="1">
        <v>109499</v>
      </c>
      <c r="O64" s="1">
        <v>62246</v>
      </c>
      <c r="P64" s="1">
        <v>50928</v>
      </c>
      <c r="Q64" s="1">
        <v>113174</v>
      </c>
      <c r="R64" s="1">
        <v>64354</v>
      </c>
      <c r="S64" s="1">
        <v>52652</v>
      </c>
      <c r="T64" s="1">
        <v>117006</v>
      </c>
      <c r="U64" s="1">
        <v>66218.456008166977</v>
      </c>
      <c r="V64" s="1">
        <v>54177.427133387318</v>
      </c>
      <c r="W64" s="1">
        <v>120395.8831415543</v>
      </c>
      <c r="X64" s="1">
        <v>67444.220835893808</v>
      </c>
      <c r="Y64" s="1">
        <v>55180.301386883184</v>
      </c>
      <c r="Z64" s="1">
        <v>122624.52222277698</v>
      </c>
      <c r="AA64" s="1">
        <v>71003.574571124933</v>
      </c>
      <c r="AB64" s="1">
        <v>58092.429504286752</v>
      </c>
      <c r="AC64" s="1">
        <v>129096.00407541168</v>
      </c>
    </row>
    <row r="65" spans="1:29" x14ac:dyDescent="0.35">
      <c r="A65" t="s">
        <v>151</v>
      </c>
      <c r="B65" t="s">
        <v>150</v>
      </c>
      <c r="C65" t="s">
        <v>150</v>
      </c>
      <c r="D65" t="s">
        <v>149</v>
      </c>
      <c r="E65" t="s">
        <v>148</v>
      </c>
      <c r="F65">
        <v>19686</v>
      </c>
      <c r="G65">
        <v>16108</v>
      </c>
      <c r="H65">
        <v>35794</v>
      </c>
      <c r="I65">
        <v>20454</v>
      </c>
      <c r="J65">
        <v>16736</v>
      </c>
      <c r="K65">
        <v>37190</v>
      </c>
      <c r="L65" s="1">
        <v>21151</v>
      </c>
      <c r="M65" s="1">
        <v>17306</v>
      </c>
      <c r="N65" s="1">
        <v>38457</v>
      </c>
      <c r="O65" s="1">
        <v>21860</v>
      </c>
      <c r="P65" s="1">
        <v>17887</v>
      </c>
      <c r="Q65" s="1">
        <v>39747</v>
      </c>
      <c r="R65" s="1">
        <v>22600</v>
      </c>
      <c r="S65" s="1">
        <v>18493</v>
      </c>
      <c r="T65" s="1">
        <v>41093</v>
      </c>
      <c r="U65" s="1">
        <v>23254.764362503862</v>
      </c>
      <c r="V65" s="1">
        <v>19028.776874149731</v>
      </c>
      <c r="W65" s="1">
        <v>42283.541236653589</v>
      </c>
      <c r="X65" s="1">
        <v>23685.231545687911</v>
      </c>
      <c r="Y65" s="1">
        <v>19381.01712276135</v>
      </c>
      <c r="Z65" s="1">
        <v>43066.248668449261</v>
      </c>
      <c r="AA65" s="1">
        <v>24935.214365966734</v>
      </c>
      <c r="AB65" s="1">
        <v>20403.845985390391</v>
      </c>
      <c r="AC65" s="1">
        <v>45339.060351357126</v>
      </c>
    </row>
    <row r="66" spans="1:29" x14ac:dyDescent="0.35">
      <c r="A66" t="s">
        <v>153</v>
      </c>
      <c r="B66" t="s">
        <v>152</v>
      </c>
      <c r="C66" t="s">
        <v>152</v>
      </c>
      <c r="D66" t="s">
        <v>155</v>
      </c>
      <c r="E66" t="s">
        <v>154</v>
      </c>
      <c r="F66">
        <v>195195</v>
      </c>
      <c r="G66">
        <v>197435</v>
      </c>
      <c r="H66">
        <v>392630</v>
      </c>
      <c r="I66">
        <v>199831</v>
      </c>
      <c r="J66">
        <v>202123</v>
      </c>
      <c r="K66">
        <v>401954</v>
      </c>
      <c r="L66" s="1">
        <v>206590</v>
      </c>
      <c r="M66" s="1">
        <v>208960</v>
      </c>
      <c r="N66" s="1">
        <v>415550</v>
      </c>
      <c r="O66" s="1">
        <v>213614</v>
      </c>
      <c r="P66" s="1">
        <v>216065</v>
      </c>
      <c r="Q66" s="1">
        <v>429678</v>
      </c>
      <c r="R66" s="1">
        <v>221281</v>
      </c>
      <c r="S66" s="1">
        <v>223820</v>
      </c>
      <c r="T66" s="1">
        <v>445101</v>
      </c>
      <c r="U66" s="1">
        <v>227691.92534952291</v>
      </c>
      <c r="V66" s="1">
        <v>230304.48493874402</v>
      </c>
      <c r="W66" s="1">
        <v>457996.4102882669</v>
      </c>
      <c r="X66" s="1">
        <v>231906.71334784807</v>
      </c>
      <c r="Y66" s="1">
        <v>234567.63382990568</v>
      </c>
      <c r="Z66" s="1">
        <v>466474.34717775375</v>
      </c>
      <c r="AA66" s="1">
        <v>326878.07996935892</v>
      </c>
      <c r="AB66" s="1">
        <v>330628.71127092664</v>
      </c>
      <c r="AC66" s="1">
        <v>657506.7912402855</v>
      </c>
    </row>
    <row r="67" spans="1:29" x14ac:dyDescent="0.35">
      <c r="A67" t="s">
        <v>157</v>
      </c>
      <c r="B67" t="s">
        <v>156</v>
      </c>
      <c r="C67" t="s">
        <v>156</v>
      </c>
      <c r="D67" t="s">
        <v>155</v>
      </c>
      <c r="E67" t="s">
        <v>154</v>
      </c>
      <c r="F67">
        <v>51384</v>
      </c>
      <c r="G67">
        <v>53247</v>
      </c>
      <c r="H67">
        <v>104631</v>
      </c>
      <c r="I67">
        <v>52604</v>
      </c>
      <c r="J67">
        <v>54512</v>
      </c>
      <c r="K67">
        <v>107116</v>
      </c>
      <c r="L67" s="1">
        <v>54384</v>
      </c>
      <c r="M67" s="1">
        <v>56356</v>
      </c>
      <c r="N67" s="1">
        <v>110740</v>
      </c>
      <c r="O67" s="1">
        <v>56233</v>
      </c>
      <c r="P67" s="1">
        <v>58272</v>
      </c>
      <c r="Q67" s="1">
        <v>114505</v>
      </c>
      <c r="R67" s="1">
        <v>58251</v>
      </c>
      <c r="S67" s="1">
        <v>60364</v>
      </c>
      <c r="T67" s="1">
        <v>118615</v>
      </c>
      <c r="U67" s="1">
        <v>59938.640658416487</v>
      </c>
      <c r="V67" s="1">
        <v>62112.858229123158</v>
      </c>
      <c r="W67" s="1">
        <v>122051.49888753964</v>
      </c>
      <c r="X67" s="1">
        <v>61048.160299463118</v>
      </c>
      <c r="Y67" s="1">
        <v>63262.624647075449</v>
      </c>
      <c r="Z67" s="1">
        <v>124310.78494653857</v>
      </c>
      <c r="AA67" s="1">
        <v>86048.847557156405</v>
      </c>
      <c r="AB67" s="1">
        <v>89170.188218917945</v>
      </c>
      <c r="AC67" s="1">
        <v>175219.03577607436</v>
      </c>
    </row>
    <row r="68" spans="1:29" x14ac:dyDescent="0.35">
      <c r="A68" t="s">
        <v>159</v>
      </c>
      <c r="B68" t="s">
        <v>158</v>
      </c>
      <c r="C68" t="s">
        <v>158</v>
      </c>
      <c r="D68" t="s">
        <v>161</v>
      </c>
      <c r="E68" t="s">
        <v>160</v>
      </c>
      <c r="F68">
        <v>9733</v>
      </c>
      <c r="G68">
        <v>8731</v>
      </c>
      <c r="H68">
        <v>18464</v>
      </c>
      <c r="I68">
        <v>10157</v>
      </c>
      <c r="J68">
        <v>9112</v>
      </c>
      <c r="K68">
        <v>19269</v>
      </c>
      <c r="L68" s="1">
        <v>10513</v>
      </c>
      <c r="M68" s="1">
        <v>9431</v>
      </c>
      <c r="N68" s="1">
        <v>19944</v>
      </c>
      <c r="O68" s="1">
        <v>10876</v>
      </c>
      <c r="P68" s="1">
        <v>9756</v>
      </c>
      <c r="Q68" s="1">
        <v>20632</v>
      </c>
      <c r="R68" s="1">
        <v>11245</v>
      </c>
      <c r="S68" s="1">
        <v>10087</v>
      </c>
      <c r="T68" s="1">
        <v>21332</v>
      </c>
      <c r="U68" s="1">
        <v>11570.78872815734</v>
      </c>
      <c r="V68" s="1">
        <v>10379.239297547632</v>
      </c>
      <c r="W68" s="1">
        <v>21950.028025704971</v>
      </c>
      <c r="X68" s="1">
        <v>11784.974722622146</v>
      </c>
      <c r="Y68" s="1">
        <v>10571.368610679378</v>
      </c>
      <c r="Z68" s="1">
        <v>22356.34333330152</v>
      </c>
      <c r="AA68" s="1">
        <v>12406.924139172384</v>
      </c>
      <c r="AB68" s="1">
        <v>11129.270234933914</v>
      </c>
      <c r="AC68" s="1">
        <v>23536.194374106297</v>
      </c>
    </row>
    <row r="69" spans="1:29" x14ac:dyDescent="0.35">
      <c r="A69" t="s">
        <v>163</v>
      </c>
      <c r="B69" t="s">
        <v>162</v>
      </c>
      <c r="C69" t="s">
        <v>162</v>
      </c>
      <c r="D69" t="s">
        <v>161</v>
      </c>
      <c r="E69" t="s">
        <v>160</v>
      </c>
      <c r="F69">
        <v>7813</v>
      </c>
      <c r="G69">
        <v>6427</v>
      </c>
      <c r="H69">
        <v>14240</v>
      </c>
      <c r="I69">
        <v>8155</v>
      </c>
      <c r="J69">
        <v>6707</v>
      </c>
      <c r="K69">
        <v>14862</v>
      </c>
      <c r="L69" s="1">
        <v>8440</v>
      </c>
      <c r="M69" s="1">
        <v>6942</v>
      </c>
      <c r="N69" s="1">
        <v>15382</v>
      </c>
      <c r="O69" s="1">
        <v>8731</v>
      </c>
      <c r="P69" s="1">
        <v>7182</v>
      </c>
      <c r="Q69" s="1">
        <v>15913</v>
      </c>
      <c r="R69" s="1">
        <v>9027</v>
      </c>
      <c r="S69" s="1">
        <v>7425</v>
      </c>
      <c r="T69" s="1">
        <v>16452</v>
      </c>
      <c r="U69" s="1">
        <v>9288.5291106337318</v>
      </c>
      <c r="V69" s="1">
        <v>7640.1161677695218</v>
      </c>
      <c r="W69" s="1">
        <v>16928.645278403255</v>
      </c>
      <c r="X69" s="1">
        <v>9460.4683700409169</v>
      </c>
      <c r="Y69" s="1">
        <v>7781.5417799439256</v>
      </c>
      <c r="Z69" s="1">
        <v>17242.010149984846</v>
      </c>
      <c r="AA69" s="1">
        <v>9959.7424814859151</v>
      </c>
      <c r="AB69" s="1">
        <v>8192.2109144824335</v>
      </c>
      <c r="AC69" s="1">
        <v>18151.953395968354</v>
      </c>
    </row>
    <row r="70" spans="1:29" x14ac:dyDescent="0.35">
      <c r="A70" t="s">
        <v>165</v>
      </c>
      <c r="B70" t="s">
        <v>164</v>
      </c>
      <c r="C70" t="s">
        <v>164</v>
      </c>
      <c r="D70" t="s">
        <v>167</v>
      </c>
      <c r="E70" t="s">
        <v>166</v>
      </c>
      <c r="F70">
        <v>27744</v>
      </c>
      <c r="G70">
        <v>22698</v>
      </c>
      <c r="H70">
        <v>50442</v>
      </c>
      <c r="I70">
        <v>28825</v>
      </c>
      <c r="J70">
        <v>23583</v>
      </c>
      <c r="K70">
        <v>52408</v>
      </c>
      <c r="L70" s="1">
        <v>29882</v>
      </c>
      <c r="M70" s="1">
        <v>24448</v>
      </c>
      <c r="N70" s="1">
        <v>54330</v>
      </c>
      <c r="O70" s="1">
        <v>30884</v>
      </c>
      <c r="P70" s="1">
        <v>25268</v>
      </c>
      <c r="Q70" s="1">
        <v>56152</v>
      </c>
      <c r="R70" s="1">
        <v>31930</v>
      </c>
      <c r="S70" s="1">
        <v>26123</v>
      </c>
      <c r="T70" s="1">
        <v>58053</v>
      </c>
      <c r="U70" s="1">
        <v>32855.071951095058</v>
      </c>
      <c r="V70" s="1">
        <v>26879.832276180899</v>
      </c>
      <c r="W70" s="1">
        <v>59734.904227275954</v>
      </c>
      <c r="X70" s="1">
        <v>33463.249701496221</v>
      </c>
      <c r="Y70" s="1">
        <v>27377.40281716836</v>
      </c>
      <c r="Z70" s="1">
        <v>60840.652518664581</v>
      </c>
      <c r="AA70" s="1">
        <v>35229.265252447673</v>
      </c>
      <c r="AB70" s="1">
        <v>28822.239154077371</v>
      </c>
      <c r="AC70" s="1">
        <v>64051.504406525048</v>
      </c>
    </row>
    <row r="71" spans="1:29" x14ac:dyDescent="0.35">
      <c r="A71" t="s">
        <v>169</v>
      </c>
      <c r="B71" t="s">
        <v>168</v>
      </c>
      <c r="C71" t="s">
        <v>168</v>
      </c>
      <c r="D71" t="s">
        <v>167</v>
      </c>
      <c r="E71" t="s">
        <v>166</v>
      </c>
      <c r="F71">
        <v>15044</v>
      </c>
      <c r="G71">
        <v>12309</v>
      </c>
      <c r="H71">
        <v>27353</v>
      </c>
      <c r="I71">
        <v>15631</v>
      </c>
      <c r="J71">
        <v>12788</v>
      </c>
      <c r="K71">
        <v>28419</v>
      </c>
      <c r="L71" s="1">
        <v>16090</v>
      </c>
      <c r="M71" s="1">
        <v>13164</v>
      </c>
      <c r="N71" s="1">
        <v>29254</v>
      </c>
      <c r="O71" s="1">
        <v>16630</v>
      </c>
      <c r="P71" s="1">
        <v>13606</v>
      </c>
      <c r="Q71" s="1">
        <v>30236</v>
      </c>
      <c r="R71" s="1">
        <v>17193</v>
      </c>
      <c r="S71" s="1">
        <v>14067</v>
      </c>
      <c r="T71" s="1">
        <v>31260</v>
      </c>
      <c r="U71" s="1">
        <v>17691.113437368535</v>
      </c>
      <c r="V71" s="1">
        <v>14474.547357846983</v>
      </c>
      <c r="W71" s="1">
        <v>32165.660795215517</v>
      </c>
      <c r="X71" s="1">
        <v>18018.592299336815</v>
      </c>
      <c r="Y71" s="1">
        <v>14742.484608548304</v>
      </c>
      <c r="Z71" s="1">
        <v>32761.076907885119</v>
      </c>
      <c r="AA71" s="1">
        <v>18969.519495312645</v>
      </c>
      <c r="AB71" s="1">
        <v>15520.515950710347</v>
      </c>
      <c r="AC71" s="1">
        <v>34490.035446022994</v>
      </c>
    </row>
  </sheetData>
  <pageMargins left="0.7" right="0.7" top="0.75" bottom="0.75" header="0.3" footer="0.3"/>
  <pageSetup paperSize="9" orientation="portrait" horizontalDpi="1200" verticalDpi="1200" r:id="rId1"/>
  <legacyDrawing r:id="rId2"/>
  <tableParts count="1">
    <tablePart r:id="rId3"/>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96"/>
  <sheetViews>
    <sheetView workbookViewId="0">
      <selection activeCell="AF14" sqref="AF14"/>
    </sheetView>
  </sheetViews>
  <sheetFormatPr baseColWidth="10" defaultColWidth="8.81640625" defaultRowHeight="14.5" x14ac:dyDescent="0.35"/>
  <cols>
    <col min="1" max="1" width="14.453125" customWidth="1"/>
    <col min="2" max="2" width="24.7265625" customWidth="1"/>
    <col min="3" max="3" width="25.54296875" customWidth="1"/>
    <col min="4" max="4" width="24.54296875" customWidth="1"/>
    <col min="5" max="5" width="27.7265625" customWidth="1"/>
    <col min="6" max="6" width="19.26953125" hidden="1" customWidth="1"/>
    <col min="7" max="7" width="18.7265625" hidden="1" customWidth="1"/>
    <col min="8" max="8" width="20" customWidth="1"/>
    <col min="9" max="9" width="22" customWidth="1"/>
    <col min="10" max="10" width="16.81640625" bestFit="1" customWidth="1"/>
    <col min="11" max="11" width="11.81640625" customWidth="1"/>
    <col min="12" max="12" width="12.1796875" customWidth="1"/>
    <col min="13" max="13" width="10.81640625" customWidth="1"/>
    <col min="14" max="14" width="15.1796875" customWidth="1"/>
    <col min="15" max="15" width="13.7265625" customWidth="1"/>
    <col min="16" max="16" width="9.81640625" customWidth="1"/>
    <col min="17" max="17" width="12.26953125" customWidth="1"/>
    <col min="18" max="18" width="13.81640625" customWidth="1"/>
    <col min="19" max="19" width="11.7265625" customWidth="1"/>
    <col min="20" max="20" width="14.1796875" customWidth="1"/>
    <col min="21" max="21" width="15.26953125" customWidth="1"/>
    <col min="22" max="22" width="17.26953125" bestFit="1" customWidth="1"/>
    <col min="23" max="23" width="11.26953125" customWidth="1"/>
    <col min="24" max="24" width="14.453125" customWidth="1"/>
    <col min="25" max="25" width="14.1796875" customWidth="1"/>
    <col min="26" max="26" width="14.81640625" customWidth="1"/>
    <col min="27" max="27" width="19" customWidth="1"/>
    <col min="28" max="28" width="14.54296875" customWidth="1"/>
  </cols>
  <sheetData>
    <row r="1" spans="1:28" x14ac:dyDescent="0.35">
      <c r="K1" s="69" t="s">
        <v>253</v>
      </c>
      <c r="L1" s="69"/>
      <c r="M1" s="69"/>
      <c r="N1" s="68" t="s">
        <v>290</v>
      </c>
      <c r="O1" s="68"/>
      <c r="P1" s="68"/>
      <c r="Q1" s="69" t="s">
        <v>294</v>
      </c>
      <c r="R1" s="69"/>
      <c r="S1" s="69"/>
      <c r="T1" s="68" t="s">
        <v>295</v>
      </c>
      <c r="U1" s="68"/>
      <c r="V1" s="68"/>
      <c r="W1" s="69" t="s">
        <v>326</v>
      </c>
      <c r="X1" s="69"/>
      <c r="Y1" s="69"/>
      <c r="Z1" s="68" t="s">
        <v>328</v>
      </c>
      <c r="AA1" s="68"/>
      <c r="AB1" s="68"/>
    </row>
    <row r="2" spans="1:28" x14ac:dyDescent="0.35">
      <c r="A2" t="s">
        <v>1</v>
      </c>
      <c r="B2" t="s">
        <v>0</v>
      </c>
      <c r="C2" t="s">
        <v>2</v>
      </c>
      <c r="D2" t="s">
        <v>4</v>
      </c>
      <c r="E2" t="s">
        <v>3</v>
      </c>
      <c r="F2" t="s">
        <v>227</v>
      </c>
      <c r="G2" t="s">
        <v>228</v>
      </c>
      <c r="H2" t="s">
        <v>216</v>
      </c>
      <c r="I2" t="s">
        <v>217</v>
      </c>
      <c r="J2" t="s">
        <v>220</v>
      </c>
      <c r="K2" s="9" t="s">
        <v>284</v>
      </c>
      <c r="L2" s="9" t="s">
        <v>285</v>
      </c>
      <c r="M2" s="9" t="s">
        <v>286</v>
      </c>
      <c r="N2" s="9" t="s">
        <v>287</v>
      </c>
      <c r="O2" s="9" t="s">
        <v>288</v>
      </c>
      <c r="P2" s="9" t="s">
        <v>289</v>
      </c>
      <c r="Q2" s="9" t="s">
        <v>287</v>
      </c>
      <c r="R2" s="9" t="s">
        <v>288</v>
      </c>
      <c r="S2" s="9" t="s">
        <v>289</v>
      </c>
      <c r="T2" s="9" t="s">
        <v>296</v>
      </c>
      <c r="U2" s="9" t="s">
        <v>297</v>
      </c>
      <c r="V2" s="9" t="s">
        <v>298</v>
      </c>
      <c r="W2" s="9" t="s">
        <v>296</v>
      </c>
      <c r="X2" s="9" t="s">
        <v>297</v>
      </c>
      <c r="Y2" s="9" t="s">
        <v>298</v>
      </c>
      <c r="Z2" s="9" t="s">
        <v>329</v>
      </c>
      <c r="AA2" s="9" t="s">
        <v>330</v>
      </c>
      <c r="AB2" s="9" t="s">
        <v>331</v>
      </c>
    </row>
    <row r="3" spans="1:28" x14ac:dyDescent="0.35">
      <c r="A3" t="s">
        <v>6</v>
      </c>
      <c r="B3" t="s">
        <v>5</v>
      </c>
      <c r="C3" t="s">
        <v>5</v>
      </c>
      <c r="D3" t="s">
        <v>8</v>
      </c>
      <c r="E3" t="s">
        <v>7</v>
      </c>
      <c r="F3">
        <v>125463</v>
      </c>
      <c r="G3">
        <v>128277</v>
      </c>
      <c r="H3" s="1">
        <v>138064</v>
      </c>
      <c r="I3" s="1">
        <v>141159</v>
      </c>
      <c r="J3" s="1">
        <v>279223</v>
      </c>
      <c r="K3" s="28">
        <f>Table15[[#This Row],[Proj2020_Hommes]]/$J$6</f>
        <v>0.20014061333507288</v>
      </c>
      <c r="L3" s="28">
        <f>+Table15[[#This Row],[Proj2020_Femmes]]/$J$6</f>
        <v>0.2046271934593055</v>
      </c>
      <c r="M3" s="28">
        <f>+Table15[[#This Row],[Proj_2020_Total]]/$J$6</f>
        <v>0.40476780679437835</v>
      </c>
      <c r="N3" s="11">
        <f>+Table15[[#This Row],[Proj2020_Hommes2]]*$N$7</f>
        <v>142063.97287366076</v>
      </c>
      <c r="O3" s="11">
        <f>+Table15[[#This Row],[Proj2020_Femmes3]]*$N$7</f>
        <v>145248.64082507446</v>
      </c>
      <c r="P3" s="11">
        <f>+Table15[[#This Row],[Proj_2020_Total4]]*$N$7</f>
        <v>287312.61369873519</v>
      </c>
      <c r="Q3" s="29">
        <f>Table15[[#This Row],[Proj2021_Hommes22]]/$P$6</f>
        <v>0.20014061333507288</v>
      </c>
      <c r="R3" s="29">
        <f>Table15[[#This Row],[Proj2021_Femmes32]]/$P$6</f>
        <v>0.20462719345930547</v>
      </c>
      <c r="S3" s="29">
        <f>Table15[[#This Row],[Proj_2021_Total43]]/$P$6</f>
        <v>0.40476780679437829</v>
      </c>
      <c r="T3" s="12">
        <f>Q3*$V$6</f>
        <v>144693.70832406438</v>
      </c>
      <c r="U3" s="12">
        <f t="shared" ref="U3:V3" si="0">R3*$V$6</f>
        <v>147937.32742290967</v>
      </c>
      <c r="V3" s="12">
        <f t="shared" si="0"/>
        <v>292631.035746974</v>
      </c>
      <c r="W3" s="58">
        <f>T3/$V$6</f>
        <v>0.20014061333507291</v>
      </c>
      <c r="X3" s="58">
        <f t="shared" ref="X3:Y3" si="1">U3/$V$6</f>
        <v>0.20462719345930547</v>
      </c>
      <c r="Y3" s="58">
        <f t="shared" si="1"/>
        <v>0.40476780679437829</v>
      </c>
      <c r="Z3" s="11">
        <f>W3*$AB$6</f>
        <v>152329.88655853237</v>
      </c>
      <c r="AA3" s="11">
        <f t="shared" ref="AA3:AB3" si="2">X3*$AB$6</f>
        <v>155744.68693298663</v>
      </c>
      <c r="AB3" s="11">
        <f t="shared" si="2"/>
        <v>308074.57349151891</v>
      </c>
    </row>
    <row r="4" spans="1:28" x14ac:dyDescent="0.35">
      <c r="A4" t="s">
        <v>11</v>
      </c>
      <c r="B4" t="s">
        <v>10</v>
      </c>
      <c r="C4" t="s">
        <v>10</v>
      </c>
      <c r="D4" t="s">
        <v>8</v>
      </c>
      <c r="E4" t="s">
        <v>7</v>
      </c>
      <c r="F4">
        <v>107365</v>
      </c>
      <c r="G4">
        <v>124085</v>
      </c>
      <c r="H4" s="1">
        <v>118146</v>
      </c>
      <c r="I4" s="1">
        <v>136547</v>
      </c>
      <c r="J4" s="1">
        <v>254693</v>
      </c>
      <c r="K4" s="28">
        <f>Table15[[#This Row],[Proj2020_Hommes]]/$J$6</f>
        <v>0.17126704211876753</v>
      </c>
      <c r="L4" s="28">
        <f>+Table15[[#This Row],[Proj2020_Femmes]]/$J$6</f>
        <v>0.19794153674429393</v>
      </c>
      <c r="M4" s="28">
        <f>+Table15[[#This Row],[Proj_2020_Total]]/$J$6</f>
        <v>0.36920857886306147</v>
      </c>
      <c r="N4" s="11">
        <f>+Table15[[#This Row],[Proj2020_Hommes2]]*$N$7</f>
        <v>121568.91107842396</v>
      </c>
      <c r="O4" s="11">
        <f>+Table15[[#This Row],[Proj2020_Femmes3]]*$N$7</f>
        <v>140503.02254012457</v>
      </c>
      <c r="P4" s="11">
        <f>+Table15[[#This Row],[Proj_2020_Total4]]*$N$7</f>
        <v>262071.93361854853</v>
      </c>
      <c r="Q4" s="29">
        <f>Table15[[#This Row],[Proj2021_Hommes22]]/$P$6</f>
        <v>0.17126704211876753</v>
      </c>
      <c r="R4" s="29">
        <f>Table15[[#This Row],[Proj2021_Femmes32]]/$P$6</f>
        <v>0.19794153674429393</v>
      </c>
      <c r="S4" s="29">
        <f>Table15[[#This Row],[Proj_2021_Total43]]/$P$6</f>
        <v>0.36920857886306147</v>
      </c>
      <c r="T4" s="11">
        <f t="shared" ref="T4:T5" si="3">Q4*$V$6</f>
        <v>123819.26399101075</v>
      </c>
      <c r="U4" s="11">
        <f t="shared" ref="U4:U5" si="4">R4*$V$6</f>
        <v>143103.86335703745</v>
      </c>
      <c r="V4" s="11">
        <f t="shared" ref="V4:V5" si="5">S4*$V$6</f>
        <v>266923.12734804821</v>
      </c>
      <c r="W4" s="58">
        <f t="shared" ref="W4:W5" si="6">T4/$V$6</f>
        <v>0.17126704211876753</v>
      </c>
      <c r="X4" s="58">
        <f t="shared" ref="X4:X5" si="7">U4/$V$6</f>
        <v>0.19794153674429393</v>
      </c>
      <c r="Y4" s="58">
        <f t="shared" ref="Y4:Y5" si="8">V4/$V$6</f>
        <v>0.36920857886306147</v>
      </c>
      <c r="Z4" s="11">
        <f t="shared" ref="Z4:Z5" si="9">W4*$AB$6</f>
        <v>130353.7980744029</v>
      </c>
      <c r="AA4" s="11">
        <f t="shared" ref="AA4:AA5" si="10">X4*$AB$6</f>
        <v>150656.13787741857</v>
      </c>
      <c r="AB4" s="11">
        <f t="shared" ref="AB4:AB5" si="11">Y4*$AB$6</f>
        <v>281009.93595182145</v>
      </c>
    </row>
    <row r="5" spans="1:28" x14ac:dyDescent="0.35">
      <c r="A5" t="s">
        <v>13</v>
      </c>
      <c r="B5" t="s">
        <v>12</v>
      </c>
      <c r="C5" t="s">
        <v>12</v>
      </c>
      <c r="D5" t="s">
        <v>8</v>
      </c>
      <c r="E5" t="s">
        <v>7</v>
      </c>
      <c r="F5">
        <v>69296</v>
      </c>
      <c r="G5">
        <v>72394</v>
      </c>
      <c r="H5" s="1">
        <v>76256</v>
      </c>
      <c r="I5" s="1">
        <v>79663</v>
      </c>
      <c r="J5" s="1">
        <v>155919</v>
      </c>
      <c r="K5" s="28">
        <f>Table15[[#This Row],[Proj2020_Hommes]]/$J$6</f>
        <v>0.11054237607543833</v>
      </c>
      <c r="L5" s="28">
        <f>+Table15[[#This Row],[Proj2020_Femmes]]/$J$6</f>
        <v>0.11548123826712185</v>
      </c>
      <c r="M5" s="28">
        <f>+Table15[[#This Row],[Proj_2020_Total]]/$J$6</f>
        <v>0.22602361434256019</v>
      </c>
      <c r="N5" s="11">
        <f>+Table15[[#This Row],[Proj2020_Hommes2]]*$N$7</f>
        <v>78465.279257836053</v>
      </c>
      <c r="O5" s="11">
        <f>+Table15[[#This Row],[Proj2020_Femmes3]]*$N$7</f>
        <v>81970.986434077233</v>
      </c>
      <c r="P5" s="11">
        <f>+Table15[[#This Row],[Proj_2020_Total4]]*$N$7</f>
        <v>160436.26569191329</v>
      </c>
      <c r="Q5" s="29">
        <f>Table15[[#This Row],[Proj2021_Hommes22]]/$P$6</f>
        <v>0.11054237607543835</v>
      </c>
      <c r="R5" s="29">
        <f>Table15[[#This Row],[Proj2021_Femmes32]]/$P$6</f>
        <v>0.11548123826712187</v>
      </c>
      <c r="S5" s="29">
        <f>Table15[[#This Row],[Proj_2021_Total43]]/$P$6</f>
        <v>0.22602361434256021</v>
      </c>
      <c r="T5" s="12">
        <f t="shared" si="3"/>
        <v>79917.744103892794</v>
      </c>
      <c r="U5" s="12">
        <f t="shared" si="4"/>
        <v>83488.345160359997</v>
      </c>
      <c r="V5" s="12">
        <f t="shared" si="5"/>
        <v>163406.08926425278</v>
      </c>
      <c r="W5" s="58">
        <f t="shared" si="6"/>
        <v>0.11054237607543835</v>
      </c>
      <c r="X5" s="58">
        <f t="shared" si="7"/>
        <v>0.11548123826712188</v>
      </c>
      <c r="Y5" s="58">
        <f t="shared" si="8"/>
        <v>0.22602361434256021</v>
      </c>
      <c r="Z5" s="11">
        <f t="shared" si="9"/>
        <v>84135.385251821208</v>
      </c>
      <c r="AA5" s="11">
        <f t="shared" si="10"/>
        <v>87894.423983894172</v>
      </c>
      <c r="AB5" s="11">
        <f t="shared" si="11"/>
        <v>172029.80923571537</v>
      </c>
    </row>
    <row r="6" spans="1:28" x14ac:dyDescent="0.35">
      <c r="H6" s="1"/>
      <c r="I6" s="1"/>
      <c r="J6" s="23">
        <f>+J3+J4+J5</f>
        <v>689835</v>
      </c>
      <c r="K6" s="28">
        <f>Table15[[#This Row],[Proj2020_Hommes]]/$J$19</f>
        <v>0</v>
      </c>
      <c r="L6" s="28">
        <f>+Table15[[#This Row],[Proj2020_Femmes]]/$J$6</f>
        <v>0</v>
      </c>
      <c r="M6" s="28">
        <f>+Table15[[#This Row],[Proj_2020_Total]]/$J$6</f>
        <v>1</v>
      </c>
      <c r="N6" s="11">
        <f>+Table15[[#This Row],[Proj2020_Hommes2]]*$N$7</f>
        <v>0</v>
      </c>
      <c r="O6" s="11">
        <f>+Table15[[#This Row],[Proj2020_Femmes3]]*$N$7</f>
        <v>0</v>
      </c>
      <c r="P6" s="11">
        <f>+Table15[[#This Row],[Proj_2020_Total4]]*$N$7</f>
        <v>709820.81300919701</v>
      </c>
      <c r="Q6" s="9"/>
      <c r="R6" s="9"/>
      <c r="S6" s="9"/>
      <c r="T6" s="9"/>
      <c r="U6" s="9"/>
      <c r="V6" s="30">
        <v>722960.25235927501</v>
      </c>
      <c r="W6" s="58"/>
      <c r="X6" s="58"/>
      <c r="Y6" s="58"/>
      <c r="Z6" s="9"/>
      <c r="AA6" s="9"/>
      <c r="AB6" s="30">
        <v>761114.31867905578</v>
      </c>
    </row>
    <row r="7" spans="1:28" x14ac:dyDescent="0.35">
      <c r="H7" s="1"/>
      <c r="I7" s="1"/>
      <c r="J7" s="1"/>
      <c r="K7" s="11"/>
      <c r="L7" s="11"/>
      <c r="M7" s="11"/>
      <c r="N7" s="30">
        <v>709820.81300919701</v>
      </c>
      <c r="O7" s="11"/>
      <c r="P7" s="11"/>
      <c r="Q7" s="9"/>
      <c r="R7" s="9"/>
      <c r="S7" s="9"/>
      <c r="T7" s="9"/>
      <c r="U7" s="9"/>
      <c r="V7" s="9"/>
      <c r="W7" s="58"/>
      <c r="X7" s="58"/>
      <c r="Y7" s="58"/>
      <c r="Z7" s="9"/>
      <c r="AA7" s="9"/>
      <c r="AB7" s="9"/>
    </row>
    <row r="8" spans="1:28" x14ac:dyDescent="0.35">
      <c r="A8" t="s">
        <v>15</v>
      </c>
      <c r="B8" t="s">
        <v>14</v>
      </c>
      <c r="C8" t="s">
        <v>14</v>
      </c>
      <c r="D8" t="s">
        <v>16</v>
      </c>
      <c r="E8" t="s">
        <v>14</v>
      </c>
      <c r="F8">
        <v>47162</v>
      </c>
      <c r="G8">
        <v>40583</v>
      </c>
      <c r="H8" s="1">
        <v>54229</v>
      </c>
      <c r="I8" s="1">
        <v>46665</v>
      </c>
      <c r="J8" s="1">
        <v>100894</v>
      </c>
      <c r="K8" s="31">
        <f>Table15[[#This Row],[Proj2020_Hommes]]/$J$19</f>
        <v>8.5289593628405436E-2</v>
      </c>
      <c r="L8" s="31">
        <f>Table15[[#This Row],[Proj2020_Femmes]]/$J$10</f>
        <v>0.33789997320840243</v>
      </c>
      <c r="M8" s="31">
        <f>Table15[[#This Row],[Proj_2020_Total]]/$J$10</f>
        <v>0.73057066102836288</v>
      </c>
      <c r="N8" s="11">
        <v>55800.115779390348</v>
      </c>
      <c r="O8" s="11">
        <v>48016.972521072683</v>
      </c>
      <c r="P8" s="11">
        <v>103817.08830046303</v>
      </c>
      <c r="Q8" s="29">
        <f>Table15[[#This Row],[Proj2021_Hommes22]]/$P$10</f>
        <v>0.39267068781996045</v>
      </c>
      <c r="R8" s="29">
        <f>Table15[[#This Row],[Proj2021_Femmes32]]/$P$10</f>
        <v>0.33789997320840243</v>
      </c>
      <c r="S8" s="29">
        <f>Table15[[#This Row],[Proj_2021_Total43]]/$P$10</f>
        <v>0.73057066102836288</v>
      </c>
      <c r="T8" s="11">
        <f>Q8*$V$10</f>
        <v>56833.027499606615</v>
      </c>
      <c r="U8" s="11">
        <f t="shared" ref="U8:V8" si="12">R8*$V$10</f>
        <v>48905.811065465758</v>
      </c>
      <c r="V8" s="11">
        <f t="shared" si="12"/>
        <v>105738.83856507236</v>
      </c>
      <c r="W8" s="58">
        <f>T8/$V$10</f>
        <v>0.39267068781996045</v>
      </c>
      <c r="X8" s="58">
        <f t="shared" ref="X8:Y8" si="13">U8/$V$10</f>
        <v>0.33789997320840243</v>
      </c>
      <c r="Y8" s="58">
        <f t="shared" si="13"/>
        <v>0.73057066102836288</v>
      </c>
      <c r="Z8" s="11">
        <f>W8*$AB$10</f>
        <v>59832.37786955796</v>
      </c>
      <c r="AA8" s="11">
        <f t="shared" ref="AA8:AB8" si="14">X8*$AB$10</f>
        <v>51486.804353444139</v>
      </c>
      <c r="AB8" s="11">
        <f t="shared" si="14"/>
        <v>111319.18222300209</v>
      </c>
    </row>
    <row r="9" spans="1:28" x14ac:dyDescent="0.35">
      <c r="A9" t="s">
        <v>177</v>
      </c>
      <c r="B9" t="s">
        <v>176</v>
      </c>
      <c r="C9" t="s">
        <v>176</v>
      </c>
      <c r="D9" t="s">
        <v>16</v>
      </c>
      <c r="E9" t="s">
        <v>14</v>
      </c>
      <c r="F9">
        <v>16988</v>
      </c>
      <c r="G9">
        <v>15371</v>
      </c>
      <c r="H9" s="1">
        <v>19534</v>
      </c>
      <c r="I9" s="1">
        <v>17675</v>
      </c>
      <c r="J9" s="1">
        <v>37209</v>
      </c>
      <c r="K9" s="31">
        <f>Table15[[#This Row],[Proj2020_Hommes]]/$J$19</f>
        <v>3.0722434895300885E-2</v>
      </c>
      <c r="L9" s="31">
        <f>Table15[[#This Row],[Proj2020_Femmes]]/$J$10</f>
        <v>0.127984185716458</v>
      </c>
      <c r="M9" s="31">
        <f>Table15[[#This Row],[Proj_2020_Total]]/$J$10</f>
        <v>0.26942933897163712</v>
      </c>
      <c r="N9" s="11">
        <v>20099.936595449137</v>
      </c>
      <c r="O9" s="11">
        <v>18187.077880852023</v>
      </c>
      <c r="P9" s="11">
        <v>38287.014476301163</v>
      </c>
      <c r="Q9" s="29">
        <f>Table15[[#This Row],[Proj2021_Hommes22]]/$P$10</f>
        <v>0.14144515325517912</v>
      </c>
      <c r="R9" s="29">
        <f>Table15[[#This Row],[Proj2021_Femmes32]]/$P$10</f>
        <v>0.127984185716458</v>
      </c>
      <c r="S9" s="29">
        <f>Table15[[#This Row],[Proj_2021_Total43]]/$P$10</f>
        <v>0.26942933897163712</v>
      </c>
      <c r="T9" s="11">
        <f>Q9*$V$10</f>
        <v>20472.005000595913</v>
      </c>
      <c r="U9" s="11">
        <f t="shared" ref="U9" si="15">R9*$V$10</f>
        <v>18523.737503098837</v>
      </c>
      <c r="V9" s="11">
        <f t="shared" ref="V9" si="16">S9*$V$10</f>
        <v>38995.742503694746</v>
      </c>
      <c r="W9" s="58">
        <f>T9/$V$10</f>
        <v>0.14144515325517912</v>
      </c>
      <c r="X9" s="58">
        <f t="shared" ref="X9" si="17">U9/$V$10</f>
        <v>0.127984185716458</v>
      </c>
      <c r="Y9" s="58">
        <f t="shared" ref="Y9" si="18">V9/$V$10</f>
        <v>0.26942933897163712</v>
      </c>
      <c r="Z9" s="11">
        <f>W9*$AB$10</f>
        <v>21552.410505521868</v>
      </c>
      <c r="AA9" s="11">
        <f t="shared" ref="AA9" si="19">X9*$AB$10</f>
        <v>19501.323624710709</v>
      </c>
      <c r="AB9" s="11">
        <f t="shared" ref="AB9" si="20">Y9*$AB$10</f>
        <v>41053.734130232573</v>
      </c>
    </row>
    <row r="10" spans="1:28" x14ac:dyDescent="0.35">
      <c r="H10" s="1"/>
      <c r="I10" s="1"/>
      <c r="J10" s="23">
        <f>J9+J8</f>
        <v>138103</v>
      </c>
      <c r="K10" s="28"/>
      <c r="L10" s="11"/>
      <c r="M10" s="11"/>
      <c r="N10" s="30">
        <f>[1]Sheet1!$D$27</f>
        <v>142104.10277676419</v>
      </c>
      <c r="O10" s="11"/>
      <c r="P10" s="11">
        <f>P9+P8</f>
        <v>142104.10277676419</v>
      </c>
      <c r="Q10" s="9"/>
      <c r="R10" s="9"/>
      <c r="S10" s="9"/>
      <c r="T10" s="9"/>
      <c r="U10" s="9"/>
      <c r="V10" s="30">
        <v>144734.58106876712</v>
      </c>
      <c r="W10" s="58"/>
      <c r="X10" s="58"/>
      <c r="Y10" s="58"/>
      <c r="Z10" s="9"/>
      <c r="AA10" s="9"/>
      <c r="AB10" s="30">
        <v>152372.91635323467</v>
      </c>
    </row>
    <row r="11" spans="1:28" x14ac:dyDescent="0.35">
      <c r="A11" t="s">
        <v>18</v>
      </c>
      <c r="B11" t="s">
        <v>17</v>
      </c>
      <c r="C11" t="s">
        <v>17</v>
      </c>
      <c r="D11" t="s">
        <v>20</v>
      </c>
      <c r="E11" t="s">
        <v>19</v>
      </c>
      <c r="F11">
        <v>135091</v>
      </c>
      <c r="G11">
        <v>134062</v>
      </c>
      <c r="H11" s="1">
        <v>153789</v>
      </c>
      <c r="I11" s="1">
        <v>152617</v>
      </c>
      <c r="J11" s="1">
        <v>306406</v>
      </c>
      <c r="K11" s="31">
        <f>Table15[[#This Row],[Proj2020_Hommes]]/$J$19</f>
        <v>0.24187429815262762</v>
      </c>
      <c r="L11" s="31">
        <f>Table15[[#This Row],[Proj2020_Femmes]]/$J$14</f>
        <v>0.18059302699837176</v>
      </c>
      <c r="M11" s="31">
        <f>Table15[[#This Row],[Proj_2020_Total]]/$J$14</f>
        <v>0.36257289181718355</v>
      </c>
      <c r="N11" s="11">
        <v>158244.55559934099</v>
      </c>
      <c r="O11" s="11">
        <v>157038.60056248904</v>
      </c>
      <c r="P11" s="11">
        <v>315283.15616183006</v>
      </c>
      <c r="Q11" s="29">
        <f>Table15[[#This Row],[Proj2021_Hommes22]]/$P$14</f>
        <v>0.18197986481881173</v>
      </c>
      <c r="R11" s="29">
        <f>Table15[[#This Row],[Proj2021_Femmes32]]/$P$14</f>
        <v>0.18059302699837176</v>
      </c>
      <c r="S11" s="29">
        <f>Table15[[#This Row],[Proj_2021_Total43]]/$P$14</f>
        <v>0.36257289181718355</v>
      </c>
      <c r="T11" s="11">
        <f>Q11*$V$14</f>
        <v>161173.80859202641</v>
      </c>
      <c r="U11" s="11">
        <f t="shared" ref="U11:V11" si="21">R11*$V$14</f>
        <v>159945.5302127545</v>
      </c>
      <c r="V11" s="11">
        <f t="shared" si="21"/>
        <v>321119.33880478097</v>
      </c>
      <c r="W11" s="58">
        <f>T11/$V$14</f>
        <v>0.18197986481881173</v>
      </c>
      <c r="X11" s="58">
        <f t="shared" ref="X11:Y11" si="22">U11/$V$14</f>
        <v>0.18059302699837176</v>
      </c>
      <c r="Y11" s="58">
        <f t="shared" si="22"/>
        <v>0.36257289181718355</v>
      </c>
      <c r="Z11" s="11">
        <f>W11*$AB$14</f>
        <v>169679.72044812643</v>
      </c>
      <c r="AA11" s="11">
        <f t="shared" ref="AA11:AB11" si="23">X11*$AB$14</f>
        <v>168386.61995091793</v>
      </c>
      <c r="AB11" s="11">
        <f t="shared" si="23"/>
        <v>338066.34039904445</v>
      </c>
    </row>
    <row r="12" spans="1:28" x14ac:dyDescent="0.35">
      <c r="A12" t="s">
        <v>22</v>
      </c>
      <c r="B12" t="s">
        <v>21</v>
      </c>
      <c r="C12" t="s">
        <v>21</v>
      </c>
      <c r="D12" t="s">
        <v>20</v>
      </c>
      <c r="E12" t="s">
        <v>19</v>
      </c>
      <c r="F12">
        <v>115724</v>
      </c>
      <c r="G12">
        <v>119011</v>
      </c>
      <c r="H12" s="1">
        <v>131741</v>
      </c>
      <c r="I12" s="1">
        <v>135483</v>
      </c>
      <c r="J12" s="1">
        <v>267224</v>
      </c>
      <c r="K12" s="31">
        <f>Table15[[#This Row],[Proj2020_Hommes]]/$J$19</f>
        <v>0.20719792646369581</v>
      </c>
      <c r="L12" s="31">
        <f>Table15[[#This Row],[Proj2020_Femmes]]/$J$14</f>
        <v>0.16031821538112007</v>
      </c>
      <c r="M12" s="31">
        <f>Table15[[#This Row],[Proj_2020_Total]]/$J$14</f>
        <v>0.31620848953008446</v>
      </c>
      <c r="N12" s="11">
        <v>135557.78371153193</v>
      </c>
      <c r="O12" s="11">
        <v>139408.19646571288</v>
      </c>
      <c r="P12" s="11">
        <v>274965.98017724481</v>
      </c>
      <c r="Q12" s="29">
        <f>Table15[[#This Row],[Proj2021_Hommes22]]/$P$14</f>
        <v>0.15589027414896436</v>
      </c>
      <c r="R12" s="29">
        <f>Table15[[#This Row],[Proj2021_Femmes32]]/$P$14</f>
        <v>0.16031821538112007</v>
      </c>
      <c r="S12" s="29">
        <f>Table15[[#This Row],[Proj_2021_Total43]]/$P$14</f>
        <v>0.31620848953008446</v>
      </c>
      <c r="T12" s="11">
        <f t="shared" ref="T12:T13" si="24">Q12*$V$14</f>
        <v>138067.08358674651</v>
      </c>
      <c r="U12" s="11">
        <f t="shared" ref="U12:U13" si="25">R12*$V$14</f>
        <v>141988.77104001923</v>
      </c>
      <c r="V12" s="11">
        <f t="shared" ref="V12:V13" si="26">S12*$V$14</f>
        <v>280055.85462676577</v>
      </c>
      <c r="W12" s="58">
        <f t="shared" ref="W12:W13" si="27">T12/$V$14</f>
        <v>0.15589027414896436</v>
      </c>
      <c r="X12" s="58">
        <f t="shared" ref="X12:X13" si="28">U12/$V$14</f>
        <v>0.16031821538112004</v>
      </c>
      <c r="Y12" s="58">
        <f t="shared" ref="Y12:Y13" si="29">V12/$V$14</f>
        <v>0.31620848953008446</v>
      </c>
      <c r="Z12" s="11">
        <f t="shared" ref="Z12:Z13" si="30">W12*$AB$14</f>
        <v>145353.54317640813</v>
      </c>
      <c r="AA12" s="11">
        <f t="shared" ref="AA12:AA13" si="31">X12*$AB$14</f>
        <v>149482.1968116934</v>
      </c>
      <c r="AB12" s="11">
        <f t="shared" ref="AB12:AB13" si="32">Y12*$AB$14</f>
        <v>294835.73998810159</v>
      </c>
    </row>
    <row r="13" spans="1:28" x14ac:dyDescent="0.35">
      <c r="A13" t="s">
        <v>24</v>
      </c>
      <c r="B13" t="s">
        <v>23</v>
      </c>
      <c r="C13" t="s">
        <v>23</v>
      </c>
      <c r="D13" t="s">
        <v>20</v>
      </c>
      <c r="E13" t="s">
        <v>19</v>
      </c>
      <c r="F13">
        <v>117519</v>
      </c>
      <c r="G13">
        <v>120935</v>
      </c>
      <c r="H13" s="1">
        <v>133785</v>
      </c>
      <c r="I13" s="1">
        <v>137673</v>
      </c>
      <c r="J13" s="1">
        <v>271458</v>
      </c>
      <c r="K13" s="31">
        <f>Table15[[#This Row],[Proj2020_Hommes]]/$J$19</f>
        <v>0.21041266266344982</v>
      </c>
      <c r="L13" s="31">
        <f>Table15[[#This Row],[Proj2020_Femmes]]/$J$14</f>
        <v>0.16290966147904123</v>
      </c>
      <c r="M13" s="31">
        <f>Table15[[#This Row],[Proj_2020_Total]]/$J$14</f>
        <v>0.32121861865273205</v>
      </c>
      <c r="N13" s="11">
        <v>137661.00222290176</v>
      </c>
      <c r="O13" s="11">
        <v>141661.64487075197</v>
      </c>
      <c r="P13" s="11">
        <v>279322.64709365374</v>
      </c>
      <c r="Q13" s="29">
        <f>Table15[[#This Row],[Proj2021_Hommes22]]/$P$14</f>
        <v>0.15830895717369081</v>
      </c>
      <c r="R13" s="29">
        <f>Table15[[#This Row],[Proj2021_Femmes32]]/$P$14</f>
        <v>0.16290966147904123</v>
      </c>
      <c r="S13" s="29">
        <f>Table15[[#This Row],[Proj_2021_Total43]]/$P$14</f>
        <v>0.32121861865273205</v>
      </c>
      <c r="T13" s="11">
        <f t="shared" si="24"/>
        <v>140209.23461680787</v>
      </c>
      <c r="U13" s="11">
        <f t="shared" si="25"/>
        <v>144283.9328579421</v>
      </c>
      <c r="V13" s="11">
        <f t="shared" si="26"/>
        <v>284493.16747474996</v>
      </c>
      <c r="W13" s="58">
        <f t="shared" si="27"/>
        <v>0.15830895717369084</v>
      </c>
      <c r="X13" s="58">
        <f t="shared" si="28"/>
        <v>0.16290966147904123</v>
      </c>
      <c r="Y13" s="58">
        <f t="shared" si="29"/>
        <v>0.32121861865273205</v>
      </c>
      <c r="Z13" s="11">
        <f t="shared" si="30"/>
        <v>147608.7457500381</v>
      </c>
      <c r="AA13" s="11">
        <f t="shared" si="31"/>
        <v>151898.48528343975</v>
      </c>
      <c r="AB13" s="11">
        <f t="shared" si="32"/>
        <v>299507.23103347782</v>
      </c>
    </row>
    <row r="14" spans="1:28" x14ac:dyDescent="0.35">
      <c r="H14" s="1"/>
      <c r="I14" s="1"/>
      <c r="J14" s="23">
        <f>J13+J12+J11</f>
        <v>845088</v>
      </c>
      <c r="K14" s="11"/>
      <c r="L14" s="11"/>
      <c r="M14" s="11"/>
      <c r="N14" s="30">
        <f>[1]Sheet1!$D$28</f>
        <v>869571.78343272861</v>
      </c>
      <c r="O14" s="11"/>
      <c r="P14" s="11">
        <f>P13+P12+P11</f>
        <v>869571.78343272861</v>
      </c>
      <c r="Q14" s="9"/>
      <c r="R14" s="9"/>
      <c r="S14" s="9"/>
      <c r="T14" s="9"/>
      <c r="U14" s="9"/>
      <c r="V14" s="30">
        <v>885668.36090629664</v>
      </c>
      <c r="W14" s="9"/>
      <c r="X14" s="9"/>
      <c r="Y14" s="9"/>
      <c r="Z14" s="9"/>
      <c r="AA14" s="9"/>
      <c r="AB14" s="30">
        <v>932409.3114206238</v>
      </c>
    </row>
    <row r="15" spans="1:28" x14ac:dyDescent="0.35">
      <c r="A15" t="s">
        <v>25</v>
      </c>
      <c r="B15" t="s">
        <v>188</v>
      </c>
      <c r="C15" t="s">
        <v>26</v>
      </c>
      <c r="D15" t="s">
        <v>27</v>
      </c>
      <c r="E15" t="s">
        <v>26</v>
      </c>
      <c r="F15">
        <v>108267</v>
      </c>
      <c r="G15">
        <v>113049</v>
      </c>
      <c r="H15" s="1">
        <v>99632</v>
      </c>
      <c r="I15" s="1">
        <v>104034</v>
      </c>
      <c r="J15" s="1">
        <v>203666</v>
      </c>
      <c r="K15" s="31">
        <f>Table15[[#This Row],[Proj2020_Hommes]]/$J$19</f>
        <v>0.15669794376413523</v>
      </c>
      <c r="L15" s="31">
        <f>Table15[[#This Row],[Proj2020_Femmes]]/$J$19</f>
        <v>0.16362126507104188</v>
      </c>
      <c r="M15" s="31">
        <f>Table15[[#This Row],[Proj_2020_Total]]/$J$19</f>
        <v>0.32031920883517712</v>
      </c>
      <c r="N15" s="11">
        <v>102518.52579491083</v>
      </c>
      <c r="O15" s="11">
        <v>107048.05998622686</v>
      </c>
      <c r="P15" s="11">
        <v>209566.58578113769</v>
      </c>
      <c r="Q15" s="29">
        <f>Table15[[#This Row],[Proj2021_Hommes22]]/$P$19</f>
        <v>0.15669794376413523</v>
      </c>
      <c r="R15" s="29">
        <f>Table15[[#This Row],[Proj2021_Femmes32]]/$P$19</f>
        <v>0.16362126507104188</v>
      </c>
      <c r="S15" s="29">
        <f>Table15[[#This Row],[Proj_2021_Total43]]/$P$19</f>
        <v>0.32031920883517712</v>
      </c>
      <c r="T15" s="11">
        <f>Q15*$V$19</f>
        <v>104416.23846725564</v>
      </c>
      <c r="U15" s="11">
        <f t="shared" ref="U15:V15" si="33">R15*$V$19</f>
        <v>109029.61852319007</v>
      </c>
      <c r="V15" s="11">
        <f t="shared" si="33"/>
        <v>213445.8569904457</v>
      </c>
      <c r="W15" s="58">
        <f>T15/$V$19</f>
        <v>0.15669794376413523</v>
      </c>
      <c r="X15" s="58">
        <f t="shared" ref="X15:Y15" si="34">U15/$V$19</f>
        <v>0.16362126507104188</v>
      </c>
      <c r="Y15" s="58">
        <f t="shared" si="34"/>
        <v>0.32031920883517712</v>
      </c>
      <c r="Z15" s="11">
        <f>W15*$AB$19</f>
        <v>109926.78219955742</v>
      </c>
      <c r="AA15" s="11">
        <f t="shared" ref="AA15:AB15" si="35">X15*$AB$19</f>
        <v>114783.63236057448</v>
      </c>
      <c r="AB15" s="11">
        <f t="shared" si="35"/>
        <v>224710.4145601319</v>
      </c>
    </row>
    <row r="16" spans="1:28" x14ac:dyDescent="0.35">
      <c r="A16" t="s">
        <v>29</v>
      </c>
      <c r="B16" t="s">
        <v>28</v>
      </c>
      <c r="C16" t="s">
        <v>28</v>
      </c>
      <c r="D16" t="s">
        <v>27</v>
      </c>
      <c r="E16" t="s">
        <v>26</v>
      </c>
      <c r="F16">
        <v>104673</v>
      </c>
      <c r="G16">
        <v>110208</v>
      </c>
      <c r="H16" s="1">
        <v>96325</v>
      </c>
      <c r="I16" s="1">
        <v>101420</v>
      </c>
      <c r="J16" s="1">
        <v>197745</v>
      </c>
      <c r="K16" s="31">
        <f>Table15[[#This Row],[Proj2020_Hommes]]/$J$19</f>
        <v>0.15149680256423967</v>
      </c>
      <c r="L16" s="31">
        <f>Table15[[#This Row],[Proj2020_Femmes]]/$J$19</f>
        <v>0.15951005155530951</v>
      </c>
      <c r="M16" s="31">
        <f>Table15[[#This Row],[Proj_2020_Total]]/$J$19</f>
        <v>0.3110068541195492</v>
      </c>
      <c r="N16" s="11">
        <v>99115.715806114371</v>
      </c>
      <c r="O16" s="11">
        <v>104358.32750642221</v>
      </c>
      <c r="P16" s="11">
        <v>203474.04331253661</v>
      </c>
      <c r="Q16" s="29">
        <f>Table15[[#This Row],[Proj2021_Hommes22]]/$P$19</f>
        <v>0.15149680256423967</v>
      </c>
      <c r="R16" s="29">
        <f>Table15[[#This Row],[Proj2021_Femmes32]]/$P$19</f>
        <v>0.15951005155530951</v>
      </c>
      <c r="S16" s="29">
        <f>Table15[[#This Row],[Proj_2021_Total43]]/$P$19</f>
        <v>0.3110068541195492</v>
      </c>
      <c r="T16" s="11">
        <f t="shared" ref="T16:T18" si="36">Q16*$V$19</f>
        <v>100950.43932028263</v>
      </c>
      <c r="U16" s="11">
        <f t="shared" ref="U16:U18" si="37">R16*$V$19</f>
        <v>106290.09660901185</v>
      </c>
      <c r="V16" s="11">
        <f t="shared" ref="V16:V18" si="38">S16*$V$19</f>
        <v>207240.53592929451</v>
      </c>
      <c r="W16" s="58">
        <f t="shared" ref="W16:W18" si="39">T16/$V$19</f>
        <v>0.15149680256423967</v>
      </c>
      <c r="X16" s="58">
        <f t="shared" ref="X16:X18" si="40">U16/$V$19</f>
        <v>0.15951005155530951</v>
      </c>
      <c r="Y16" s="58">
        <f t="shared" ref="Y16:Y18" si="41">V16/$V$19</f>
        <v>0.3110068541195492</v>
      </c>
      <c r="Z16" s="11">
        <f t="shared" ref="Z16:Z18" si="42">W16*$AB$19</f>
        <v>106278.07627441353</v>
      </c>
      <c r="AA16" s="11">
        <f t="shared" ref="AA16:AA18" si="43">X16*$AB$19</f>
        <v>111899.53278744896</v>
      </c>
      <c r="AB16" s="11">
        <f t="shared" ref="AB16:AB18" si="44">Y16*$AB$19</f>
        <v>218177.60906186249</v>
      </c>
    </row>
    <row r="17" spans="1:28" x14ac:dyDescent="0.35">
      <c r="A17" t="s">
        <v>31</v>
      </c>
      <c r="B17" t="s">
        <v>30</v>
      </c>
      <c r="C17" t="s">
        <v>30</v>
      </c>
      <c r="D17" t="s">
        <v>27</v>
      </c>
      <c r="E17" t="s">
        <v>26</v>
      </c>
      <c r="F17">
        <v>65394</v>
      </c>
      <c r="G17">
        <v>67528</v>
      </c>
      <c r="H17" s="1">
        <v>60180</v>
      </c>
      <c r="I17" s="1">
        <v>62142</v>
      </c>
      <c r="J17" s="1">
        <v>122322</v>
      </c>
      <c r="K17" s="31">
        <f>Table15[[#This Row],[Proj2020_Hommes]]/$J$19</f>
        <v>9.464913136066383E-2</v>
      </c>
      <c r="L17" s="31">
        <f>Table15[[#This Row],[Proj2020_Femmes]]/$J$19</f>
        <v>9.7734900648294654E-2</v>
      </c>
      <c r="M17" s="31">
        <f>Table15[[#This Row],[Proj_2020_Total]]/$J$19</f>
        <v>0.19238403200895848</v>
      </c>
      <c r="N17" s="11">
        <v>61923.527404224893</v>
      </c>
      <c r="O17" s="11">
        <v>63942.370221890058</v>
      </c>
      <c r="P17" s="11">
        <v>125865.89762611495</v>
      </c>
      <c r="Q17" s="29">
        <f>Table15[[#This Row],[Proj2021_Hommes22]]/$P$19</f>
        <v>9.464913136066383E-2</v>
      </c>
      <c r="R17" s="29">
        <f>Table15[[#This Row],[Proj2021_Femmes32]]/$P$19</f>
        <v>9.7734900648294654E-2</v>
      </c>
      <c r="S17" s="29">
        <f>Table15[[#This Row],[Proj_2021_Total43]]/$P$19</f>
        <v>0.19238403200895848</v>
      </c>
      <c r="T17" s="11">
        <f t="shared" si="36"/>
        <v>63069.789133606115</v>
      </c>
      <c r="U17" s="11">
        <f t="shared" si="37"/>
        <v>65126.002597882216</v>
      </c>
      <c r="V17" s="11">
        <f t="shared" si="38"/>
        <v>128195.79173148832</v>
      </c>
      <c r="W17" s="58">
        <f t="shared" si="39"/>
        <v>9.464913136066383E-2</v>
      </c>
      <c r="X17" s="58">
        <f t="shared" si="40"/>
        <v>9.7734900648294654E-2</v>
      </c>
      <c r="Y17" s="58">
        <f t="shared" si="41"/>
        <v>0.19238403200895848</v>
      </c>
      <c r="Z17" s="11">
        <f t="shared" si="42"/>
        <v>66398.283209906105</v>
      </c>
      <c r="AA17" s="11">
        <f t="shared" si="43"/>
        <v>68563.0128818542</v>
      </c>
      <c r="AB17" s="11">
        <f t="shared" si="44"/>
        <v>134961.2960917603</v>
      </c>
    </row>
    <row r="18" spans="1:28" x14ac:dyDescent="0.35">
      <c r="A18" t="s">
        <v>32</v>
      </c>
      <c r="B18" t="s">
        <v>189</v>
      </c>
      <c r="C18" t="s">
        <v>33</v>
      </c>
      <c r="D18" t="s">
        <v>27</v>
      </c>
      <c r="E18" t="s">
        <v>26</v>
      </c>
      <c r="F18">
        <v>56874</v>
      </c>
      <c r="G18">
        <v>64928</v>
      </c>
      <c r="H18" s="1">
        <v>52339</v>
      </c>
      <c r="I18" s="1">
        <v>59750</v>
      </c>
      <c r="J18" s="1">
        <v>112089</v>
      </c>
      <c r="K18" s="31">
        <f>Table15[[#This Row],[Proj2020_Hommes]]/$J$19</f>
        <v>8.2317063580687674E-2</v>
      </c>
      <c r="L18" s="31">
        <f>Table15[[#This Row],[Proj2020_Femmes]]/$J$19</f>
        <v>9.3972841455627523E-2</v>
      </c>
      <c r="M18" s="31">
        <f>Table15[[#This Row],[Proj_2020_Total]]/$J$19</f>
        <v>0.1762899050363152</v>
      </c>
      <c r="N18" s="11">
        <v>53855.358936685385</v>
      </c>
      <c r="O18" s="11">
        <v>61481.069498212659</v>
      </c>
      <c r="P18" s="11">
        <v>115336.42843489804</v>
      </c>
      <c r="Q18" s="29">
        <f>Table15[[#This Row],[Proj2021_Hommes22]]/$P$19</f>
        <v>8.2317063580687674E-2</v>
      </c>
      <c r="R18" s="29">
        <f>Table15[[#This Row],[Proj2021_Femmes32]]/$P$19</f>
        <v>9.3972841455627523E-2</v>
      </c>
      <c r="S18" s="29">
        <f>Table15[[#This Row],[Proj_2021_Total43]]/$P$19</f>
        <v>0.1762899050363152</v>
      </c>
      <c r="T18" s="11">
        <f t="shared" si="36"/>
        <v>54852.271410166344</v>
      </c>
      <c r="U18" s="11">
        <f t="shared" si="37"/>
        <v>62619.140922781087</v>
      </c>
      <c r="V18" s="11">
        <f t="shared" si="38"/>
        <v>117471.41233294742</v>
      </c>
      <c r="W18" s="58">
        <f t="shared" si="39"/>
        <v>8.2317063580687674E-2</v>
      </c>
      <c r="X18" s="58">
        <f t="shared" si="40"/>
        <v>9.3972841455627523E-2</v>
      </c>
      <c r="Y18" s="58">
        <f t="shared" si="41"/>
        <v>0.1762899050363152</v>
      </c>
      <c r="Z18" s="11">
        <f t="shared" si="42"/>
        <v>57747.087818598804</v>
      </c>
      <c r="AA18" s="11">
        <f t="shared" si="43"/>
        <v>65923.852140111179</v>
      </c>
      <c r="AB18" s="11">
        <f t="shared" si="44"/>
        <v>123670.93995870998</v>
      </c>
    </row>
    <row r="19" spans="1:28" x14ac:dyDescent="0.35">
      <c r="H19" s="1"/>
      <c r="I19" s="1"/>
      <c r="J19" s="23">
        <f>J18+J17+J16+J15</f>
        <v>635822</v>
      </c>
      <c r="K19" s="11"/>
      <c r="L19" s="11"/>
      <c r="M19" s="11"/>
      <c r="N19" s="30">
        <f>[1]Sheet1!$D$29</f>
        <v>654242.95515468728</v>
      </c>
      <c r="O19" s="11"/>
      <c r="P19" s="11">
        <f>P18+P17+P16+P15</f>
        <v>654242.95515468728</v>
      </c>
      <c r="Q19" s="9"/>
      <c r="R19" s="9"/>
      <c r="S19" s="9"/>
      <c r="T19" s="9"/>
      <c r="U19" s="9"/>
      <c r="V19" s="30">
        <v>666353.59698417597</v>
      </c>
      <c r="W19" s="9"/>
      <c r="X19" s="9"/>
      <c r="Y19" s="9"/>
      <c r="Z19" s="9"/>
      <c r="AA19" s="9"/>
      <c r="AB19" s="30">
        <v>701520.25967246469</v>
      </c>
    </row>
    <row r="20" spans="1:28" x14ac:dyDescent="0.35">
      <c r="A20" t="s">
        <v>35</v>
      </c>
      <c r="B20" t="s">
        <v>34</v>
      </c>
      <c r="C20" t="s">
        <v>34</v>
      </c>
      <c r="D20" t="s">
        <v>36</v>
      </c>
      <c r="E20" t="s">
        <v>39</v>
      </c>
      <c r="F20">
        <v>146748</v>
      </c>
      <c r="G20">
        <v>146428</v>
      </c>
      <c r="H20" s="1">
        <v>136748</v>
      </c>
      <c r="I20" s="1">
        <v>136449</v>
      </c>
      <c r="J20" s="1">
        <v>273197</v>
      </c>
      <c r="K20" s="31">
        <f>Table15[[#This Row],[Proj2020_Hommes]]/$J$23</f>
        <v>0.16631518008518381</v>
      </c>
      <c r="L20" s="31">
        <f>Table15[[#This Row],[Proj2020_Femmes]]/$J$23</f>
        <v>0.16595153133825172</v>
      </c>
      <c r="M20" s="31">
        <f>Table15[[#This Row],[Proj_2020_Total]]/$J$23</f>
        <v>0.3322667114234355</v>
      </c>
      <c r="N20" s="11">
        <f>Table15[[#This Row],[Proj2020_Hommes2]]*$N$23</f>
        <v>140710.01702053103</v>
      </c>
      <c r="O20" s="11">
        <f>Table15[[#This Row],[Proj2020_Femmes3]]*$N$23</f>
        <v>140402.35405588703</v>
      </c>
      <c r="P20" s="11">
        <f>Table15[[#This Row],[Proj_2020_Total4]]*$N$23</f>
        <v>281112.37107641803</v>
      </c>
      <c r="Q20" s="29">
        <f>Table15[[#This Row],[Proj2021_Hommes22]]/$P$23</f>
        <v>0.16631518008518381</v>
      </c>
      <c r="R20" s="29">
        <f>Table15[[#This Row],[Proj2021_Femmes32]]/$P$23</f>
        <v>0.16595153133825172</v>
      </c>
      <c r="S20" s="29">
        <f>Table15[[#This Row],[Proj_2021_Total43]]/$P$23</f>
        <v>0.3322667114234355</v>
      </c>
      <c r="T20" s="11">
        <f>Q20*$V$23</f>
        <v>143314.68949660531</v>
      </c>
      <c r="U20" s="11">
        <f t="shared" ref="U20:V20" si="45">R20*$V$23</f>
        <v>143001.33140610685</v>
      </c>
      <c r="V20" s="11">
        <f t="shared" si="45"/>
        <v>286316.02090271213</v>
      </c>
      <c r="W20" s="58">
        <f>T20/$V$23</f>
        <v>0.16631518008518381</v>
      </c>
      <c r="X20" s="58">
        <f t="shared" ref="X20:Y20" si="46">U20/$V$23</f>
        <v>0.16595153133825175</v>
      </c>
      <c r="Y20" s="58">
        <f t="shared" si="46"/>
        <v>0.3322667114234355</v>
      </c>
      <c r="Z20" s="11">
        <f>W20*$AB$23</f>
        <v>150878.09031955252</v>
      </c>
      <c r="AA20" s="11">
        <f t="shared" ref="AA20:AB20" si="47">X20*$AB$23</f>
        <v>150548.19482561079</v>
      </c>
      <c r="AB20" s="11">
        <f t="shared" si="47"/>
        <v>301426.28514516325</v>
      </c>
    </row>
    <row r="21" spans="1:28" x14ac:dyDescent="0.35">
      <c r="A21" t="s">
        <v>38</v>
      </c>
      <c r="B21" t="s">
        <v>37</v>
      </c>
      <c r="C21" t="s">
        <v>37</v>
      </c>
      <c r="D21" t="s">
        <v>36</v>
      </c>
      <c r="E21" t="s">
        <v>39</v>
      </c>
      <c r="F21">
        <v>119612</v>
      </c>
      <c r="G21">
        <v>122112</v>
      </c>
      <c r="H21" s="1">
        <v>163962</v>
      </c>
      <c r="I21" s="1">
        <v>167388</v>
      </c>
      <c r="J21" s="1">
        <v>331350</v>
      </c>
      <c r="K21" s="31">
        <f>Table15[[#This Row],[Proj2020_Hommes]]/$J$23</f>
        <v>0.19941329713872896</v>
      </c>
      <c r="L21" s="31">
        <f>Table15[[#This Row],[Proj2020_Femmes]]/$J$23</f>
        <v>0.20358005502163648</v>
      </c>
      <c r="M21" s="31">
        <f>Table15[[#This Row],[Proj_2020_Total]]/$J$23</f>
        <v>0.40299335216036547</v>
      </c>
      <c r="N21" s="11">
        <f>Table15[[#This Row],[Proj2020_Hommes2]]*$N$23</f>
        <v>168712.49166876523</v>
      </c>
      <c r="O21" s="11">
        <f>Table15[[#This Row],[Proj2020_Femmes3]]*$N$23</f>
        <v>172237.75359809757</v>
      </c>
      <c r="P21" s="11">
        <f>Table15[[#This Row],[Proj_2020_Total4]]*$N$23</f>
        <v>340950.2452668628</v>
      </c>
      <c r="Q21" s="29">
        <f>Table15[[#This Row],[Proj2021_Hommes22]]/$P$23</f>
        <v>0.19941329713872896</v>
      </c>
      <c r="R21" s="29">
        <f>Table15[[#This Row],[Proj2021_Femmes32]]/$P$23</f>
        <v>0.20358005502163648</v>
      </c>
      <c r="S21" s="29">
        <f>Table15[[#This Row],[Proj_2021_Total43]]/$P$23</f>
        <v>0.40299335216036541</v>
      </c>
      <c r="T21" s="11">
        <f t="shared" ref="T21:T22" si="48">Q21*$V$23</f>
        <v>171835.51583381402</v>
      </c>
      <c r="U21" s="11">
        <f t="shared" ref="U21:U22" si="49">R21*$V$23</f>
        <v>175426.03361992692</v>
      </c>
      <c r="V21" s="11">
        <f t="shared" ref="V21:V22" si="50">S21*$V$23</f>
        <v>347261.54945374094</v>
      </c>
      <c r="W21" s="58">
        <f t="shared" ref="W21:W22" si="51">T21/$V$23</f>
        <v>0.19941329713872896</v>
      </c>
      <c r="X21" s="58">
        <f t="shared" ref="X21:X22" si="52">U21/$V$23</f>
        <v>0.20358005502163648</v>
      </c>
      <c r="Y21" s="58">
        <f t="shared" ref="Y21:Y22" si="53">V21/$V$23</f>
        <v>0.40299335216036541</v>
      </c>
      <c r="Z21" s="11">
        <f t="shared" ref="Z21:Z22" si="54">W21*$AB$23</f>
        <v>180904.09691530748</v>
      </c>
      <c r="AA21" s="11">
        <f t="shared" ref="AA21:AA22" si="55">X21*$AB$23</f>
        <v>184684.10347799788</v>
      </c>
      <c r="AB21" s="11">
        <f t="shared" ref="AB21:AB22" si="56">Y21*$AB$23</f>
        <v>365588.20039330533</v>
      </c>
    </row>
    <row r="22" spans="1:28" x14ac:dyDescent="0.35">
      <c r="A22" t="s">
        <v>41</v>
      </c>
      <c r="B22" t="s">
        <v>40</v>
      </c>
      <c r="C22" t="s">
        <v>40</v>
      </c>
      <c r="D22" t="s">
        <v>36</v>
      </c>
      <c r="E22" t="s">
        <v>39</v>
      </c>
      <c r="F22">
        <v>97617</v>
      </c>
      <c r="G22">
        <v>94981</v>
      </c>
      <c r="H22" s="1">
        <v>110327</v>
      </c>
      <c r="I22" s="1">
        <v>107348</v>
      </c>
      <c r="J22" s="1">
        <v>217675</v>
      </c>
      <c r="K22" s="31">
        <f>Table15[[#This Row],[Proj2020_Hommes]]/$J$23</f>
        <v>0.1341815227517629</v>
      </c>
      <c r="L22" s="31">
        <f>Table15[[#This Row],[Proj2020_Femmes]]/$J$23</f>
        <v>0.13055841366443613</v>
      </c>
      <c r="M22" s="31">
        <f>Table15[[#This Row],[Proj_2020_Total]]/$J$23</f>
        <v>0.26473993641619903</v>
      </c>
      <c r="N22" s="11">
        <f>Table15[[#This Row],[Proj2020_Hommes2]]*$N$23</f>
        <v>113523.51806113527</v>
      </c>
      <c r="O22" s="11">
        <f>Table15[[#This Row],[Proj2020_Femmes3]]*$N$23</f>
        <v>110458.20711908009</v>
      </c>
      <c r="P22" s="11">
        <f>Table15[[#This Row],[Proj_2020_Total4]]*$N$23</f>
        <v>223981.72518021535</v>
      </c>
      <c r="Q22" s="29">
        <f>Table15[[#This Row],[Proj2021_Hommes22]]/$P$23</f>
        <v>0.1341815227517629</v>
      </c>
      <c r="R22" s="29">
        <f>Table15[[#This Row],[Proj2021_Femmes32]]/$P$23</f>
        <v>0.13055841366443613</v>
      </c>
      <c r="S22" s="29">
        <f>Table15[[#This Row],[Proj_2021_Total43]]/$P$23</f>
        <v>0.26473993641619903</v>
      </c>
      <c r="T22" s="11">
        <f t="shared" si="48"/>
        <v>115624.94331245775</v>
      </c>
      <c r="U22" s="11">
        <f t="shared" si="49"/>
        <v>112502.8906315382</v>
      </c>
      <c r="V22" s="11">
        <f t="shared" si="50"/>
        <v>228127.83394399597</v>
      </c>
      <c r="W22" s="58">
        <f t="shared" si="51"/>
        <v>0.1341815227517629</v>
      </c>
      <c r="X22" s="58">
        <f t="shared" si="52"/>
        <v>0.13055841366443613</v>
      </c>
      <c r="Y22" s="58">
        <f t="shared" si="53"/>
        <v>0.26473993641619903</v>
      </c>
      <c r="Z22" s="11">
        <f t="shared" si="54"/>
        <v>121727.02394686041</v>
      </c>
      <c r="AA22" s="11">
        <f t="shared" si="55"/>
        <v>118440.20563096588</v>
      </c>
      <c r="AB22" s="11">
        <f t="shared" si="56"/>
        <v>240167.22957782631</v>
      </c>
    </row>
    <row r="23" spans="1:28" x14ac:dyDescent="0.35">
      <c r="H23" s="1"/>
      <c r="I23" s="1"/>
      <c r="J23" s="23">
        <f>J22+J21+J20</f>
        <v>822222</v>
      </c>
      <c r="K23" s="11"/>
      <c r="L23" s="11"/>
      <c r="M23" s="11"/>
      <c r="N23" s="30">
        <f>[1]Sheet1!$D$30</f>
        <v>846044.3415234962</v>
      </c>
      <c r="O23" s="11"/>
      <c r="P23" s="11">
        <f>P22+P21+P20</f>
        <v>846044.3415234962</v>
      </c>
      <c r="Q23" s="9"/>
      <c r="R23" s="9"/>
      <c r="S23" s="9"/>
      <c r="T23" s="9"/>
      <c r="U23" s="9"/>
      <c r="V23" s="30">
        <v>861705.40430044907</v>
      </c>
      <c r="W23" s="9"/>
      <c r="X23" s="9"/>
      <c r="Y23" s="9"/>
      <c r="Z23" s="9"/>
      <c r="AA23" s="9"/>
      <c r="AB23" s="30">
        <v>907181.71511629492</v>
      </c>
    </row>
    <row r="24" spans="1:28" x14ac:dyDescent="0.35">
      <c r="A24" t="s">
        <v>43</v>
      </c>
      <c r="B24" t="s">
        <v>42</v>
      </c>
      <c r="C24" t="s">
        <v>42</v>
      </c>
      <c r="D24" t="s">
        <v>44</v>
      </c>
      <c r="E24" t="s">
        <v>42</v>
      </c>
      <c r="F24">
        <v>95631</v>
      </c>
      <c r="G24">
        <v>100953</v>
      </c>
      <c r="H24" s="1">
        <v>111367</v>
      </c>
      <c r="I24" s="1">
        <v>117564</v>
      </c>
      <c r="J24" s="1">
        <v>228931</v>
      </c>
      <c r="K24" s="31">
        <f>Table15[[#This Row],[Proj2020_Hommes]]/$J$27</f>
        <v>0.22350823251744042</v>
      </c>
      <c r="L24" s="31">
        <f>Table15[[#This Row],[Proj2020_Femmes]]/$J$27</f>
        <v>0.23594531456966933</v>
      </c>
      <c r="M24" s="31">
        <f>Table15[[#This Row],[Proj_2020_Total]]/$J$27</f>
        <v>0.45945354708710973</v>
      </c>
      <c r="N24" s="11">
        <v>114593.51074154724</v>
      </c>
      <c r="O24" s="11">
        <v>120970.04944749575</v>
      </c>
      <c r="P24" s="11">
        <v>235563.56018904297</v>
      </c>
      <c r="Q24" s="29">
        <f>Table15[[#This Row],[Proj2021_Hommes22]]/$P$27</f>
        <v>0.22350823251744042</v>
      </c>
      <c r="R24" s="29">
        <f>Table15[[#This Row],[Proj2021_Femmes32]]/$P$27</f>
        <v>0.23594531456966933</v>
      </c>
      <c r="S24" s="29">
        <f>Table15[[#This Row],[Proj_2021_Total43]]/$P$27</f>
        <v>0.45945354708710973</v>
      </c>
      <c r="T24" s="11">
        <f>Q24*$V$27</f>
        <v>116714.74254639933</v>
      </c>
      <c r="U24" s="11">
        <f t="shared" ref="U24:V24" si="57">R24*$V$27</f>
        <v>123209.31687775454</v>
      </c>
      <c r="V24" s="11">
        <f t="shared" si="57"/>
        <v>239924.05942415385</v>
      </c>
      <c r="W24" s="58">
        <f>T24/$V$27</f>
        <v>0.22350823251744042</v>
      </c>
      <c r="X24" s="58">
        <f t="shared" ref="X24:Y24" si="58">U24/$V$27</f>
        <v>0.23594531456966933</v>
      </c>
      <c r="Y24" s="58">
        <f t="shared" si="58"/>
        <v>0.45945354708710973</v>
      </c>
      <c r="Z24" s="11">
        <f>W24*$AB$27</f>
        <v>122874.33709268217</v>
      </c>
      <c r="AA24" s="11">
        <f>X24*$AB$27</f>
        <v>129711.66113807578</v>
      </c>
      <c r="AB24" s="11">
        <f>Y24*$AB$27</f>
        <v>252585.99823075792</v>
      </c>
    </row>
    <row r="25" spans="1:28" x14ac:dyDescent="0.35">
      <c r="A25" t="s">
        <v>46</v>
      </c>
      <c r="B25" t="s">
        <v>45</v>
      </c>
      <c r="C25" t="s">
        <v>45</v>
      </c>
      <c r="D25" t="s">
        <v>44</v>
      </c>
      <c r="E25" t="s">
        <v>42</v>
      </c>
      <c r="F25">
        <v>58578</v>
      </c>
      <c r="G25">
        <v>58165</v>
      </c>
      <c r="H25" s="1">
        <v>68216</v>
      </c>
      <c r="I25" s="1">
        <v>67737</v>
      </c>
      <c r="J25" s="1">
        <v>135953</v>
      </c>
      <c r="K25" s="31">
        <f>Table15[[#This Row],[Proj2020_Hommes]]/$J$27</f>
        <v>0.13690624322653672</v>
      </c>
      <c r="L25" s="31">
        <f>Table15[[#This Row],[Proj2020_Femmes]]/$J$27</f>
        <v>0.13594491317925292</v>
      </c>
      <c r="M25" s="31">
        <f>Table15[[#This Row],[Proj_2020_Total]]/$J$27</f>
        <v>0.27285115640578966</v>
      </c>
      <c r="N25" s="11">
        <v>70192.345387281559</v>
      </c>
      <c r="O25" s="11">
        <v>69699.467859421406</v>
      </c>
      <c r="P25" s="11">
        <v>139891.81324670298</v>
      </c>
      <c r="Q25" s="29">
        <f>Table15[[#This Row],[Proj2021_Hommes22]]/$P$27</f>
        <v>0.13690624322653672</v>
      </c>
      <c r="R25" s="29">
        <f>Table15[[#This Row],[Proj2021_Femmes32]]/$P$27</f>
        <v>0.13594491317925292</v>
      </c>
      <c r="S25" s="29">
        <f>Table15[[#This Row],[Proj_2021_Total43]]/$P$27</f>
        <v>0.27285115640578966</v>
      </c>
      <c r="T25" s="11">
        <f t="shared" ref="T25:T26" si="59">Q25*$V$27</f>
        <v>71491.670580559556</v>
      </c>
      <c r="U25" s="11">
        <f t="shared" ref="U25:U26" si="60">R25*$V$27</f>
        <v>70989.66943408236</v>
      </c>
      <c r="V25" s="11">
        <f t="shared" ref="V25:V26" si="61">S25*$V$27</f>
        <v>142481.34001464193</v>
      </c>
      <c r="W25" s="58">
        <f t="shared" ref="W25:W26" si="62">T25/$V$27</f>
        <v>0.13690624322653672</v>
      </c>
      <c r="X25" s="58">
        <f t="shared" ref="X25:X26" si="63">U25/$V$27</f>
        <v>0.13594491317925292</v>
      </c>
      <c r="Y25" s="58">
        <f t="shared" ref="Y25:Y26" si="64">V25/$V$27</f>
        <v>0.27285115640578966</v>
      </c>
      <c r="Z25" s="11">
        <f t="shared" ref="Z25:Z26" si="65">W25*$AB$27</f>
        <v>75264.627574725062</v>
      </c>
      <c r="AA25" s="11">
        <f t="shared" ref="AA25:AA26" si="66">X25*$AB$27</f>
        <v>74736.133429534879</v>
      </c>
      <c r="AB25" s="11">
        <f t="shared" ref="AB25:AB26" si="67">Y25*$AB$27</f>
        <v>150000.76100425996</v>
      </c>
    </row>
    <row r="26" spans="1:28" x14ac:dyDescent="0.35">
      <c r="A26" t="s">
        <v>48</v>
      </c>
      <c r="B26" t="s">
        <v>47</v>
      </c>
      <c r="C26" t="s">
        <v>49</v>
      </c>
      <c r="D26" t="s">
        <v>44</v>
      </c>
      <c r="E26" t="s">
        <v>42</v>
      </c>
      <c r="F26">
        <v>54777</v>
      </c>
      <c r="G26">
        <v>59760</v>
      </c>
      <c r="H26" s="1">
        <v>63791</v>
      </c>
      <c r="I26" s="1">
        <v>69593</v>
      </c>
      <c r="J26" s="1">
        <v>133384</v>
      </c>
      <c r="K26" s="31">
        <f>Table15[[#This Row],[Proj2020_Hommes]]/$J$27</f>
        <v>0.12802548026363322</v>
      </c>
      <c r="L26" s="31">
        <f>Table15[[#This Row],[Proj2020_Femmes]]/$J$27</f>
        <v>0.13966981624346736</v>
      </c>
      <c r="M26" s="31">
        <f>Table15[[#This Row],[Proj_2020_Total]]/$J$27</f>
        <v>0.26769529650710061</v>
      </c>
      <c r="N26" s="11">
        <v>65639.14484285326</v>
      </c>
      <c r="O26" s="11">
        <v>71609.239658395178</v>
      </c>
      <c r="P26" s="11">
        <v>137248.38450124845</v>
      </c>
      <c r="Q26" s="29">
        <f>Table15[[#This Row],[Proj2021_Hommes22]]/$P$27</f>
        <v>0.12802548026363322</v>
      </c>
      <c r="R26" s="29">
        <f>Table15[[#This Row],[Proj2021_Femmes32]]/$P$27</f>
        <v>0.13966981624346736</v>
      </c>
      <c r="S26" s="29">
        <f>Table15[[#This Row],[Proj_2021_Total43]]/$P$27</f>
        <v>0.26769529650710061</v>
      </c>
      <c r="T26" s="11">
        <f t="shared" si="59"/>
        <v>66854.186085441455</v>
      </c>
      <c r="U26" s="11">
        <f t="shared" si="60"/>
        <v>72934.79287429461</v>
      </c>
      <c r="V26" s="11">
        <f t="shared" si="61"/>
        <v>139788.97895973609</v>
      </c>
      <c r="W26" s="58">
        <f t="shared" si="62"/>
        <v>0.12802548026363322</v>
      </c>
      <c r="X26" s="58">
        <f t="shared" si="63"/>
        <v>0.13966981624346736</v>
      </c>
      <c r="Y26" s="58">
        <f t="shared" si="64"/>
        <v>0.26769529650710061</v>
      </c>
      <c r="Z26" s="11">
        <f t="shared" si="65"/>
        <v>70382.400868114317</v>
      </c>
      <c r="AA26" s="11">
        <f t="shared" si="66"/>
        <v>76783.910326138168</v>
      </c>
      <c r="AB26" s="11">
        <f t="shared" si="67"/>
        <v>147166.31119425251</v>
      </c>
    </row>
    <row r="27" spans="1:28" x14ac:dyDescent="0.35">
      <c r="H27" s="1"/>
      <c r="I27" s="1"/>
      <c r="J27" s="23">
        <f>J26+J25+J24</f>
        <v>498268</v>
      </c>
      <c r="K27" s="11"/>
      <c r="L27" s="11"/>
      <c r="M27" s="11"/>
      <c r="N27" s="30">
        <f>[1]Sheet1!$D$31</f>
        <v>512703.75793699443</v>
      </c>
      <c r="O27" s="11"/>
      <c r="P27" s="11">
        <f>P26+P25+P24</f>
        <v>512703.75793699443</v>
      </c>
      <c r="Q27" s="9"/>
      <c r="R27" s="9"/>
      <c r="S27" s="9"/>
      <c r="T27" s="9"/>
      <c r="U27" s="9"/>
      <c r="V27" s="30">
        <v>522194.37839853187</v>
      </c>
      <c r="W27" s="9"/>
      <c r="X27" s="9"/>
      <c r="Y27" s="9"/>
      <c r="Z27" s="9"/>
      <c r="AA27" s="9"/>
      <c r="AB27" s="30">
        <v>549753.07042927039</v>
      </c>
    </row>
    <row r="28" spans="1:28" x14ac:dyDescent="0.35">
      <c r="A28" t="s">
        <v>51</v>
      </c>
      <c r="B28" t="s">
        <v>50</v>
      </c>
      <c r="C28" t="s">
        <v>50</v>
      </c>
      <c r="D28" t="s">
        <v>53</v>
      </c>
      <c r="E28" t="s">
        <v>52</v>
      </c>
      <c r="F28">
        <v>79010</v>
      </c>
      <c r="G28">
        <v>74744</v>
      </c>
      <c r="H28" s="1">
        <v>85105</v>
      </c>
      <c r="I28" s="1">
        <v>80510</v>
      </c>
      <c r="J28" s="1">
        <v>165615</v>
      </c>
      <c r="K28" s="31">
        <f>Table15[[#This Row],[Proj2020_Hommes]]/$J$32</f>
        <v>0.13325535769367475</v>
      </c>
      <c r="L28" s="31">
        <f>Table15[[#This Row],[Proj2020_Femmes]]/$J$32</f>
        <v>0.12606061744806712</v>
      </c>
      <c r="M28" s="31">
        <f>Table15[[#This Row],[Proj_2020_Total]]/$J$32</f>
        <v>0.25931597514174187</v>
      </c>
      <c r="N28" s="11">
        <v>87570.788490833394</v>
      </c>
      <c r="O28" s="11">
        <v>82842.655324563719</v>
      </c>
      <c r="P28" s="11">
        <v>170413.4438153971</v>
      </c>
      <c r="Q28" s="29">
        <f>Table15[[#This Row],[Proj2021_Hommes22]]/$P$32</f>
        <v>0.13325535769367475</v>
      </c>
      <c r="R28" s="29">
        <f>Table15[[#This Row],[Proj2021_Femmes32]]/$P$32</f>
        <v>0.12606061744806712</v>
      </c>
      <c r="S28" s="29">
        <f>Table15[[#This Row],[Proj_2021_Total43]]/$P$32</f>
        <v>0.25931597514174187</v>
      </c>
      <c r="T28" s="11">
        <f>Q28*$V$32</f>
        <v>89191.80472919342</v>
      </c>
      <c r="U28" s="11">
        <f t="shared" ref="U28:V28" si="68">R28*$V$32</f>
        <v>84376.14944771002</v>
      </c>
      <c r="V28" s="11">
        <f t="shared" si="68"/>
        <v>173567.95417690344</v>
      </c>
      <c r="W28" s="58">
        <f>T28/$V$32</f>
        <v>0.13325535769367475</v>
      </c>
      <c r="X28" s="58">
        <f t="shared" ref="X28:Y28" si="69">U28/$V$32</f>
        <v>0.12606061744806712</v>
      </c>
      <c r="Y28" s="58">
        <f t="shared" si="69"/>
        <v>0.25931597514174187</v>
      </c>
      <c r="Z28" s="11">
        <f>W28*$AB$32</f>
        <v>93898.882361349926</v>
      </c>
      <c r="AA28" s="11">
        <f t="shared" ref="AA28:AB28" si="70">X28*$AB$32</f>
        <v>88829.081944800913</v>
      </c>
      <c r="AB28" s="11">
        <f t="shared" si="70"/>
        <v>182727.96430615085</v>
      </c>
    </row>
    <row r="29" spans="1:28" x14ac:dyDescent="0.35">
      <c r="A29" t="s">
        <v>55</v>
      </c>
      <c r="B29" t="s">
        <v>54</v>
      </c>
      <c r="C29" t="s">
        <v>54</v>
      </c>
      <c r="D29" t="s">
        <v>53</v>
      </c>
      <c r="E29" t="s">
        <v>52</v>
      </c>
      <c r="F29">
        <v>134011</v>
      </c>
      <c r="G29">
        <v>136643</v>
      </c>
      <c r="H29" s="1">
        <v>153743</v>
      </c>
      <c r="I29" s="1">
        <v>156763</v>
      </c>
      <c r="J29" s="1">
        <v>310506</v>
      </c>
      <c r="K29" s="31">
        <f>Table15[[#This Row],[Proj2020_Hommes]]/$J$32</f>
        <v>0.24072708369541901</v>
      </c>
      <c r="L29" s="31">
        <f>Table15[[#This Row],[Proj2020_Femmes]]/$J$32</f>
        <v>0.24545572690363118</v>
      </c>
      <c r="M29" s="31">
        <f>Table15[[#This Row],[Proj_2020_Total]]/$J$32</f>
        <v>0.48618281059905022</v>
      </c>
      <c r="N29" s="11">
        <v>158197.47059451498</v>
      </c>
      <c r="O29" s="11">
        <v>161304.97052098598</v>
      </c>
      <c r="P29" s="11">
        <v>319502.44111550099</v>
      </c>
      <c r="Q29" s="29">
        <f>Table15[[#This Row],[Proj2021_Hommes22]]/$P$32</f>
        <v>0.24072708369541901</v>
      </c>
      <c r="R29" s="29">
        <f>Table15[[#This Row],[Proj2021_Femmes32]]/$P$32</f>
        <v>0.24545572690363116</v>
      </c>
      <c r="S29" s="29">
        <f>Table15[[#This Row],[Proj_2021_Total43]]/$P$32</f>
        <v>0.48618281059905022</v>
      </c>
      <c r="T29" s="11">
        <f t="shared" ref="T29:T31" si="71">Q29*$V$32</f>
        <v>161125.85200023951</v>
      </c>
      <c r="U29" s="11">
        <f t="shared" ref="U29:U31" si="72">R29*$V$32</f>
        <v>164290.87462267251</v>
      </c>
      <c r="V29" s="11">
        <f t="shared" ref="V29:V31" si="73">S29*$V$32</f>
        <v>325416.72662291204</v>
      </c>
      <c r="W29" s="58">
        <f t="shared" ref="W29:W31" si="74">T29/$V$32</f>
        <v>0.24072708369541904</v>
      </c>
      <c r="X29" s="58">
        <f t="shared" ref="X29:X31" si="75">U29/$V$32</f>
        <v>0.24545572690363116</v>
      </c>
      <c r="Y29" s="58">
        <f t="shared" ref="Y29:Y31" si="76">V29/$V$32</f>
        <v>0.48618281059905022</v>
      </c>
      <c r="Z29" s="11">
        <f t="shared" ref="Z29:Z31" si="77">W29*$AB$32</f>
        <v>169629.23295788758</v>
      </c>
      <c r="AA29" s="11">
        <f t="shared" ref="AA29:AA31" si="78">X29*$AB$32</f>
        <v>172961.28894438982</v>
      </c>
      <c r="AB29" s="11">
        <f t="shared" ref="AB29:AB31" si="79">Y29*$AB$32</f>
        <v>342590.52190227743</v>
      </c>
    </row>
    <row r="30" spans="1:28" x14ac:dyDescent="0.35">
      <c r="A30" t="s">
        <v>187</v>
      </c>
      <c r="B30" t="s">
        <v>186</v>
      </c>
      <c r="C30" t="s">
        <v>186</v>
      </c>
      <c r="D30" t="s">
        <v>53</v>
      </c>
      <c r="E30" t="s">
        <v>52</v>
      </c>
      <c r="F30">
        <v>27453</v>
      </c>
      <c r="G30">
        <v>26731</v>
      </c>
      <c r="H30" s="1">
        <v>29030</v>
      </c>
      <c r="I30" s="1">
        <v>28267</v>
      </c>
      <c r="J30" s="1">
        <v>57297</v>
      </c>
      <c r="K30" s="31">
        <f>Table15[[#This Row],[Proj2020_Hommes]]/$J$32</f>
        <v>4.5454474282913784E-2</v>
      </c>
      <c r="L30" s="31">
        <f>Table15[[#This Row],[Proj2020_Femmes]]/$J$32</f>
        <v>4.4259787273686665E-2</v>
      </c>
      <c r="M30" s="31">
        <f>Table15[[#This Row],[Proj_2020_Total]]/$J$32</f>
        <v>8.971426155660045E-2</v>
      </c>
      <c r="N30" s="11">
        <v>29871.10028657415</v>
      </c>
      <c r="O30" s="11">
        <v>29085.9935170717</v>
      </c>
      <c r="P30" s="11">
        <v>58957.093803645854</v>
      </c>
      <c r="Q30" s="29">
        <f>Table15[[#This Row],[Proj2021_Hommes22]]/$P$32</f>
        <v>4.5454474282913784E-2</v>
      </c>
      <c r="R30" s="29">
        <f>Table15[[#This Row],[Proj2021_Femmes32]]/$P$32</f>
        <v>4.4259787273686665E-2</v>
      </c>
      <c r="S30" s="29">
        <f>Table15[[#This Row],[Proj_2021_Total43]]/$P$32</f>
        <v>8.971426155660045E-2</v>
      </c>
      <c r="T30" s="11">
        <f t="shared" si="71"/>
        <v>30424.041963321601</v>
      </c>
      <c r="U30" s="11">
        <f t="shared" si="72"/>
        <v>29624.402141826096</v>
      </c>
      <c r="V30" s="11">
        <f t="shared" si="73"/>
        <v>60048.444105147697</v>
      </c>
      <c r="W30" s="58">
        <f t="shared" si="74"/>
        <v>4.5454474282913784E-2</v>
      </c>
      <c r="X30" s="58">
        <f t="shared" si="75"/>
        <v>4.4259787273686665E-2</v>
      </c>
      <c r="Y30" s="58">
        <f t="shared" si="76"/>
        <v>8.971426155660045E-2</v>
      </c>
      <c r="Z30" s="11">
        <f t="shared" si="77"/>
        <v>32029.664002702404</v>
      </c>
      <c r="AA30" s="11">
        <f t="shared" si="78"/>
        <v>31187.823367701993</v>
      </c>
      <c r="AB30" s="11">
        <f t="shared" si="79"/>
        <v>63217.4873704044</v>
      </c>
    </row>
    <row r="31" spans="1:28" x14ac:dyDescent="0.35">
      <c r="A31" t="s">
        <v>185</v>
      </c>
      <c r="B31" t="s">
        <v>184</v>
      </c>
      <c r="C31" t="s">
        <v>184</v>
      </c>
      <c r="D31" t="s">
        <v>53</v>
      </c>
      <c r="E31" t="s">
        <v>52</v>
      </c>
      <c r="F31">
        <v>40496</v>
      </c>
      <c r="G31">
        <v>37630</v>
      </c>
      <c r="H31" s="1">
        <v>54553</v>
      </c>
      <c r="I31" s="1">
        <v>50690</v>
      </c>
      <c r="J31" s="1">
        <v>105243</v>
      </c>
      <c r="K31" s="31">
        <f>Table15[[#This Row],[Proj2020_Hommes]]/$J$32</f>
        <v>8.541777249589376E-2</v>
      </c>
      <c r="L31" s="31">
        <f>Table15[[#This Row],[Proj2020_Femmes]]/$J$32</f>
        <v>7.9369180206713727E-2</v>
      </c>
      <c r="M31" s="31">
        <f>Table15[[#This Row],[Proj_2020_Total]]/$J$32</f>
        <v>0.16478695270260749</v>
      </c>
      <c r="N31" s="11">
        <v>56133.590559196688</v>
      </c>
      <c r="O31" s="11">
        <v>52158.665984376283</v>
      </c>
      <c r="P31" s="11">
        <v>108292.25654357296</v>
      </c>
      <c r="Q31" s="29">
        <f>Table15[[#This Row],[Proj2021_Hommes22]]/$P$32</f>
        <v>8.541777249589376E-2</v>
      </c>
      <c r="R31" s="29">
        <f>Table15[[#This Row],[Proj2021_Femmes32]]/$P$32</f>
        <v>7.9369180206713727E-2</v>
      </c>
      <c r="S31" s="29">
        <f>Table15[[#This Row],[Proj_2021_Total43]]/$P$32</f>
        <v>0.16478695270260749</v>
      </c>
      <c r="T31" s="11">
        <f t="shared" si="71"/>
        <v>57172.675205824431</v>
      </c>
      <c r="U31" s="11">
        <f t="shared" si="72"/>
        <v>53124.17110302348</v>
      </c>
      <c r="V31" s="11">
        <f t="shared" si="73"/>
        <v>110296.84630884792</v>
      </c>
      <c r="W31" s="58">
        <f t="shared" si="74"/>
        <v>8.541777249589376E-2</v>
      </c>
      <c r="X31" s="58">
        <f t="shared" si="75"/>
        <v>7.9369180206713727E-2</v>
      </c>
      <c r="Y31" s="58">
        <f t="shared" si="76"/>
        <v>0.16478695270260749</v>
      </c>
      <c r="Z31" s="11">
        <f t="shared" si="77"/>
        <v>60189.95040783412</v>
      </c>
      <c r="AA31" s="11">
        <f t="shared" si="78"/>
        <v>55927.78740258301</v>
      </c>
      <c r="AB31" s="11">
        <f t="shared" si="79"/>
        <v>116117.73781041712</v>
      </c>
    </row>
    <row r="32" spans="1:28" x14ac:dyDescent="0.35">
      <c r="H32" s="1"/>
      <c r="I32" s="1"/>
      <c r="J32" s="23">
        <f>J31+J30+J29+J28</f>
        <v>638661</v>
      </c>
      <c r="K32" s="11"/>
      <c r="L32" s="11"/>
      <c r="M32" s="11"/>
      <c r="N32" s="30">
        <f>[1]Sheet1!$D$32</f>
        <v>657165.23527811689</v>
      </c>
      <c r="O32" s="11"/>
      <c r="P32" s="11">
        <f>P31+P30+P29+P28</f>
        <v>657165.23527811689</v>
      </c>
      <c r="Q32" s="9"/>
      <c r="R32" s="9"/>
      <c r="S32" s="9"/>
      <c r="T32" s="9"/>
      <c r="U32" s="9"/>
      <c r="V32" s="30">
        <v>669329.97121381108</v>
      </c>
      <c r="W32" s="9"/>
      <c r="X32" s="9"/>
      <c r="Y32" s="9"/>
      <c r="Z32" s="9"/>
      <c r="AA32" s="9"/>
      <c r="AB32" s="30">
        <v>704653.71138924977</v>
      </c>
    </row>
    <row r="33" spans="1:28" x14ac:dyDescent="0.35">
      <c r="A33" t="s">
        <v>57</v>
      </c>
      <c r="B33" t="s">
        <v>56</v>
      </c>
      <c r="C33" t="s">
        <v>56</v>
      </c>
      <c r="D33" t="s">
        <v>59</v>
      </c>
      <c r="E33" t="s">
        <v>58</v>
      </c>
      <c r="F33">
        <v>209328</v>
      </c>
      <c r="G33">
        <v>216109</v>
      </c>
      <c r="H33" s="1">
        <v>244417</v>
      </c>
      <c r="I33" s="1">
        <v>252334</v>
      </c>
      <c r="J33" s="1">
        <v>496751</v>
      </c>
      <c r="K33" s="31">
        <f>Table15[[#This Row],[Proj2020_Hommes]]/$J$37</f>
        <v>0.23671408689824425</v>
      </c>
      <c r="L33" s="31">
        <f>Table15[[#This Row],[Proj2020_Femmes]]/$J$37</f>
        <v>0.24438157903657096</v>
      </c>
      <c r="M33" s="31">
        <f>Table15[[#This Row],[Proj_2020_Total]]/$J$37</f>
        <v>0.48109566593481518</v>
      </c>
      <c r="N33" s="11">
        <v>251498.46220886812</v>
      </c>
      <c r="O33" s="11">
        <v>259644.84042849936</v>
      </c>
      <c r="P33" s="11">
        <v>511143.30263736745</v>
      </c>
      <c r="Q33" s="29">
        <f>Table15[[#This Row],[Proj2021_Hommes22]]/$P$37</f>
        <v>0.23671408689824425</v>
      </c>
      <c r="R33" s="29">
        <f>Table15[[#This Row],[Proj2021_Femmes32]]/$P$37</f>
        <v>0.24438157903657096</v>
      </c>
      <c r="S33" s="29">
        <f>Table15[[#This Row],[Proj_2021_Total43]]/$P$37</f>
        <v>0.48109566593481518</v>
      </c>
      <c r="T33" s="11">
        <f>Q33*$V$37</f>
        <v>256153.93120930795</v>
      </c>
      <c r="U33" s="11">
        <f t="shared" ref="U33:V33" si="80">R33*$V$37</f>
        <v>264451.10641964147</v>
      </c>
      <c r="V33" s="11">
        <f t="shared" si="80"/>
        <v>520605.03762894939</v>
      </c>
      <c r="W33" s="58">
        <f>T33/$V$37</f>
        <v>0.23671408689824425</v>
      </c>
      <c r="X33" s="58">
        <f t="shared" ref="X33:Y33" si="81">U33/$V$37</f>
        <v>0.24438157903657096</v>
      </c>
      <c r="Y33" s="58">
        <f t="shared" si="81"/>
        <v>0.48109566593481518</v>
      </c>
      <c r="Z33" s="11">
        <f>W33*$AB$37</f>
        <v>269672.39788508811</v>
      </c>
      <c r="AA33" s="11">
        <f t="shared" ref="AA33:AB33" si="82">X33*$AB$37</f>
        <v>278407.45466942078</v>
      </c>
      <c r="AB33" s="11">
        <f t="shared" si="82"/>
        <v>548079.85255450883</v>
      </c>
    </row>
    <row r="34" spans="1:28" x14ac:dyDescent="0.35">
      <c r="A34" t="s">
        <v>60</v>
      </c>
      <c r="B34" t="s">
        <v>190</v>
      </c>
      <c r="C34" t="s">
        <v>61</v>
      </c>
      <c r="D34" t="s">
        <v>59</v>
      </c>
      <c r="E34" t="s">
        <v>58</v>
      </c>
      <c r="F34">
        <v>65617</v>
      </c>
      <c r="G34">
        <v>70887</v>
      </c>
      <c r="H34" s="1">
        <v>76616</v>
      </c>
      <c r="I34" s="1">
        <v>82769</v>
      </c>
      <c r="J34" s="1">
        <v>159385</v>
      </c>
      <c r="K34" s="31">
        <f>Table15[[#This Row],[Proj2020_Hommes]]/$J$37</f>
        <v>7.4201411856768887E-2</v>
      </c>
      <c r="L34" s="31">
        <f>Table15[[#This Row],[Proj2020_Femmes]]/$J$37</f>
        <v>8.0160497258704499E-2</v>
      </c>
      <c r="M34" s="31">
        <f>Table15[[#This Row],[Proj_2020_Total]]/$J$37</f>
        <v>0.15436190911547337</v>
      </c>
      <c r="N34" s="11">
        <v>78835.785483802843</v>
      </c>
      <c r="O34" s="11">
        <v>85167.055559006956</v>
      </c>
      <c r="P34" s="11">
        <v>164002.8410428098</v>
      </c>
      <c r="Q34" s="29">
        <f>Table15[[#This Row],[Proj2021_Hommes22]]/$P$37</f>
        <v>7.4201411856768887E-2</v>
      </c>
      <c r="R34" s="29">
        <f>Table15[[#This Row],[Proj2021_Femmes32]]/$P$37</f>
        <v>8.0160497258704499E-2</v>
      </c>
      <c r="S34" s="29">
        <f>Table15[[#This Row],[Proj_2021_Total43]]/$P$37</f>
        <v>0.15436190911547337</v>
      </c>
      <c r="T34" s="11">
        <f t="shared" ref="T34:T36" si="83">Q34*$V$37</f>
        <v>80295.10874256838</v>
      </c>
      <c r="U34" s="11">
        <f t="shared" ref="U34:U36" si="84">R34*$V$37</f>
        <v>86743.576478981442</v>
      </c>
      <c r="V34" s="11">
        <f t="shared" ref="V34:V36" si="85">S34*$V$37</f>
        <v>167038.68522154982</v>
      </c>
      <c r="W34" s="58">
        <f t="shared" ref="W34:W36" si="86">T34/$V$37</f>
        <v>7.4201411856768887E-2</v>
      </c>
      <c r="X34" s="58">
        <f t="shared" ref="X34:X36" si="87">U34/$V$37</f>
        <v>8.0160497258704499E-2</v>
      </c>
      <c r="Y34" s="58">
        <f t="shared" ref="Y34:Y36" si="88">V34/$V$37</f>
        <v>0.15436190911547337</v>
      </c>
      <c r="Z34" s="11">
        <f t="shared" ref="Z34:Z36" si="89">W34*$AB$37</f>
        <v>84532.66522526629</v>
      </c>
      <c r="AA34" s="11">
        <f t="shared" ref="AA34:AA36" si="90">X34*$AB$37</f>
        <v>91321.449410437315</v>
      </c>
      <c r="AB34" s="11">
        <f t="shared" ref="AB34:AB36" si="91">Y34*$AB$37</f>
        <v>175854.11463570359</v>
      </c>
    </row>
    <row r="35" spans="1:28" x14ac:dyDescent="0.35">
      <c r="A35" t="s">
        <v>62</v>
      </c>
      <c r="B35" t="s">
        <v>191</v>
      </c>
      <c r="C35" t="s">
        <v>63</v>
      </c>
      <c r="D35" t="s">
        <v>59</v>
      </c>
      <c r="E35" t="s">
        <v>58</v>
      </c>
      <c r="F35">
        <v>56819</v>
      </c>
      <c r="G35">
        <v>61270</v>
      </c>
      <c r="H35" s="1">
        <v>66344</v>
      </c>
      <c r="I35" s="1">
        <v>71540</v>
      </c>
      <c r="J35" s="1">
        <v>137884</v>
      </c>
      <c r="K35" s="31">
        <f>Table15[[#This Row],[Proj2020_Hommes]]/$J$37</f>
        <v>6.4253138616287397E-2</v>
      </c>
      <c r="L35" s="31">
        <f>Table15[[#This Row],[Proj2020_Femmes]]/$J$37</f>
        <v>6.9285384309194495E-2</v>
      </c>
      <c r="M35" s="31">
        <f>Table15[[#This Row],[Proj_2020_Total]]/$J$37</f>
        <v>0.13353852292548191</v>
      </c>
      <c r="N35" s="11">
        <v>68266.176152989137</v>
      </c>
      <c r="O35" s="11">
        <v>73612.719190655407</v>
      </c>
      <c r="P35" s="11">
        <v>141878.89534364457</v>
      </c>
      <c r="Q35" s="29">
        <f>Table15[[#This Row],[Proj2021_Hommes22]]/$P$37</f>
        <v>6.4253138616287397E-2</v>
      </c>
      <c r="R35" s="29">
        <f>Table15[[#This Row],[Proj2021_Femmes32]]/$P$37</f>
        <v>6.9285384309194495E-2</v>
      </c>
      <c r="S35" s="29">
        <f>Table15[[#This Row],[Proj_2021_Total43]]/$P$37</f>
        <v>0.13353852292548191</v>
      </c>
      <c r="T35" s="11">
        <f t="shared" si="83"/>
        <v>69529.846173344442</v>
      </c>
      <c r="U35" s="11">
        <f t="shared" si="84"/>
        <v>74975.358664552332</v>
      </c>
      <c r="V35" s="11">
        <f t="shared" si="85"/>
        <v>144505.20483789677</v>
      </c>
      <c r="W35" s="58">
        <f t="shared" si="86"/>
        <v>6.4253138616287397E-2</v>
      </c>
      <c r="X35" s="58">
        <f t="shared" si="87"/>
        <v>6.9285384309194495E-2</v>
      </c>
      <c r="Y35" s="58">
        <f t="shared" si="88"/>
        <v>0.13353852292548191</v>
      </c>
      <c r="Z35" s="11">
        <f t="shared" si="89"/>
        <v>73199.268321304524</v>
      </c>
      <c r="AA35" s="11">
        <f t="shared" si="90"/>
        <v>78932.166521556195</v>
      </c>
      <c r="AB35" s="11">
        <f t="shared" si="91"/>
        <v>152131.43484286073</v>
      </c>
    </row>
    <row r="36" spans="1:28" x14ac:dyDescent="0.35">
      <c r="A36" t="s">
        <v>65</v>
      </c>
      <c r="B36" t="s">
        <v>64</v>
      </c>
      <c r="C36" t="s">
        <v>64</v>
      </c>
      <c r="D36" t="s">
        <v>59</v>
      </c>
      <c r="E36" t="s">
        <v>58</v>
      </c>
      <c r="F36">
        <v>97345</v>
      </c>
      <c r="G36">
        <v>106934</v>
      </c>
      <c r="H36" s="1">
        <v>113662</v>
      </c>
      <c r="I36" s="1">
        <v>124859</v>
      </c>
      <c r="J36" s="1">
        <v>238521</v>
      </c>
      <c r="K36" s="31">
        <f>Table15[[#This Row],[Proj2020_Hommes]]/$J$37</f>
        <v>0.1100798902900708</v>
      </c>
      <c r="L36" s="31">
        <f>Table15[[#This Row],[Proj2020_Femmes]]/$J$37</f>
        <v>0.12092401173415875</v>
      </c>
      <c r="M36" s="31">
        <f>Table15[[#This Row],[Proj_2020_Total]]/$J$37</f>
        <v>0.23100390202422955</v>
      </c>
      <c r="N36" s="11">
        <v>116955.11446251434</v>
      </c>
      <c r="O36" s="11">
        <v>128476.52369899419</v>
      </c>
      <c r="P36" s="11">
        <v>245431.63816150851</v>
      </c>
      <c r="Q36" s="29">
        <f>Table15[[#This Row],[Proj2021_Hommes22]]/$P$37</f>
        <v>0.1100798902900708</v>
      </c>
      <c r="R36" s="29">
        <f>Table15[[#This Row],[Proj2021_Femmes32]]/$P$37</f>
        <v>0.12092401173415875</v>
      </c>
      <c r="S36" s="29">
        <f>Table15[[#This Row],[Proj_2021_Total43]]/$P$37</f>
        <v>0.23100390202422955</v>
      </c>
      <c r="T36" s="11">
        <f t="shared" si="83"/>
        <v>119120.06173511808</v>
      </c>
      <c r="U36" s="11">
        <f t="shared" si="84"/>
        <v>130854.74290602937</v>
      </c>
      <c r="V36" s="11">
        <f t="shared" si="85"/>
        <v>249974.80464114746</v>
      </c>
      <c r="W36" s="58">
        <f t="shared" si="86"/>
        <v>0.1100798902900708</v>
      </c>
      <c r="X36" s="58">
        <f t="shared" si="87"/>
        <v>0.12092401173415875</v>
      </c>
      <c r="Y36" s="58">
        <f t="shared" si="88"/>
        <v>0.23100390202422955</v>
      </c>
      <c r="Z36" s="11">
        <f t="shared" si="89"/>
        <v>125406.59646593683</v>
      </c>
      <c r="AA36" s="11">
        <f t="shared" si="90"/>
        <v>137760.57282240686</v>
      </c>
      <c r="AB36" s="11">
        <f t="shared" si="91"/>
        <v>263167.16928834369</v>
      </c>
    </row>
    <row r="37" spans="1:28" x14ac:dyDescent="0.35">
      <c r="H37" s="1"/>
      <c r="I37" s="1"/>
      <c r="J37" s="23">
        <f>J36+J35+J34+J33</f>
        <v>1032541</v>
      </c>
      <c r="K37" s="11"/>
      <c r="L37" s="11"/>
      <c r="M37" s="11"/>
      <c r="N37" s="30">
        <f>[1]Sheet1!$D$33</f>
        <v>1062456.6771853303</v>
      </c>
      <c r="O37" s="11"/>
      <c r="P37" s="11">
        <f>P36+P35+P34+P33</f>
        <v>1062456.6771853303</v>
      </c>
      <c r="Q37" s="9"/>
      <c r="R37" s="9"/>
      <c r="S37" s="9"/>
      <c r="T37" s="9"/>
      <c r="U37" s="9"/>
      <c r="V37" s="30">
        <v>1082123.7323295434</v>
      </c>
      <c r="W37" s="9"/>
      <c r="X37" s="9"/>
      <c r="Y37" s="9"/>
      <c r="Z37" s="9"/>
      <c r="AA37" s="9"/>
      <c r="AB37" s="30">
        <v>1139232.5713214169</v>
      </c>
    </row>
    <row r="38" spans="1:28" x14ac:dyDescent="0.35">
      <c r="A38" t="s">
        <v>66</v>
      </c>
      <c r="B38" t="s">
        <v>192</v>
      </c>
      <c r="C38" t="s">
        <v>67</v>
      </c>
      <c r="D38" t="s">
        <v>69</v>
      </c>
      <c r="E38" t="s">
        <v>68</v>
      </c>
      <c r="F38">
        <v>99688</v>
      </c>
      <c r="G38">
        <v>106239</v>
      </c>
      <c r="H38" s="1">
        <v>115731</v>
      </c>
      <c r="I38" s="1">
        <v>123336</v>
      </c>
      <c r="J38" s="1">
        <v>239067</v>
      </c>
      <c r="K38" s="31">
        <f>Table15[[#This Row],[Proj2020_Hommes]]/$J$44</f>
        <v>9.9669121699829138E-2</v>
      </c>
      <c r="L38" s="31">
        <f>Table15[[#This Row],[Proj2020_Femmes]]/$J$44</f>
        <v>0.1062186518216392</v>
      </c>
      <c r="M38" s="31">
        <f>Table15[[#This Row],[Proj_2020_Total]]/$J$44</f>
        <v>0.20588777352146834</v>
      </c>
      <c r="N38" s="11">
        <v>119084.04655835727</v>
      </c>
      <c r="O38" s="11">
        <v>126909.38440280953</v>
      </c>
      <c r="P38" s="11">
        <v>245993.4309611668</v>
      </c>
      <c r="Q38" s="29">
        <f>Table15[[#This Row],[Proj2021_Hommes22]]/$P$44</f>
        <v>9.9669121699829138E-2</v>
      </c>
      <c r="R38" s="29">
        <f>Table15[[#This Row],[Proj2021_Femmes32]]/$P$44</f>
        <v>0.1062186518216392</v>
      </c>
      <c r="S38" s="29">
        <f>Table15[[#This Row],[Proj_2021_Total43]]/$P$44</f>
        <v>0.20588777352146834</v>
      </c>
      <c r="T38" s="11">
        <f>Q38*$V$44</f>
        <v>121288.40233186871</v>
      </c>
      <c r="U38" s="11">
        <f t="shared" ref="U38:V38" si="92">R38*$V$44</f>
        <v>129258.59441293482</v>
      </c>
      <c r="V38" s="11">
        <f t="shared" si="92"/>
        <v>250546.99674480353</v>
      </c>
      <c r="W38" s="58">
        <f>T38/$V$44</f>
        <v>9.9669121699829138E-2</v>
      </c>
      <c r="X38" s="58">
        <f t="shared" ref="X38:Y38" si="93">U38/$V$44</f>
        <v>0.1062186518216392</v>
      </c>
      <c r="Y38" s="58">
        <f t="shared" si="93"/>
        <v>0.20588777352146834</v>
      </c>
      <c r="Z38" s="11">
        <f>W38*$AB$44</f>
        <v>127689.37075480582</v>
      </c>
      <c r="AA38" s="11">
        <f t="shared" ref="AA38:AB38" si="94">X38*$AB$44</f>
        <v>136080.18794804098</v>
      </c>
      <c r="AB38" s="11">
        <f t="shared" si="94"/>
        <v>263769.55870284681</v>
      </c>
    </row>
    <row r="39" spans="1:28" x14ac:dyDescent="0.35">
      <c r="A39" t="s">
        <v>71</v>
      </c>
      <c r="B39" t="s">
        <v>70</v>
      </c>
      <c r="C39" t="s">
        <v>70</v>
      </c>
      <c r="D39" t="s">
        <v>69</v>
      </c>
      <c r="E39" t="s">
        <v>68</v>
      </c>
      <c r="F39">
        <v>62349</v>
      </c>
      <c r="G39">
        <v>67722</v>
      </c>
      <c r="H39" s="1">
        <v>72383</v>
      </c>
      <c r="I39" s="1">
        <v>78620</v>
      </c>
      <c r="J39" s="1">
        <v>151003</v>
      </c>
      <c r="K39" s="31">
        <f>Table15[[#This Row],[Proj2020_Hommes]]/$J$44</f>
        <v>6.233723061235738E-2</v>
      </c>
      <c r="L39" s="31">
        <f>Table15[[#This Row],[Proj2020_Femmes]]/$J$44</f>
        <v>6.7708620404563741E-2</v>
      </c>
      <c r="M39" s="31">
        <f>Table15[[#This Row],[Proj_2020_Total]]/$J$44</f>
        <v>0.13004585101692112</v>
      </c>
      <c r="N39" s="11">
        <v>74480.135331359561</v>
      </c>
      <c r="O39" s="11">
        <v>80897.838439294981</v>
      </c>
      <c r="P39" s="11">
        <v>155377.97377065453</v>
      </c>
      <c r="Q39" s="29">
        <f>Table15[[#This Row],[Proj2021_Hommes22]]/$P$44</f>
        <v>6.233723061235738E-2</v>
      </c>
      <c r="R39" s="29">
        <f>Table15[[#This Row],[Proj2021_Femmes32]]/$P$44</f>
        <v>6.7708620404563741E-2</v>
      </c>
      <c r="S39" s="29">
        <f>Table15[[#This Row],[Proj_2021_Total43]]/$P$44</f>
        <v>0.13004585101692112</v>
      </c>
      <c r="T39" s="11">
        <f t="shared" ref="T39:T43" si="95">Q39*$V$44</f>
        <v>75858.83147979065</v>
      </c>
      <c r="U39" s="11">
        <f t="shared" ref="U39:U43" si="96">R39*$V$44</f>
        <v>82395.332204262624</v>
      </c>
      <c r="V39" s="11">
        <f t="shared" ref="V39:V43" si="97">S39*$V$44</f>
        <v>158254.16368405329</v>
      </c>
      <c r="W39" s="58">
        <f t="shared" ref="W39:W43" si="98">T39/$V$44</f>
        <v>6.2337230612357374E-2</v>
      </c>
      <c r="X39" s="58">
        <f t="shared" ref="X39:X43" si="99">U39/$V$44</f>
        <v>6.7708620404563741E-2</v>
      </c>
      <c r="Y39" s="58">
        <f t="shared" ref="Y39:Y43" si="100">V39/$V$44</f>
        <v>0.13004585101692112</v>
      </c>
      <c r="Z39" s="11">
        <f t="shared" ref="Z39:Z43" si="101">W39*$AB$44</f>
        <v>79862.264417875136</v>
      </c>
      <c r="AA39" s="11">
        <f t="shared" ref="AA39:AA43" si="102">X39*$AB$44</f>
        <v>86743.727512445519</v>
      </c>
      <c r="AB39" s="11">
        <f t="shared" ref="AB39:AB43" si="103">Y39*$AB$44</f>
        <v>166605.99193032068</v>
      </c>
    </row>
    <row r="40" spans="1:28" x14ac:dyDescent="0.35">
      <c r="A40" t="s">
        <v>73</v>
      </c>
      <c r="B40" t="s">
        <v>72</v>
      </c>
      <c r="C40" t="s">
        <v>72</v>
      </c>
      <c r="D40" t="s">
        <v>69</v>
      </c>
      <c r="E40" t="s">
        <v>68</v>
      </c>
      <c r="F40">
        <v>31240</v>
      </c>
      <c r="G40">
        <v>32307</v>
      </c>
      <c r="H40" s="1">
        <v>36268</v>
      </c>
      <c r="I40" s="1">
        <v>37505</v>
      </c>
      <c r="J40" s="1">
        <v>73773</v>
      </c>
      <c r="K40" s="31">
        <f>Table15[[#This Row],[Proj2020_Hommes]]/$J$44</f>
        <v>3.1234498153557846E-2</v>
      </c>
      <c r="L40" s="31">
        <f>Table15[[#This Row],[Proj2020_Femmes]]/$J$44</f>
        <v>3.2299819489610318E-2</v>
      </c>
      <c r="M40" s="31">
        <f>Table15[[#This Row],[Proj_2020_Total]]/$J$44</f>
        <v>6.3534317643168164E-2</v>
      </c>
      <c r="N40" s="11">
        <v>37318.784081866579</v>
      </c>
      <c r="O40" s="11">
        <v>38591.623386743304</v>
      </c>
      <c r="P40" s="11">
        <v>75910.407468609876</v>
      </c>
      <c r="Q40" s="29">
        <f>Table15[[#This Row],[Proj2021_Hommes22]]/$P$44</f>
        <v>3.1234498153557846E-2</v>
      </c>
      <c r="R40" s="29">
        <f>Table15[[#This Row],[Proj2021_Femmes32]]/$P$44</f>
        <v>3.2299819489610318E-2</v>
      </c>
      <c r="S40" s="29">
        <f>Table15[[#This Row],[Proj_2021_Total43]]/$P$44</f>
        <v>6.3534317643168164E-2</v>
      </c>
      <c r="T40" s="11">
        <f t="shared" si="95"/>
        <v>38009.589269704869</v>
      </c>
      <c r="U40" s="11">
        <f t="shared" si="96"/>
        <v>39305.990006625158</v>
      </c>
      <c r="V40" s="11">
        <f t="shared" si="97"/>
        <v>77315.579276330027</v>
      </c>
      <c r="W40" s="58">
        <f t="shared" si="98"/>
        <v>3.1234498153557846E-2</v>
      </c>
      <c r="X40" s="58">
        <f t="shared" si="99"/>
        <v>3.2299819489610318E-2</v>
      </c>
      <c r="Y40" s="58">
        <f t="shared" si="100"/>
        <v>6.3534317643168164E-2</v>
      </c>
      <c r="Z40" s="11">
        <f t="shared" si="101"/>
        <v>40015.536878928702</v>
      </c>
      <c r="AA40" s="11">
        <f t="shared" si="102"/>
        <v>41380.354876040059</v>
      </c>
      <c r="AB40" s="11">
        <f t="shared" si="103"/>
        <v>81395.891754968761</v>
      </c>
    </row>
    <row r="41" spans="1:28" x14ac:dyDescent="0.35">
      <c r="A41" t="s">
        <v>75</v>
      </c>
      <c r="B41" t="s">
        <v>74</v>
      </c>
      <c r="C41" t="s">
        <v>74</v>
      </c>
      <c r="D41" t="s">
        <v>69</v>
      </c>
      <c r="E41" t="s">
        <v>68</v>
      </c>
      <c r="F41">
        <v>89786</v>
      </c>
      <c r="G41">
        <v>91094</v>
      </c>
      <c r="H41" s="1">
        <v>104235</v>
      </c>
      <c r="I41" s="1">
        <v>105754</v>
      </c>
      <c r="J41" s="1">
        <v>209989</v>
      </c>
      <c r="K41" s="31">
        <f>Table15[[#This Row],[Proj2020_Hommes]]/$J$44</f>
        <v>8.9768609105440114E-2</v>
      </c>
      <c r="L41" s="31">
        <f>Table15[[#This Row],[Proj2020_Femmes]]/$J$44</f>
        <v>9.1076792702419668E-2</v>
      </c>
      <c r="M41" s="31">
        <f>Table15[[#This Row],[Proj_2020_Total]]/$J$44</f>
        <v>0.18084540180785977</v>
      </c>
      <c r="N41" s="11">
        <v>107254.9757023647</v>
      </c>
      <c r="O41" s="11">
        <v>108817.98532573393</v>
      </c>
      <c r="P41" s="11">
        <v>216072.96102809862</v>
      </c>
      <c r="Q41" s="29">
        <f>Table15[[#This Row],[Proj2021_Hommes22]]/$P$44</f>
        <v>8.9768609105440114E-2</v>
      </c>
      <c r="R41" s="29">
        <f>Table15[[#This Row],[Proj2021_Femmes32]]/$P$44</f>
        <v>9.1076792702419668E-2</v>
      </c>
      <c r="S41" s="29">
        <f>Table15[[#This Row],[Proj_2021_Total43]]/$P$44</f>
        <v>0.18084540180785977</v>
      </c>
      <c r="T41" s="11">
        <f t="shared" si="95"/>
        <v>109240.36444048988</v>
      </c>
      <c r="U41" s="11">
        <f t="shared" si="96"/>
        <v>110832.30681670809</v>
      </c>
      <c r="V41" s="11">
        <f t="shared" si="97"/>
        <v>220072.67125719794</v>
      </c>
      <c r="W41" s="58">
        <f t="shared" si="98"/>
        <v>8.9768609105440114E-2</v>
      </c>
      <c r="X41" s="58">
        <f t="shared" si="99"/>
        <v>9.1076792702419668E-2</v>
      </c>
      <c r="Y41" s="58">
        <f t="shared" si="100"/>
        <v>0.18084540180785977</v>
      </c>
      <c r="Z41" s="11">
        <f t="shared" si="101"/>
        <v>115005.50034672805</v>
      </c>
      <c r="AA41" s="11">
        <f t="shared" si="102"/>
        <v>116681.45712733611</v>
      </c>
      <c r="AB41" s="11">
        <f t="shared" si="103"/>
        <v>231686.95747406414</v>
      </c>
    </row>
    <row r="42" spans="1:28" x14ac:dyDescent="0.35">
      <c r="A42" t="s">
        <v>76</v>
      </c>
      <c r="B42" t="s">
        <v>193</v>
      </c>
      <c r="C42" t="s">
        <v>77</v>
      </c>
      <c r="D42" t="s">
        <v>69</v>
      </c>
      <c r="E42" t="s">
        <v>68</v>
      </c>
      <c r="F42">
        <v>67907</v>
      </c>
      <c r="G42">
        <v>70814</v>
      </c>
      <c r="H42" s="1">
        <v>78835</v>
      </c>
      <c r="I42" s="1">
        <v>82210</v>
      </c>
      <c r="J42" s="1">
        <v>161045</v>
      </c>
      <c r="K42" s="31">
        <f>Table15[[#This Row],[Proj2020_Hommes]]/$J$44</f>
        <v>6.7893781348178361E-2</v>
      </c>
      <c r="L42" s="31">
        <f>Table15[[#This Row],[Proj2020_Femmes]]/$J$44</f>
        <v>7.0800377556082233E-2</v>
      </c>
      <c r="M42" s="31">
        <f>Table15[[#This Row],[Proj_2020_Total]]/$J$44</f>
        <v>0.13869415890426059</v>
      </c>
      <c r="N42" s="11">
        <v>81119.067582826508</v>
      </c>
      <c r="O42" s="11">
        <v>84591.85064989113</v>
      </c>
      <c r="P42" s="11">
        <v>165710.91823271764</v>
      </c>
      <c r="Q42" s="29">
        <f>Table15[[#This Row],[Proj2021_Hommes22]]/$P$44</f>
        <v>6.7893781348178361E-2</v>
      </c>
      <c r="R42" s="29">
        <f>Table15[[#This Row],[Proj2021_Femmes32]]/$P$44</f>
        <v>7.0800377556082233E-2</v>
      </c>
      <c r="S42" s="29">
        <f>Table15[[#This Row],[Proj_2021_Total43]]/$P$44</f>
        <v>0.13869415890426059</v>
      </c>
      <c r="T42" s="11">
        <f t="shared" si="95"/>
        <v>82620.656503727354</v>
      </c>
      <c r="U42" s="11">
        <f t="shared" si="96"/>
        <v>86157.723995324734</v>
      </c>
      <c r="V42" s="11">
        <f t="shared" si="97"/>
        <v>168778.38049905209</v>
      </c>
      <c r="W42" s="58">
        <f t="shared" si="98"/>
        <v>6.7893781348178361E-2</v>
      </c>
      <c r="X42" s="58">
        <f t="shared" si="99"/>
        <v>7.0800377556082233E-2</v>
      </c>
      <c r="Y42" s="58">
        <f t="shared" si="100"/>
        <v>0.13869415890426059</v>
      </c>
      <c r="Z42" s="11">
        <f t="shared" si="101"/>
        <v>86980.943251636272</v>
      </c>
      <c r="AA42" s="11">
        <f t="shared" si="102"/>
        <v>90704.67869242109</v>
      </c>
      <c r="AB42" s="11">
        <f t="shared" si="103"/>
        <v>177685.62194405735</v>
      </c>
    </row>
    <row r="43" spans="1:28" x14ac:dyDescent="0.35">
      <c r="A43" t="s">
        <v>79</v>
      </c>
      <c r="B43" t="s">
        <v>78</v>
      </c>
      <c r="C43" t="s">
        <v>78</v>
      </c>
      <c r="D43" t="s">
        <v>69</v>
      </c>
      <c r="E43" t="s">
        <v>68</v>
      </c>
      <c r="F43">
        <v>135568</v>
      </c>
      <c r="G43">
        <v>145478</v>
      </c>
      <c r="H43" s="1">
        <v>157385</v>
      </c>
      <c r="I43" s="1">
        <v>168890</v>
      </c>
      <c r="J43" s="1">
        <v>326275</v>
      </c>
      <c r="K43" s="31">
        <f>Table15[[#This Row],[Proj2020_Hommes]]/$J$44</f>
        <v>0.13554211679435596</v>
      </c>
      <c r="L43" s="31">
        <f>Table15[[#This Row],[Proj2020_Femmes]]/$J$44</f>
        <v>0.14545038031196605</v>
      </c>
      <c r="M43" s="31">
        <f>Table15[[#This Row],[Proj_2020_Total]]/$J$44</f>
        <v>0.28099249710632201</v>
      </c>
      <c r="N43" s="11">
        <v>161944.87792887868</v>
      </c>
      <c r="O43" s="11">
        <v>173783.20953971674</v>
      </c>
      <c r="P43" s="11">
        <v>335728.08746859542</v>
      </c>
      <c r="Q43" s="29">
        <f>Table15[[#This Row],[Proj2021_Hommes22]]/$P$44</f>
        <v>0.13554211679435596</v>
      </c>
      <c r="R43" s="29">
        <f>Table15[[#This Row],[Proj2021_Femmes32]]/$P$44</f>
        <v>0.14545038031196605</v>
      </c>
      <c r="S43" s="29">
        <f>Table15[[#This Row],[Proj_2021_Total43]]/$P$44</f>
        <v>0.28099249710632201</v>
      </c>
      <c r="T43" s="11">
        <f t="shared" si="95"/>
        <v>164942.62730816426</v>
      </c>
      <c r="U43" s="11">
        <f t="shared" si="96"/>
        <v>177000.09737952068</v>
      </c>
      <c r="V43" s="11">
        <f t="shared" si="97"/>
        <v>341942.72468768491</v>
      </c>
      <c r="W43" s="58">
        <f t="shared" si="98"/>
        <v>0.13554211679435596</v>
      </c>
      <c r="X43" s="58">
        <f t="shared" si="99"/>
        <v>0.14545038031196605</v>
      </c>
      <c r="Y43" s="58">
        <f t="shared" si="100"/>
        <v>0.28099249710632201</v>
      </c>
      <c r="Z43" s="11">
        <f t="shared" si="101"/>
        <v>173647.43773271737</v>
      </c>
      <c r="AA43" s="11">
        <f t="shared" si="102"/>
        <v>186341.23810197055</v>
      </c>
      <c r="AB43" s="11">
        <f t="shared" si="103"/>
        <v>359988.67583468795</v>
      </c>
    </row>
    <row r="44" spans="1:28" x14ac:dyDescent="0.35">
      <c r="H44" s="1"/>
      <c r="I44" s="1"/>
      <c r="J44" s="23">
        <f>J43+J42+J41+J40+J39+J38</f>
        <v>1161152</v>
      </c>
      <c r="K44" s="11"/>
      <c r="L44" s="11"/>
      <c r="M44" s="11"/>
      <c r="N44" s="30">
        <f>[1]Sheet1!$D$34</f>
        <v>1194793.7789298429</v>
      </c>
      <c r="O44" s="11"/>
      <c r="P44" s="11">
        <f>P43+P42+P41+P40+P39+P38</f>
        <v>1194793.7789298429</v>
      </c>
      <c r="Q44" s="9"/>
      <c r="R44" s="9"/>
      <c r="S44" s="9"/>
      <c r="T44" s="9"/>
      <c r="U44" s="9"/>
      <c r="V44" s="30">
        <v>1216910.5161491218</v>
      </c>
      <c r="W44" s="9"/>
      <c r="X44" s="9"/>
      <c r="Y44" s="9"/>
      <c r="Z44" s="9"/>
      <c r="AA44" s="9"/>
      <c r="AB44" s="30">
        <v>1281132.6976409457</v>
      </c>
    </row>
    <row r="45" spans="1:28" x14ac:dyDescent="0.35">
      <c r="A45" t="s">
        <v>81</v>
      </c>
      <c r="B45" t="s">
        <v>80</v>
      </c>
      <c r="C45" t="s">
        <v>80</v>
      </c>
      <c r="D45" t="s">
        <v>83</v>
      </c>
      <c r="E45" t="s">
        <v>82</v>
      </c>
      <c r="F45">
        <v>159561</v>
      </c>
      <c r="G45">
        <v>169135</v>
      </c>
      <c r="H45" s="1">
        <v>183762</v>
      </c>
      <c r="I45" s="1">
        <v>194787</v>
      </c>
      <c r="J45" s="1">
        <v>378549</v>
      </c>
      <c r="K45" s="31">
        <f>Table15[[#This Row],[Proj2020_Hommes]]/$J$48</f>
        <v>0.19795454937175752</v>
      </c>
      <c r="L45" s="31">
        <f>Table15[[#This Row],[Proj2020_Femmes]]/$J$48</f>
        <v>0.2098310467260725</v>
      </c>
      <c r="M45" s="31">
        <f>Table15[[#This Row],[Proj_2020_Total]]/$J$48</f>
        <v>0.40778559609782999</v>
      </c>
      <c r="N45" s="11">
        <v>189085.92959214313</v>
      </c>
      <c r="O45" s="11">
        <v>200430.34450792213</v>
      </c>
      <c r="P45" s="11">
        <v>389516.27410006523</v>
      </c>
      <c r="Q45" s="29">
        <f>Table15[[#This Row],[Proj2021_Hommes22]]/$P$48</f>
        <v>0.19795454937175752</v>
      </c>
      <c r="R45" s="29">
        <f>Table15[[#This Row],[Proj2021_Femmes32]]/$P$48</f>
        <v>0.2098310467260725</v>
      </c>
      <c r="S45" s="29">
        <f>Table15[[#This Row],[Proj_2021_Total43]]/$P$48</f>
        <v>0.40778559609782999</v>
      </c>
      <c r="T45" s="11">
        <f>Q45*$V$48</f>
        <v>192586.0849247213</v>
      </c>
      <c r="U45" s="11">
        <f t="shared" ref="U45:V45" si="104">R45*$V$48</f>
        <v>204140.49544645622</v>
      </c>
      <c r="V45" s="11">
        <f t="shared" si="104"/>
        <v>396726.58037117752</v>
      </c>
      <c r="W45" s="58">
        <f>T45/$V$48</f>
        <v>0.19795454937175752</v>
      </c>
      <c r="X45" s="58">
        <f t="shared" ref="X45:Y45" si="105">U45/$V$48</f>
        <v>0.2098310467260725</v>
      </c>
      <c r="Y45" s="58">
        <f t="shared" si="105"/>
        <v>0.40778559609782999</v>
      </c>
      <c r="Z45" s="11">
        <f>W45*$AB$48</f>
        <v>202749.77266897252</v>
      </c>
      <c r="AA45" s="11">
        <f t="shared" ref="AA45:AB45" si="106">X45*$AB$48</f>
        <v>214913.96463290098</v>
      </c>
      <c r="AB45" s="11">
        <f t="shared" si="106"/>
        <v>417663.73730187351</v>
      </c>
    </row>
    <row r="46" spans="1:28" x14ac:dyDescent="0.35">
      <c r="A46" t="s">
        <v>85</v>
      </c>
      <c r="B46" t="s">
        <v>84</v>
      </c>
      <c r="C46" t="s">
        <v>84</v>
      </c>
      <c r="D46" t="s">
        <v>83</v>
      </c>
      <c r="E46" t="s">
        <v>82</v>
      </c>
      <c r="F46">
        <v>136659</v>
      </c>
      <c r="G46">
        <v>142159</v>
      </c>
      <c r="H46" s="1">
        <v>157386</v>
      </c>
      <c r="I46" s="1">
        <v>163719</v>
      </c>
      <c r="J46" s="1">
        <v>321105</v>
      </c>
      <c r="K46" s="31">
        <f>Table15[[#This Row],[Proj2020_Hommes]]/$J$48</f>
        <v>0.16954144332029164</v>
      </c>
      <c r="L46" s="31">
        <f>Table15[[#This Row],[Proj2020_Femmes]]/$J$48</f>
        <v>0.17636356193660696</v>
      </c>
      <c r="M46" s="31">
        <f>Table15[[#This Row],[Proj_2020_Total]]/$J$48</f>
        <v>0.3459050052568986</v>
      </c>
      <c r="N46" s="11">
        <v>161945.76743172714</v>
      </c>
      <c r="O46" s="11">
        <v>168462.24631260044</v>
      </c>
      <c r="P46" s="11">
        <v>330408.01374432759</v>
      </c>
      <c r="Q46" s="29">
        <f>Table15[[#This Row],[Proj2021_Hommes22]]/$P$48</f>
        <v>0.16954144332029164</v>
      </c>
      <c r="R46" s="29">
        <f>Table15[[#This Row],[Proj2021_Femmes32]]/$P$48</f>
        <v>0.17636356193660696</v>
      </c>
      <c r="S46" s="29">
        <f>Table15[[#This Row],[Proj_2021_Total43]]/$P$48</f>
        <v>0.3459050052568986</v>
      </c>
      <c r="T46" s="11">
        <f t="shared" ref="T46:T47" si="107">Q46*$V$48</f>
        <v>164943.53327653263</v>
      </c>
      <c r="U46" s="11">
        <f t="shared" ref="U46:U47" si="108">R46*$V$48</f>
        <v>171580.63820479994</v>
      </c>
      <c r="V46" s="11">
        <f t="shared" ref="V46:V47" si="109">S46*$V$48</f>
        <v>336524.17148133257</v>
      </c>
      <c r="W46" s="58">
        <f t="shared" ref="W46:W47" si="110">T46/$V$48</f>
        <v>0.16954144332029164</v>
      </c>
      <c r="X46" s="58">
        <f t="shared" ref="X46:X47" si="111">U46/$V$48</f>
        <v>0.17636356193660696</v>
      </c>
      <c r="Y46" s="58">
        <f t="shared" ref="Y46:Y47" si="112">V46/$V$48</f>
        <v>0.3459050052568986</v>
      </c>
      <c r="Z46" s="11">
        <f t="shared" ref="Z46:Z47" si="113">W46*$AB$48</f>
        <v>173648.39151336462</v>
      </c>
      <c r="AA46" s="11">
        <f t="shared" ref="AA46:AA47" si="114">X46*$AB$48</f>
        <v>180635.76817618174</v>
      </c>
      <c r="AB46" s="11">
        <f t="shared" ref="AB46:AB47" si="115">Y46*$AB$48</f>
        <v>354284.15968954639</v>
      </c>
    </row>
    <row r="47" spans="1:28" x14ac:dyDescent="0.35">
      <c r="A47" t="s">
        <v>87</v>
      </c>
      <c r="B47" t="s">
        <v>86</v>
      </c>
      <c r="C47" t="s">
        <v>86</v>
      </c>
      <c r="D47" t="s">
        <v>83</v>
      </c>
      <c r="E47" t="s">
        <v>82</v>
      </c>
      <c r="F47">
        <v>95980</v>
      </c>
      <c r="G47">
        <v>102557</v>
      </c>
      <c r="H47" s="1">
        <v>110538</v>
      </c>
      <c r="I47" s="1">
        <v>118112</v>
      </c>
      <c r="J47" s="1">
        <v>228650</v>
      </c>
      <c r="K47" s="31">
        <f>Table15[[#This Row],[Proj2020_Hommes]]/$J$48</f>
        <v>0.11907521673934401</v>
      </c>
      <c r="L47" s="31">
        <f>Table15[[#This Row],[Proj2020_Femmes]]/$J$48</f>
        <v>0.12723418190592736</v>
      </c>
      <c r="M47" s="31">
        <f>Table15[[#This Row],[Proj_2020_Total]]/$J$48</f>
        <v>0.24630939864527138</v>
      </c>
      <c r="N47" s="11">
        <v>113740.49305763062</v>
      </c>
      <c r="O47" s="11">
        <v>121533.92603469275</v>
      </c>
      <c r="P47" s="11">
        <v>235274.41909232337</v>
      </c>
      <c r="Q47" s="29">
        <f>Table15[[#This Row],[Proj2021_Hommes22]]/$P$48</f>
        <v>0.119075216739344</v>
      </c>
      <c r="R47" s="29">
        <f>Table15[[#This Row],[Proj2021_Femmes32]]/$P$48</f>
        <v>0.12723418190592736</v>
      </c>
      <c r="S47" s="29">
        <f>Table15[[#This Row],[Proj_2021_Total43]]/$P$48</f>
        <v>0.24630939864527138</v>
      </c>
      <c r="T47" s="11">
        <f t="shared" si="107"/>
        <v>115845.93471669247</v>
      </c>
      <c r="U47" s="11">
        <f t="shared" si="108"/>
        <v>123783.63134178275</v>
      </c>
      <c r="V47" s="11">
        <f t="shared" si="109"/>
        <v>239629.56605847523</v>
      </c>
      <c r="W47" s="58">
        <f t="shared" si="110"/>
        <v>0.119075216739344</v>
      </c>
      <c r="X47" s="58">
        <f t="shared" si="111"/>
        <v>0.12723418190592736</v>
      </c>
      <c r="Y47" s="58">
        <f t="shared" si="112"/>
        <v>0.24630939864527138</v>
      </c>
      <c r="Z47" s="11">
        <f t="shared" si="113"/>
        <v>121959.6781232403</v>
      </c>
      <c r="AA47" s="11">
        <f t="shared" si="114"/>
        <v>130316.28492004702</v>
      </c>
      <c r="AB47" s="11">
        <f t="shared" si="115"/>
        <v>252275.96304328734</v>
      </c>
    </row>
    <row r="48" spans="1:28" x14ac:dyDescent="0.35">
      <c r="H48" s="1"/>
      <c r="I48" s="1"/>
      <c r="J48" s="23">
        <f>J47+J46+J45</f>
        <v>928304</v>
      </c>
      <c r="K48" s="11"/>
      <c r="L48" s="11"/>
      <c r="M48" s="11"/>
      <c r="N48" s="30">
        <f>[1]Sheet1!$D$35</f>
        <v>955198.70693671622</v>
      </c>
      <c r="O48" s="11"/>
      <c r="P48" s="11">
        <f>P47+P46+P45</f>
        <v>955198.70693671622</v>
      </c>
      <c r="Q48" s="9"/>
      <c r="R48" s="9"/>
      <c r="S48" s="9"/>
      <c r="T48" s="9"/>
      <c r="U48" s="9"/>
      <c r="V48" s="30">
        <v>972880.31791098532</v>
      </c>
      <c r="W48" s="9"/>
      <c r="X48" s="9"/>
      <c r="Y48" s="9"/>
      <c r="Z48" s="9"/>
      <c r="AA48" s="9"/>
      <c r="AB48" s="30">
        <v>1024223.8600347072</v>
      </c>
    </row>
    <row r="49" spans="1:28" x14ac:dyDescent="0.35">
      <c r="A49" t="s">
        <v>89</v>
      </c>
      <c r="B49" t="s">
        <v>88</v>
      </c>
      <c r="C49" t="s">
        <v>88</v>
      </c>
      <c r="D49" t="s">
        <v>91</v>
      </c>
      <c r="E49" t="s">
        <v>90</v>
      </c>
      <c r="F49">
        <v>147459</v>
      </c>
      <c r="G49">
        <v>155378</v>
      </c>
      <c r="H49" s="1">
        <v>170051</v>
      </c>
      <c r="I49" s="1">
        <v>179182</v>
      </c>
      <c r="J49" s="1">
        <v>349233</v>
      </c>
      <c r="K49" s="31">
        <f>Table15[[#This Row],[Proj2020_Hommes]]/$J$53</f>
        <v>0.14829869562449474</v>
      </c>
      <c r="L49" s="31">
        <f>Table15[[#This Row],[Proj2020_Femmes]]/$J$53</f>
        <v>0.1562616913713428</v>
      </c>
      <c r="M49" s="31">
        <f>Table15[[#This Row],[Proj_2020_Total]]/$J$53</f>
        <v>0.30456038699583754</v>
      </c>
      <c r="N49" s="11">
        <v>174977.69622159933</v>
      </c>
      <c r="O49" s="11">
        <v>184373.23840717555</v>
      </c>
      <c r="P49" s="11">
        <v>359350.93462877488</v>
      </c>
      <c r="Q49" s="29">
        <f>Table15[[#This Row],[Proj2021_Hommes22]]/$P$53</f>
        <v>0.14829869562449474</v>
      </c>
      <c r="R49" s="29">
        <f>Table15[[#This Row],[Proj2021_Femmes32]]/$P$53</f>
        <v>0.1562616913713428</v>
      </c>
      <c r="S49" s="29">
        <f>Table15[[#This Row],[Proj_2021_Total43]]/$P$53</f>
        <v>0.30456038699583754</v>
      </c>
      <c r="T49" s="11">
        <f>Q49*$V$53</f>
        <v>178216.69511397232</v>
      </c>
      <c r="U49" s="11">
        <f t="shared" ref="U49:V49" si="116">R49*$V$53</f>
        <v>187786.15746988717</v>
      </c>
      <c r="V49" s="11">
        <f t="shared" si="116"/>
        <v>366002.85258385952</v>
      </c>
      <c r="W49" s="58">
        <f>T49/$V$53</f>
        <v>0.14829869562449474</v>
      </c>
      <c r="X49" s="58">
        <f t="shared" ref="X49:Y49" si="117">U49/$V$53</f>
        <v>0.1562616913713428</v>
      </c>
      <c r="Y49" s="58">
        <f t="shared" si="117"/>
        <v>0.30456038699583754</v>
      </c>
      <c r="Z49" s="11">
        <f>W49*$AB$53</f>
        <v>187622.04151092962</v>
      </c>
      <c r="AA49" s="11">
        <f t="shared" ref="AA49:AB49" si="118">X49*$AB$53</f>
        <v>197696.53011162172</v>
      </c>
      <c r="AB49" s="11">
        <f t="shared" si="118"/>
        <v>385318.5716225513</v>
      </c>
    </row>
    <row r="50" spans="1:28" x14ac:dyDescent="0.35">
      <c r="A50" t="s">
        <v>93</v>
      </c>
      <c r="B50" t="s">
        <v>92</v>
      </c>
      <c r="C50" t="s">
        <v>92</v>
      </c>
      <c r="D50" t="s">
        <v>91</v>
      </c>
      <c r="E50" t="s">
        <v>90</v>
      </c>
      <c r="F50">
        <v>139618</v>
      </c>
      <c r="G50">
        <v>154065</v>
      </c>
      <c r="H50" s="1">
        <v>161006</v>
      </c>
      <c r="I50" s="1">
        <v>177669</v>
      </c>
      <c r="J50" s="1">
        <v>338675</v>
      </c>
      <c r="K50" s="31">
        <f>Table15[[#This Row],[Proj2020_Hommes]]/$J$53</f>
        <v>0.14041069907096929</v>
      </c>
      <c r="L50" s="31">
        <f>Table15[[#This Row],[Proj2020_Femmes]]/$J$53</f>
        <v>0.15494222881905048</v>
      </c>
      <c r="M50" s="31">
        <f>Table15[[#This Row],[Proj_2020_Total]]/$J$53</f>
        <v>0.29535292789001977</v>
      </c>
      <c r="N50" s="11">
        <v>165670.64561722553</v>
      </c>
      <c r="O50" s="11">
        <v>182816.40396113711</v>
      </c>
      <c r="P50" s="11">
        <v>348487.04957836267</v>
      </c>
      <c r="Q50" s="29">
        <f>Table15[[#This Row],[Proj2021_Hommes22]]/$P$53</f>
        <v>0.14041069907096929</v>
      </c>
      <c r="R50" s="29">
        <f>Table15[[#This Row],[Proj2021_Femmes32]]/$P$53</f>
        <v>0.15494222881905048</v>
      </c>
      <c r="S50" s="29">
        <f>Table15[[#This Row],[Proj_2021_Total43]]/$P$53</f>
        <v>0.29535292789001977</v>
      </c>
      <c r="T50" s="11">
        <f t="shared" ref="T50:T52" si="119">Q50*$V$53</f>
        <v>168737.36240022242</v>
      </c>
      <c r="U50" s="11">
        <f t="shared" ref="U50:U52" si="120">R50*$V$53</f>
        <v>186200.50457924002</v>
      </c>
      <c r="V50" s="11">
        <f t="shared" ref="V50:V52" si="121">S50*$V$53</f>
        <v>354937.86697946244</v>
      </c>
      <c r="W50" s="58">
        <f t="shared" ref="W50:W52" si="122">T50/$V$53</f>
        <v>0.14041069907096929</v>
      </c>
      <c r="X50" s="58">
        <f t="shared" ref="X50:X52" si="123">U50/$V$53</f>
        <v>0.15494222881905048</v>
      </c>
      <c r="Y50" s="58">
        <f t="shared" ref="Y50:Y52" si="124">V50/$V$53</f>
        <v>0.29535292789001977</v>
      </c>
      <c r="Z50" s="11">
        <f t="shared" ref="Z50:Z52" si="125">W50*$AB$53</f>
        <v>177642.43912419645</v>
      </c>
      <c r="AA50" s="11">
        <f t="shared" ref="AA50:AA52" si="126">X50*$AB$53</f>
        <v>196027.1947427851</v>
      </c>
      <c r="AB50" s="11">
        <f t="shared" ref="AB50:AB52" si="127">Y50*$AB$53</f>
        <v>373669.63386698154</v>
      </c>
    </row>
    <row r="51" spans="1:28" x14ac:dyDescent="0.35">
      <c r="A51" t="s">
        <v>94</v>
      </c>
      <c r="B51" t="s">
        <v>194</v>
      </c>
      <c r="C51" t="s">
        <v>95</v>
      </c>
      <c r="D51" t="s">
        <v>91</v>
      </c>
      <c r="E51" t="s">
        <v>90</v>
      </c>
      <c r="F51">
        <v>51880</v>
      </c>
      <c r="G51">
        <v>53423</v>
      </c>
      <c r="H51" s="1">
        <v>59828</v>
      </c>
      <c r="I51" s="1">
        <v>61608</v>
      </c>
      <c r="J51" s="1">
        <v>121436</v>
      </c>
      <c r="K51" s="31">
        <f>Table15[[#This Row],[Proj2020_Hommes]]/$J$53</f>
        <v>5.2175020210538436E-2</v>
      </c>
      <c r="L51" s="31">
        <f>Table15[[#This Row],[Proj2020_Femmes]]/$J$53</f>
        <v>5.3727329095588215E-2</v>
      </c>
      <c r="M51" s="31">
        <f>Table15[[#This Row],[Proj_2020_Total]]/$J$53</f>
        <v>0.10590234930612664</v>
      </c>
      <c r="N51" s="11">
        <v>61561.329304419531</v>
      </c>
      <c r="O51" s="11">
        <v>63392.899240935316</v>
      </c>
      <c r="P51" s="11">
        <v>124954.22854535484</v>
      </c>
      <c r="Q51" s="29">
        <f>Table15[[#This Row],[Proj2021_Hommes22]]/$P$53</f>
        <v>5.2175020210538436E-2</v>
      </c>
      <c r="R51" s="29">
        <f>Table15[[#This Row],[Proj2021_Femmes32]]/$P$53</f>
        <v>5.3727329095588215E-2</v>
      </c>
      <c r="S51" s="29">
        <f>Table15[[#This Row],[Proj_2021_Total43]]/$P$53</f>
        <v>0.10590234930612664</v>
      </c>
      <c r="T51" s="11">
        <f t="shared" si="119"/>
        <v>62700.886412186555</v>
      </c>
      <c r="U51" s="11">
        <f t="shared" si="120"/>
        <v>64566.360401183207</v>
      </c>
      <c r="V51" s="11">
        <f t="shared" si="121"/>
        <v>127267.24681336975</v>
      </c>
      <c r="W51" s="58">
        <f t="shared" si="122"/>
        <v>5.2175020210538436E-2</v>
      </c>
      <c r="X51" s="58">
        <f t="shared" si="123"/>
        <v>5.3727329095588215E-2</v>
      </c>
      <c r="Y51" s="58">
        <f t="shared" si="124"/>
        <v>0.10590234930612664</v>
      </c>
      <c r="Z51" s="11">
        <f t="shared" si="125"/>
        <v>66009.911729515836</v>
      </c>
      <c r="AA51" s="11">
        <f t="shared" si="126"/>
        <v>67973.835692853027</v>
      </c>
      <c r="AB51" s="11">
        <f t="shared" si="127"/>
        <v>133983.74742236885</v>
      </c>
    </row>
    <row r="52" spans="1:28" x14ac:dyDescent="0.35">
      <c r="A52" t="s">
        <v>97</v>
      </c>
      <c r="B52" t="s">
        <v>96</v>
      </c>
      <c r="C52" t="s">
        <v>96</v>
      </c>
      <c r="D52" t="s">
        <v>91</v>
      </c>
      <c r="E52" t="s">
        <v>90</v>
      </c>
      <c r="F52">
        <v>137494</v>
      </c>
      <c r="G52">
        <v>155027</v>
      </c>
      <c r="H52" s="1">
        <v>158559</v>
      </c>
      <c r="I52" s="1">
        <v>178776</v>
      </c>
      <c r="J52" s="1">
        <v>337335</v>
      </c>
      <c r="K52" s="31">
        <f>Table15[[#This Row],[Proj2020_Hommes]]/$J$53</f>
        <v>0.13827671039584749</v>
      </c>
      <c r="L52" s="31">
        <f>Table15[[#This Row],[Proj2020_Femmes]]/$J$53</f>
        <v>0.15590762541216854</v>
      </c>
      <c r="M52" s="31">
        <f>Table15[[#This Row],[Proj_2020_Total]]/$J$53</f>
        <v>0.29418433580801601</v>
      </c>
      <c r="N52" s="11">
        <v>163152.75144045358</v>
      </c>
      <c r="O52" s="11">
        <v>183955.47582615007</v>
      </c>
      <c r="P52" s="11">
        <v>347108.22726660362</v>
      </c>
      <c r="Q52" s="29">
        <f>Table15[[#This Row],[Proj2021_Hommes22]]/$P$53</f>
        <v>0.13827671039584749</v>
      </c>
      <c r="R52" s="29">
        <f>Table15[[#This Row],[Proj2021_Femmes32]]/$P$53</f>
        <v>0.15590762541216854</v>
      </c>
      <c r="S52" s="29">
        <f>Table15[[#This Row],[Proj_2021_Total43]]/$P$53</f>
        <v>0.29418433580801601</v>
      </c>
      <c r="T52" s="11">
        <f t="shared" si="119"/>
        <v>166172.85967489952</v>
      </c>
      <c r="U52" s="11">
        <f t="shared" si="120"/>
        <v>187360.66171734079</v>
      </c>
      <c r="V52" s="11">
        <f t="shared" si="121"/>
        <v>353533.52139224025</v>
      </c>
      <c r="W52" s="58">
        <f t="shared" si="122"/>
        <v>0.13827671039584749</v>
      </c>
      <c r="X52" s="58">
        <f t="shared" si="123"/>
        <v>0.15590762541216854</v>
      </c>
      <c r="Y52" s="58">
        <f t="shared" si="124"/>
        <v>0.29418433580801601</v>
      </c>
      <c r="Z52" s="11">
        <f t="shared" si="125"/>
        <v>174942.59533864245</v>
      </c>
      <c r="AA52" s="11">
        <f t="shared" si="126"/>
        <v>197248.57891548978</v>
      </c>
      <c r="AB52" s="11">
        <f t="shared" si="127"/>
        <v>372191.1742541322</v>
      </c>
    </row>
    <row r="53" spans="1:28" x14ac:dyDescent="0.35">
      <c r="H53" s="1"/>
      <c r="I53" s="1"/>
      <c r="J53" s="23">
        <f>J52+J51+J50+J49</f>
        <v>1146679</v>
      </c>
      <c r="K53" s="11"/>
      <c r="L53" s="11"/>
      <c r="M53" s="11"/>
      <c r="N53" s="30">
        <f>[1]Sheet1!$D$36</f>
        <v>1179900.440019096</v>
      </c>
      <c r="O53" s="11"/>
      <c r="P53" s="11">
        <f>P52+P51+P50+P49</f>
        <v>1179900.440019096</v>
      </c>
      <c r="Q53" s="9"/>
      <c r="R53" s="9"/>
      <c r="S53" s="9"/>
      <c r="T53" s="9"/>
      <c r="U53" s="9"/>
      <c r="V53" s="30">
        <v>1201741.487768932</v>
      </c>
      <c r="W53" s="9"/>
      <c r="X53" s="9"/>
      <c r="Y53" s="9"/>
      <c r="Z53" s="9"/>
      <c r="AA53" s="9"/>
      <c r="AB53" s="30">
        <v>1265163.127166034</v>
      </c>
    </row>
    <row r="54" spans="1:28" x14ac:dyDescent="0.35">
      <c r="A54" t="s">
        <v>183</v>
      </c>
      <c r="B54" t="s">
        <v>182</v>
      </c>
      <c r="C54" t="s">
        <v>182</v>
      </c>
      <c r="D54" t="s">
        <v>101</v>
      </c>
      <c r="E54" t="s">
        <v>100</v>
      </c>
      <c r="F54">
        <v>208194</v>
      </c>
      <c r="G54">
        <v>221412</v>
      </c>
      <c r="H54" s="1">
        <v>242956</v>
      </c>
      <c r="I54" s="1">
        <v>258381</v>
      </c>
      <c r="J54" s="1">
        <v>501337</v>
      </c>
      <c r="K54" s="31">
        <f>Table15[[#This Row],[Proj2020_Hommes]]/$J$57</f>
        <v>0.28738925229775608</v>
      </c>
      <c r="L54" s="31">
        <f>Table15[[#This Row],[Proj2020_Femmes]]/$J$57</f>
        <v>0.30563526892913329</v>
      </c>
      <c r="M54" s="31">
        <f>Table15[[#This Row],[Proj_2020_Total]]/$J$57</f>
        <v>0.59302452122688931</v>
      </c>
      <c r="N54" s="11">
        <f>Table15[[#This Row],[Proj2020_Hommes2]]*$N$57</f>
        <v>249994.5950127056</v>
      </c>
      <c r="O54" s="11">
        <f>Table15[[#This Row],[Proj2020_Femmes3]]*$N$57</f>
        <v>265866.46740141371</v>
      </c>
      <c r="P54" s="11">
        <f>Table15[[#This Row],[Proj_2020_Total4]]*$N$57</f>
        <v>515861.06241411925</v>
      </c>
      <c r="Q54" s="29">
        <f>Table15[[#This Row],[Proj2021_Hommes22]]/$P$57</f>
        <v>0.28738925229775614</v>
      </c>
      <c r="R54" s="29">
        <f>Table15[[#This Row],[Proj2021_Femmes32]]/$P$57</f>
        <v>0.30563526892913329</v>
      </c>
      <c r="S54" s="29">
        <f>Table15[[#This Row],[Proj_2021_Total43]]/$P$57</f>
        <v>0.59302452122688931</v>
      </c>
      <c r="T54" s="11">
        <f>Q54*$V$57</f>
        <v>254622.22604129065</v>
      </c>
      <c r="U54" s="11">
        <f t="shared" ref="U54:V54" si="128">R54*$V$57</f>
        <v>270787.90145859623</v>
      </c>
      <c r="V54" s="11">
        <f t="shared" si="128"/>
        <v>525410.12749988679</v>
      </c>
      <c r="W54" s="58">
        <f>T54/$V$57</f>
        <v>0.28738925229775614</v>
      </c>
      <c r="X54" s="58">
        <f t="shared" ref="X54:Y54" si="129">U54/$V$57</f>
        <v>0.30563526892913334</v>
      </c>
      <c r="Y54" s="58">
        <f t="shared" si="129"/>
        <v>0.59302452122688931</v>
      </c>
      <c r="Z54" s="11">
        <f>W54*$AB$57</f>
        <v>268059.85731792933</v>
      </c>
      <c r="AA54" s="11">
        <f t="shared" ref="AA54:AB54" si="130">X54*$AB$57</f>
        <v>285078.67265539395</v>
      </c>
      <c r="AB54" s="11">
        <f t="shared" si="130"/>
        <v>553138.52997332311</v>
      </c>
    </row>
    <row r="55" spans="1:28" x14ac:dyDescent="0.35">
      <c r="A55" t="s">
        <v>98</v>
      </c>
      <c r="B55" t="s">
        <v>195</v>
      </c>
      <c r="C55" t="s">
        <v>99</v>
      </c>
      <c r="D55" t="s">
        <v>101</v>
      </c>
      <c r="E55" t="s">
        <v>100</v>
      </c>
      <c r="F55">
        <v>34078</v>
      </c>
      <c r="G55">
        <v>36381</v>
      </c>
      <c r="H55" s="1">
        <v>126725</v>
      </c>
      <c r="I55" s="1">
        <v>135104</v>
      </c>
      <c r="J55" s="1">
        <v>261829</v>
      </c>
      <c r="K55" s="31">
        <f>Table15[[#This Row],[Proj2020_Hommes]]/$J$57</f>
        <v>0.14990122901855948</v>
      </c>
      <c r="L55" s="31">
        <f>Table15[[#This Row],[Proj2020_Femmes]]/$J$57</f>
        <v>0.15981263085676434</v>
      </c>
      <c r="M55" s="31">
        <f>Table15[[#This Row],[Proj_2020_Total]]/$J$57</f>
        <v>0.30971385987532379</v>
      </c>
      <c r="N55" s="11">
        <f>Table15[[#This Row],[Proj2020_Hommes2]]*$N$57</f>
        <v>130396.3065451568</v>
      </c>
      <c r="O55" s="11">
        <f>Table15[[#This Row],[Proj2020_Femmes3]]*$N$57</f>
        <v>139018.05168259511</v>
      </c>
      <c r="P55" s="11">
        <f>Table15[[#This Row],[Proj_2020_Total4]]*$N$57</f>
        <v>269414.35822775186</v>
      </c>
      <c r="Q55" s="29">
        <f>Table15[[#This Row],[Proj2021_Hommes22]]/$P$57</f>
        <v>0.14990122901855951</v>
      </c>
      <c r="R55" s="29">
        <f>Table15[[#This Row],[Proj2021_Femmes32]]/$P$57</f>
        <v>0.15981263085676436</v>
      </c>
      <c r="S55" s="29">
        <f>Table15[[#This Row],[Proj_2021_Total43]]/$P$57</f>
        <v>0.30971385987532385</v>
      </c>
      <c r="T55" s="11">
        <f t="shared" ref="T55:T56" si="131">Q55*$V$57</f>
        <v>132810.06270716738</v>
      </c>
      <c r="U55" s="11">
        <f t="shared" ref="U55:U56" si="132">R55*$V$57</f>
        <v>141591.40431634753</v>
      </c>
      <c r="V55" s="11">
        <f t="shared" ref="V55:V56" si="133">S55*$V$57</f>
        <v>274401.46702351485</v>
      </c>
      <c r="W55" s="58">
        <f t="shared" ref="W55:W56" si="134">T55/$V$57</f>
        <v>0.14990122901855951</v>
      </c>
      <c r="X55" s="58">
        <f t="shared" ref="X55:X56" si="135">U55/$V$57</f>
        <v>0.15981263085676436</v>
      </c>
      <c r="Y55" s="58">
        <f t="shared" ref="Y55:Y56" si="136">V55/$V$57</f>
        <v>0.30971385987532385</v>
      </c>
      <c r="Z55" s="11">
        <f t="shared" ref="Z55:Z56" si="137">W55*$AB$57</f>
        <v>139819.0841906131</v>
      </c>
      <c r="AA55" s="11">
        <f t="shared" ref="AA55:AA56" si="138">X55*$AB$57</f>
        <v>149063.85914767085</v>
      </c>
      <c r="AB55" s="11">
        <f t="shared" ref="AB55:AB56" si="139">Y55*$AB$57</f>
        <v>288882.94333828392</v>
      </c>
    </row>
    <row r="56" spans="1:28" x14ac:dyDescent="0.35">
      <c r="A56" t="s">
        <v>103</v>
      </c>
      <c r="B56" t="s">
        <v>102</v>
      </c>
      <c r="C56" t="s">
        <v>102</v>
      </c>
      <c r="D56" t="s">
        <v>101</v>
      </c>
      <c r="E56" t="s">
        <v>100</v>
      </c>
      <c r="F56">
        <v>108855</v>
      </c>
      <c r="G56">
        <v>115511</v>
      </c>
      <c r="H56" s="1">
        <v>39796</v>
      </c>
      <c r="I56" s="1">
        <v>42428</v>
      </c>
      <c r="J56" s="1">
        <v>82224</v>
      </c>
      <c r="K56" s="31">
        <f>Table15[[#This Row],[Proj2020_Hommes]]/$J$57</f>
        <v>4.7074131465950624E-2</v>
      </c>
      <c r="L56" s="31">
        <f>Table15[[#This Row],[Proj2020_Femmes]]/$J$57</f>
        <v>5.0187487431836195E-2</v>
      </c>
      <c r="M56" s="31">
        <f>Table15[[#This Row],[Proj_2020_Total]]/$J$57</f>
        <v>9.7261618897786825E-2</v>
      </c>
      <c r="N56" s="11">
        <f>Table15[[#This Row],[Proj2020_Hommes2]]*$N$57</f>
        <v>40948.916277538447</v>
      </c>
      <c r="O56" s="11">
        <f>Table15[[#This Row],[Proj2020_Femmes3]]*$N$57</f>
        <v>43657.167047527422</v>
      </c>
      <c r="P56" s="11">
        <f>Table15[[#This Row],[Proj_2020_Total4]]*$N$57</f>
        <v>84606.083325065876</v>
      </c>
      <c r="Q56" s="29">
        <f>Table15[[#This Row],[Proj2021_Hommes22]]/$P$57</f>
        <v>4.707413146595063E-2</v>
      </c>
      <c r="R56" s="29">
        <f>Table15[[#This Row],[Proj2021_Femmes32]]/$P$57</f>
        <v>5.0187487431836202E-2</v>
      </c>
      <c r="S56" s="29">
        <f>Table15[[#This Row],[Proj_2021_Total43]]/$P$57</f>
        <v>9.7261618897786839E-2</v>
      </c>
      <c r="T56" s="11">
        <f t="shared" si="131"/>
        <v>41706.91856772091</v>
      </c>
      <c r="U56" s="11">
        <f t="shared" si="132"/>
        <v>44465.3015627516</v>
      </c>
      <c r="V56" s="11">
        <f t="shared" si="133"/>
        <v>86172.220130472517</v>
      </c>
      <c r="W56" s="58">
        <f t="shared" si="134"/>
        <v>4.707413146595063E-2</v>
      </c>
      <c r="X56" s="58">
        <f t="shared" si="135"/>
        <v>5.0187487431836195E-2</v>
      </c>
      <c r="Y56" s="58">
        <f t="shared" si="136"/>
        <v>9.7261618897786839E-2</v>
      </c>
      <c r="Z56" s="11">
        <f t="shared" si="137"/>
        <v>43907.991907276686</v>
      </c>
      <c r="AA56" s="11">
        <f t="shared" si="138"/>
        <v>46811.947950596419</v>
      </c>
      <c r="AB56" s="11">
        <f t="shared" si="139"/>
        <v>90719.93985787312</v>
      </c>
    </row>
    <row r="57" spans="1:28" x14ac:dyDescent="0.35">
      <c r="H57" s="1"/>
      <c r="I57" s="1"/>
      <c r="J57" s="23">
        <f>J56+J55+J54</f>
        <v>845390</v>
      </c>
      <c r="K57" s="11"/>
      <c r="L57" s="11"/>
      <c r="M57" s="11"/>
      <c r="N57" s="30">
        <f>[1]Sheet1!$D$37</f>
        <v>869881.50396693707</v>
      </c>
      <c r="O57" s="11"/>
      <c r="P57" s="11">
        <f>P56+P55+P54</f>
        <v>869881.50396693696</v>
      </c>
      <c r="Q57" s="9"/>
      <c r="R57" s="9"/>
      <c r="S57" s="9"/>
      <c r="T57" s="9"/>
      <c r="U57" s="9"/>
      <c r="V57" s="30">
        <v>885983.81465387414</v>
      </c>
      <c r="W57" s="9"/>
      <c r="X57" s="9"/>
      <c r="Y57" s="9"/>
      <c r="Z57" s="9"/>
      <c r="AA57" s="9"/>
      <c r="AB57" s="30">
        <v>932741.41316948016</v>
      </c>
    </row>
    <row r="58" spans="1:28" x14ac:dyDescent="0.35">
      <c r="A58" t="s">
        <v>170</v>
      </c>
      <c r="B58" t="s">
        <v>171</v>
      </c>
      <c r="C58" t="s">
        <v>171</v>
      </c>
      <c r="D58" t="s">
        <v>107</v>
      </c>
      <c r="E58" t="s">
        <v>106</v>
      </c>
      <c r="F58">
        <v>195304</v>
      </c>
      <c r="G58">
        <v>198408</v>
      </c>
      <c r="H58" s="1">
        <v>227171</v>
      </c>
      <c r="I58" s="1">
        <v>230783</v>
      </c>
      <c r="J58" s="1">
        <v>457954</v>
      </c>
      <c r="K58" s="31">
        <f>Table15[[#This Row],[Proj2020_Hommes]]/$J$61</f>
        <v>0.25880233954371151</v>
      </c>
      <c r="L58" s="31">
        <f>Table15[[#This Row],[Proj2020_Femmes]]/$J$61</f>
        <v>0.26291727521081643</v>
      </c>
      <c r="M58" s="31">
        <f>Table15[[#This Row],[Proj_2020_Total]]/$J$61</f>
        <v>0.52171961475452788</v>
      </c>
      <c r="N58" s="11">
        <v>233752.56969001616</v>
      </c>
      <c r="O58" s="11">
        <v>237469.216100519</v>
      </c>
      <c r="P58" s="11">
        <v>471221.78579053516</v>
      </c>
      <c r="Q58" s="29">
        <f>Table15[[#This Row],[Proj2021_Hommes22]]/$P$61</f>
        <v>0.25880233954371151</v>
      </c>
      <c r="R58" s="29">
        <f>Table15[[#This Row],[Proj2021_Femmes32]]/$P$61</f>
        <v>0.26291727521081643</v>
      </c>
      <c r="S58" s="29">
        <f>Table15[[#This Row],[Proj_2021_Total43]]/$P$61</f>
        <v>0.52171961475452788</v>
      </c>
      <c r="T58" s="11">
        <f>Q58*$V$61</f>
        <v>238079.54581705609</v>
      </c>
      <c r="U58" s="11">
        <f t="shared" ref="U58:V58" si="140">R58*$V$61</f>
        <v>241864.9907879864</v>
      </c>
      <c r="V58" s="11">
        <f t="shared" si="140"/>
        <v>479944.53660504241</v>
      </c>
      <c r="W58" s="58">
        <f>T58/$V$61</f>
        <v>0.25880233954371151</v>
      </c>
      <c r="X58" s="58">
        <f t="shared" ref="X58:Y58" si="141">U58/$V$61</f>
        <v>0.26291727521081643</v>
      </c>
      <c r="Y58" s="58">
        <f t="shared" si="141"/>
        <v>0.52171961475452788</v>
      </c>
      <c r="Z58" s="11">
        <f>W58*$AB$61</f>
        <v>250644.14082880656</v>
      </c>
      <c r="AA58" s="11">
        <f t="shared" ref="AA58:AB58" si="142">X58*$AB$61</f>
        <v>254629.36181508409</v>
      </c>
      <c r="AB58" s="11">
        <f t="shared" si="142"/>
        <v>505273.50264389062</v>
      </c>
    </row>
    <row r="59" spans="1:28" x14ac:dyDescent="0.35">
      <c r="A59" t="s">
        <v>105</v>
      </c>
      <c r="B59" t="s">
        <v>104</v>
      </c>
      <c r="C59" t="s">
        <v>104</v>
      </c>
      <c r="D59" t="s">
        <v>107</v>
      </c>
      <c r="E59" t="s">
        <v>106</v>
      </c>
      <c r="F59">
        <v>68275</v>
      </c>
      <c r="G59">
        <v>69096</v>
      </c>
      <c r="H59" s="1">
        <v>79415</v>
      </c>
      <c r="I59" s="1">
        <v>80371</v>
      </c>
      <c r="J59" s="1">
        <v>159786</v>
      </c>
      <c r="K59" s="31">
        <f>Table15[[#This Row],[Proj2020_Hommes]]/$J$61</f>
        <v>9.0472761905629903E-2</v>
      </c>
      <c r="L59" s="31">
        <f>Table15[[#This Row],[Proj2020_Femmes]]/$J$61</f>
        <v>9.1561875553955563E-2</v>
      </c>
      <c r="M59" s="31">
        <f>Table15[[#This Row],[Proj_2020_Total]]/$J$61</f>
        <v>0.18203463745958545</v>
      </c>
      <c r="N59" s="11">
        <v>81715.801409214357</v>
      </c>
      <c r="O59" s="11">
        <v>82699.498521185757</v>
      </c>
      <c r="P59" s="11">
        <v>164415.2999304001</v>
      </c>
      <c r="Q59" s="29">
        <f>Table15[[#This Row],[Proj2021_Hommes22]]/$P$61</f>
        <v>9.0472761905629903E-2</v>
      </c>
      <c r="R59" s="29">
        <f>Table15[[#This Row],[Proj2021_Femmes32]]/$P$61</f>
        <v>9.1561875553955563E-2</v>
      </c>
      <c r="S59" s="29">
        <f>Table15[[#This Row],[Proj_2021_Total43]]/$P$61</f>
        <v>0.18203463745958545</v>
      </c>
      <c r="T59" s="11">
        <f t="shared" ref="T59:T60" si="143">Q59*$V$61</f>
        <v>83228.436424814383</v>
      </c>
      <c r="U59" s="11">
        <f t="shared" ref="U59:U60" si="144">R59*$V$61</f>
        <v>84230.342679578884</v>
      </c>
      <c r="V59" s="11">
        <f t="shared" ref="V59:V60" si="145">S59*$V$61</f>
        <v>167458.77910439327</v>
      </c>
      <c r="W59" s="58">
        <f t="shared" ref="W59:W60" si="146">T59/$V$61</f>
        <v>9.0472761905629903E-2</v>
      </c>
      <c r="X59" s="58">
        <f t="shared" ref="X59:X60" si="147">U59/$V$61</f>
        <v>9.1561875553955563E-2</v>
      </c>
      <c r="Y59" s="58">
        <f t="shared" ref="Y59:Y60" si="148">V59/$V$61</f>
        <v>0.18203463745958545</v>
      </c>
      <c r="Z59" s="11">
        <f t="shared" ref="Z59:Z60" si="149">W59*$AB$61</f>
        <v>87620.798622710092</v>
      </c>
      <c r="AA59" s="11">
        <f t="shared" ref="AA59:AA60" si="150">X59*$AB$61</f>
        <v>88675.580256951871</v>
      </c>
      <c r="AB59" s="11">
        <f t="shared" ref="AB59:AB60" si="151">Y59*$AB$61</f>
        <v>176296.37887966196</v>
      </c>
    </row>
    <row r="60" spans="1:28" x14ac:dyDescent="0.35">
      <c r="A60" t="s">
        <v>109</v>
      </c>
      <c r="B60" t="s">
        <v>108</v>
      </c>
      <c r="C60" t="s">
        <v>108</v>
      </c>
      <c r="D60" t="s">
        <v>107</v>
      </c>
      <c r="E60" t="s">
        <v>106</v>
      </c>
      <c r="F60">
        <v>110906</v>
      </c>
      <c r="G60">
        <v>112653</v>
      </c>
      <c r="H60" s="1">
        <v>129003</v>
      </c>
      <c r="I60" s="1">
        <v>131035</v>
      </c>
      <c r="J60" s="1">
        <v>260038</v>
      </c>
      <c r="K60" s="31">
        <f>Table15[[#This Row],[Proj2020_Hommes]]/$J$61</f>
        <v>0.14696540583154283</v>
      </c>
      <c r="L60" s="31">
        <f>Table15[[#This Row],[Proj2020_Femmes]]/$J$61</f>
        <v>0.14928034195434381</v>
      </c>
      <c r="M60" s="31">
        <f>Table15[[#This Row],[Proj_2020_Total]]/$J$61</f>
        <v>0.29624574778588664</v>
      </c>
      <c r="N60" s="11">
        <v>132740.45871929583</v>
      </c>
      <c r="O60" s="11">
        <v>134831.32956817228</v>
      </c>
      <c r="P60" s="11">
        <v>267571.78828746814</v>
      </c>
      <c r="Q60" s="29">
        <f>Table15[[#This Row],[Proj2021_Hommes22]]/$P$61</f>
        <v>0.14696540583154283</v>
      </c>
      <c r="R60" s="29">
        <f>Table15[[#This Row],[Proj2021_Femmes32]]/$P$61</f>
        <v>0.14928034195434381</v>
      </c>
      <c r="S60" s="29">
        <f>Table15[[#This Row],[Proj_2021_Total43]]/$P$61</f>
        <v>0.29624574778588664</v>
      </c>
      <c r="T60" s="11">
        <f t="shared" si="143"/>
        <v>135197.60730479544</v>
      </c>
      <c r="U60" s="11">
        <f t="shared" si="144"/>
        <v>137327.18210571748</v>
      </c>
      <c r="V60" s="11">
        <f t="shared" si="145"/>
        <v>272524.78941051289</v>
      </c>
      <c r="W60" s="58">
        <f t="shared" si="146"/>
        <v>0.14696540583154283</v>
      </c>
      <c r="X60" s="58">
        <f t="shared" si="147"/>
        <v>0.14928034195434384</v>
      </c>
      <c r="Y60" s="58">
        <f t="shared" si="148"/>
        <v>0.29624574778588664</v>
      </c>
      <c r="Z60" s="11">
        <f t="shared" si="149"/>
        <v>142332.63092269053</v>
      </c>
      <c r="AA60" s="11">
        <f t="shared" si="150"/>
        <v>144574.593559489</v>
      </c>
      <c r="AB60" s="11">
        <f t="shared" si="151"/>
        <v>286907.2244821795</v>
      </c>
    </row>
    <row r="61" spans="1:28" x14ac:dyDescent="0.35">
      <c r="H61" s="1"/>
      <c r="I61" s="1"/>
      <c r="J61" s="23">
        <f>J60+J59+J58</f>
        <v>877778</v>
      </c>
      <c r="K61" s="11"/>
      <c r="L61" s="11"/>
      <c r="M61" s="11"/>
      <c r="N61" s="30">
        <f>[1]Sheet1!$D$38</f>
        <v>903208.87400840339</v>
      </c>
      <c r="O61" s="11"/>
      <c r="P61" s="11">
        <f>P60+P59+P58</f>
        <v>903208.87400840339</v>
      </c>
      <c r="Q61" s="9"/>
      <c r="R61" s="9"/>
      <c r="S61" s="9"/>
      <c r="T61" s="9"/>
      <c r="U61" s="9"/>
      <c r="V61" s="30">
        <v>919928.10511994862</v>
      </c>
      <c r="W61" s="9"/>
      <c r="X61" s="9"/>
      <c r="Y61" s="9"/>
      <c r="Z61" s="9"/>
      <c r="AA61" s="9"/>
      <c r="AB61" s="30">
        <v>968477.10600573209</v>
      </c>
    </row>
    <row r="62" spans="1:28" x14ac:dyDescent="0.35">
      <c r="A62" t="s">
        <v>111</v>
      </c>
      <c r="B62" t="s">
        <v>110</v>
      </c>
      <c r="C62" t="s">
        <v>110</v>
      </c>
      <c r="D62" t="s">
        <v>112</v>
      </c>
      <c r="E62" t="s">
        <v>204</v>
      </c>
      <c r="F62">
        <v>209796</v>
      </c>
      <c r="G62">
        <v>211985</v>
      </c>
      <c r="H62" s="1">
        <v>242304</v>
      </c>
      <c r="I62" s="1">
        <v>244832</v>
      </c>
      <c r="J62" s="1">
        <v>487136</v>
      </c>
      <c r="K62" s="31">
        <f>Table15[[#This Row],[Proj2020_Hommes]]/$J$65</f>
        <v>0.22667562252910811</v>
      </c>
      <c r="L62" s="31">
        <f>Table15[[#This Row],[Proj2020_Femmes]]/$J$65</f>
        <v>0.22904056893425861</v>
      </c>
      <c r="M62" s="31">
        <f>Table15[[#This Row],[Proj_2020_Total]]/$J$65</f>
        <v>0.45571619146336673</v>
      </c>
      <c r="N62" s="11">
        <v>249323.7678231835</v>
      </c>
      <c r="O62" s="11">
        <v>251925.00628832239</v>
      </c>
      <c r="P62" s="11">
        <v>501248.77411150589</v>
      </c>
      <c r="Q62" s="29">
        <f>Table15[[#This Row],[Proj2021_Hommes22]]/$P$65</f>
        <v>0.22667562252910811</v>
      </c>
      <c r="R62" s="29">
        <f>Table15[[#This Row],[Proj2021_Femmes32]]/$P$65</f>
        <v>0.22904056893425861</v>
      </c>
      <c r="S62" s="29">
        <f>Table15[[#This Row],[Proj_2021_Total43]]/$P$65</f>
        <v>0.45571619146336673</v>
      </c>
      <c r="T62" s="11">
        <f>Q62*$V$65</f>
        <v>253938.98122043174</v>
      </c>
      <c r="U62" s="11">
        <f t="shared" ref="U62:V62" si="152">R62*$V$65</f>
        <v>256588.371013936</v>
      </c>
      <c r="V62" s="11">
        <f t="shared" si="152"/>
        <v>510527.35223436775</v>
      </c>
      <c r="W62" s="58">
        <f>T62/$V$65</f>
        <v>0.22667562252910811</v>
      </c>
      <c r="X62" s="58">
        <f t="shared" ref="X62:Y62" si="153">U62/$V$65</f>
        <v>0.22904056893425861</v>
      </c>
      <c r="Y62" s="58">
        <f t="shared" si="153"/>
        <v>0.45571619146336673</v>
      </c>
      <c r="Z62" s="11">
        <f>W62*$AB$65</f>
        <v>267340.55440380372</v>
      </c>
      <c r="AA62" s="11">
        <f t="shared" ref="AA62:AB62" si="154">X62*$AB$65</f>
        <v>270129.76515365852</v>
      </c>
      <c r="AB62" s="11">
        <f t="shared" si="154"/>
        <v>537470.31955746224</v>
      </c>
    </row>
    <row r="63" spans="1:28" x14ac:dyDescent="0.35">
      <c r="A63" t="s">
        <v>114</v>
      </c>
      <c r="B63" t="s">
        <v>113</v>
      </c>
      <c r="C63" t="s">
        <v>113</v>
      </c>
      <c r="D63" t="s">
        <v>112</v>
      </c>
      <c r="E63" t="s">
        <v>204</v>
      </c>
      <c r="F63">
        <v>65337</v>
      </c>
      <c r="G63">
        <v>71832</v>
      </c>
      <c r="H63" s="1">
        <v>75461</v>
      </c>
      <c r="I63" s="1">
        <v>82963</v>
      </c>
      <c r="J63" s="1">
        <v>158424</v>
      </c>
      <c r="K63" s="31">
        <f>Table15[[#This Row],[Proj2020_Hommes]]/$J$65</f>
        <v>7.0593837293932524E-2</v>
      </c>
      <c r="L63" s="31">
        <f>Table15[[#This Row],[Proj2020_Femmes]]/$J$65</f>
        <v>7.7611965431368848E-2</v>
      </c>
      <c r="M63" s="31">
        <f>Table15[[#This Row],[Proj_2020_Total]]/$J$65</f>
        <v>0.14820580272530137</v>
      </c>
      <c r="N63" s="11">
        <v>77647.173978577528</v>
      </c>
      <c r="O63" s="11">
        <v>85366.513759223017</v>
      </c>
      <c r="P63" s="11">
        <v>163013.68773780056</v>
      </c>
      <c r="Q63" s="29">
        <f>Table15[[#This Row],[Proj2021_Hommes22]]/$P$65</f>
        <v>7.0593837293932524E-2</v>
      </c>
      <c r="R63" s="29">
        <f>Table15[[#This Row],[Proj2021_Femmes32]]/$P$65</f>
        <v>7.7611965431368848E-2</v>
      </c>
      <c r="S63" s="29">
        <f>Table15[[#This Row],[Proj_2021_Total43]]/$P$65</f>
        <v>0.14820580272530137</v>
      </c>
      <c r="T63" s="11">
        <f t="shared" ref="T63:T64" si="155">Q63*$V$65</f>
        <v>79084.494939724478</v>
      </c>
      <c r="U63" s="11">
        <f t="shared" ref="U63:U64" si="156">R63*$V$65</f>
        <v>86946.726834846646</v>
      </c>
      <c r="V63" s="11">
        <f t="shared" ref="V63:V64" si="157">S63*$V$65</f>
        <v>166031.22177457111</v>
      </c>
      <c r="W63" s="58">
        <f t="shared" ref="W63:W64" si="158">T63/$V$65</f>
        <v>7.0593837293932524E-2</v>
      </c>
      <c r="X63" s="58">
        <f t="shared" ref="X63:X64" si="159">U63/$V$65</f>
        <v>7.7611965431368848E-2</v>
      </c>
      <c r="Y63" s="58">
        <f t="shared" ref="Y63:Y64" si="160">V63/$V$65</f>
        <v>0.14820580272530137</v>
      </c>
      <c r="Z63" s="11">
        <f t="shared" ref="Z63:Z64" si="161">W63*$AB$65</f>
        <v>83258.161548573</v>
      </c>
      <c r="AA63" s="11">
        <f t="shared" ref="AA63:AA64" si="162">X63*$AB$65</f>
        <v>91535.320981093057</v>
      </c>
      <c r="AB63" s="11">
        <f t="shared" ref="AB63:AB64" si="163">Y63*$AB$65</f>
        <v>174793.48252966607</v>
      </c>
    </row>
    <row r="64" spans="1:28" x14ac:dyDescent="0.35">
      <c r="A64" t="s">
        <v>116</v>
      </c>
      <c r="B64" t="s">
        <v>115</v>
      </c>
      <c r="C64" t="s">
        <v>115</v>
      </c>
      <c r="D64" t="s">
        <v>112</v>
      </c>
      <c r="E64" t="s">
        <v>204</v>
      </c>
      <c r="F64">
        <v>172297</v>
      </c>
      <c r="G64">
        <v>194285</v>
      </c>
      <c r="H64" s="1">
        <v>198996</v>
      </c>
      <c r="I64" s="1">
        <v>224390</v>
      </c>
      <c r="J64" s="1">
        <v>423386</v>
      </c>
      <c r="K64" s="31">
        <f>Table15[[#This Row],[Proj2020_Hommes]]/$J$65</f>
        <v>0.18616094732568342</v>
      </c>
      <c r="L64" s="31">
        <f>Table15[[#This Row],[Proj2020_Femmes]]/$J$65</f>
        <v>0.20991705848564848</v>
      </c>
      <c r="M64" s="31">
        <f>Table15[[#This Row],[Proj_2020_Total]]/$J$65</f>
        <v>0.3960780058113319</v>
      </c>
      <c r="N64" s="11">
        <v>204761.09557309092</v>
      </c>
      <c r="O64" s="11">
        <v>230890.78290842968</v>
      </c>
      <c r="P64" s="11">
        <v>435651.87848152063</v>
      </c>
      <c r="Q64" s="29">
        <f>Table15[[#This Row],[Proj2021_Hommes22]]/$P$65</f>
        <v>0.18616094732568342</v>
      </c>
      <c r="R64" s="29">
        <f>Table15[[#This Row],[Proj2021_Femmes32]]/$P$65</f>
        <v>0.20991705848564848</v>
      </c>
      <c r="S64" s="29">
        <f>Table15[[#This Row],[Proj_2021_Total43]]/$P$65</f>
        <v>0.3960780058113319</v>
      </c>
      <c r="T64" s="11">
        <f t="shared" si="155"/>
        <v>208551.41271683932</v>
      </c>
      <c r="U64" s="11">
        <f t="shared" si="156"/>
        <v>235164.78471693691</v>
      </c>
      <c r="V64" s="11">
        <f t="shared" si="157"/>
        <v>443716.19743377622</v>
      </c>
      <c r="W64" s="58">
        <f t="shared" si="158"/>
        <v>0.18616094732568342</v>
      </c>
      <c r="X64" s="58">
        <f t="shared" si="159"/>
        <v>0.20991705848564848</v>
      </c>
      <c r="Y64" s="58">
        <f t="shared" si="160"/>
        <v>0.3960780058113319</v>
      </c>
      <c r="Z64" s="11">
        <f t="shared" si="161"/>
        <v>219557.66707994638</v>
      </c>
      <c r="AA64" s="11">
        <f t="shared" si="162"/>
        <v>247575.55386072671</v>
      </c>
      <c r="AB64" s="11">
        <f t="shared" si="163"/>
        <v>467133.22094067308</v>
      </c>
    </row>
    <row r="65" spans="1:28" x14ac:dyDescent="0.35">
      <c r="H65" s="1"/>
      <c r="I65" s="1"/>
      <c r="J65" s="23">
        <f>J64+J63+J62</f>
        <v>1068946</v>
      </c>
      <c r="K65" s="11"/>
      <c r="L65" s="11"/>
      <c r="M65" s="11"/>
      <c r="N65" s="30">
        <f>[1]Sheet1!$D$39</f>
        <v>1099914.340330827</v>
      </c>
      <c r="O65" s="11"/>
      <c r="P65" s="11">
        <f>P64+P63+P62</f>
        <v>1099914.340330827</v>
      </c>
      <c r="Q65" s="9"/>
      <c r="R65" s="9"/>
      <c r="S65" s="9"/>
      <c r="T65" s="9"/>
      <c r="U65" s="9"/>
      <c r="V65" s="30">
        <v>1120274.7714427151</v>
      </c>
      <c r="W65" s="9"/>
      <c r="X65" s="9"/>
      <c r="Y65" s="9"/>
      <c r="Z65" s="9"/>
      <c r="AA65" s="9"/>
      <c r="AB65" s="30">
        <v>1179397.0230278014</v>
      </c>
    </row>
    <row r="66" spans="1:28" x14ac:dyDescent="0.35">
      <c r="A66" t="s">
        <v>118</v>
      </c>
      <c r="B66" t="s">
        <v>117</v>
      </c>
      <c r="C66" t="s">
        <v>117</v>
      </c>
      <c r="D66" t="s">
        <v>120</v>
      </c>
      <c r="E66" t="s">
        <v>119</v>
      </c>
      <c r="F66">
        <v>114644</v>
      </c>
      <c r="G66">
        <v>119198</v>
      </c>
      <c r="H66" s="1">
        <v>133123</v>
      </c>
      <c r="I66" s="1">
        <v>138412</v>
      </c>
      <c r="J66" s="1">
        <v>271535</v>
      </c>
      <c r="K66" s="31">
        <f>Table15[[#This Row],[Proj2020_Hommes]]/$J$69</f>
        <v>0.29549727527996361</v>
      </c>
      <c r="L66" s="31">
        <f>Table15[[#This Row],[Proj2020_Femmes]]/$J$69</f>
        <v>0.3072374335467975</v>
      </c>
      <c r="M66" s="31">
        <f>Table15[[#This Row],[Proj_2020_Total]]/$J$69</f>
        <v>0.60273470882676106</v>
      </c>
      <c r="N66" s="11">
        <v>136979.82284201781</v>
      </c>
      <c r="O66" s="11">
        <v>142422.05508596837</v>
      </c>
      <c r="P66" s="11">
        <v>279401.87792798615</v>
      </c>
      <c r="Q66" s="29">
        <f>Table15[[#This Row],[Proj2021_Hommes22]]/$P$69</f>
        <v>0.29549727527996367</v>
      </c>
      <c r="R66" s="29">
        <f>Table15[[#This Row],[Proj2021_Femmes32]]/$P$69</f>
        <v>0.3072374335467975</v>
      </c>
      <c r="S66" s="29">
        <f>Table15[[#This Row],[Proj_2021_Total43]]/$P$69</f>
        <v>0.60273470882676106</v>
      </c>
      <c r="T66" s="11">
        <f>Q66*$V$69</f>
        <v>139515.4459759563</v>
      </c>
      <c r="U66" s="11">
        <f t="shared" ref="U66:V66" si="164">R66*$V$69</f>
        <v>145058.41896910421</v>
      </c>
      <c r="V66" s="11">
        <f t="shared" si="164"/>
        <v>284573.86494506046</v>
      </c>
      <c r="W66" s="58">
        <f>T66/$V$69</f>
        <v>0.29549727527996367</v>
      </c>
      <c r="X66" s="58">
        <f t="shared" ref="X66:Y66" si="165">U66/$V$69</f>
        <v>0.3072374335467975</v>
      </c>
      <c r="Y66" s="58">
        <f t="shared" si="165"/>
        <v>0.60273470882676106</v>
      </c>
      <c r="Z66" s="11">
        <f>W66*$AB$69</f>
        <v>146878.34256816772</v>
      </c>
      <c r="AA66" s="11">
        <f t="shared" ref="AA66:AB66" si="166">X66*$AB$69</f>
        <v>152713.84472664548</v>
      </c>
      <c r="AB66" s="11">
        <f t="shared" si="166"/>
        <v>299592.18729481311</v>
      </c>
    </row>
    <row r="67" spans="1:28" x14ac:dyDescent="0.35">
      <c r="A67" t="s">
        <v>121</v>
      </c>
      <c r="B67" t="s">
        <v>196</v>
      </c>
      <c r="C67" t="s">
        <v>122</v>
      </c>
      <c r="D67" t="s">
        <v>120</v>
      </c>
      <c r="E67" t="s">
        <v>119</v>
      </c>
      <c r="F67">
        <v>39397</v>
      </c>
      <c r="G67">
        <v>43611</v>
      </c>
      <c r="H67" s="1">
        <v>45748</v>
      </c>
      <c r="I67" s="1">
        <v>50640</v>
      </c>
      <c r="J67" s="1">
        <v>96388</v>
      </c>
      <c r="K67" s="31">
        <f>Table15[[#This Row],[Proj2020_Hommes]]/$J$69</f>
        <v>0.10154826250541059</v>
      </c>
      <c r="L67" s="31">
        <f>Table15[[#This Row],[Proj2020_Femmes]]/$J$69</f>
        <v>0.11240718748959501</v>
      </c>
      <c r="M67" s="31">
        <f>Table15[[#This Row],[Proj_2020_Total]]/$J$69</f>
        <v>0.2139554499950056</v>
      </c>
      <c r="N67" s="11">
        <v>47073.405312204719</v>
      </c>
      <c r="O67" s="11">
        <v>52107.13572199981</v>
      </c>
      <c r="P67" s="11">
        <v>99180.541034204536</v>
      </c>
      <c r="Q67" s="29">
        <f>Table15[[#This Row],[Proj2021_Hommes22]]/$P$69</f>
        <v>0.10154826250541057</v>
      </c>
      <c r="R67" s="29">
        <f>Table15[[#This Row],[Proj2021_Femmes32]]/$P$69</f>
        <v>0.11240718748959501</v>
      </c>
      <c r="S67" s="29">
        <f>Table15[[#This Row],[Proj_2021_Total43]]/$P$69</f>
        <v>0.2139554499950056</v>
      </c>
      <c r="T67" s="11">
        <f t="shared" ref="T67:T68" si="167">Q67*$V$69</f>
        <v>47944.777555403991</v>
      </c>
      <c r="U67" s="11">
        <f t="shared" ref="U67:U68" si="168">R67*$V$69</f>
        <v>53071.686967859983</v>
      </c>
      <c r="V67" s="11">
        <f t="shared" ref="V67:V68" si="169">S67*$V$69</f>
        <v>101016.46452326399</v>
      </c>
      <c r="W67" s="58">
        <f t="shared" ref="W67:W68" si="170">T67/$V$69</f>
        <v>0.10154826250541057</v>
      </c>
      <c r="X67" s="58">
        <f t="shared" ref="X67:X68" si="171">U67/$V$69</f>
        <v>0.11240718748959501</v>
      </c>
      <c r="Y67" s="58">
        <f t="shared" ref="Y67:Y68" si="172">V67/$V$69</f>
        <v>0.2139554499950056</v>
      </c>
      <c r="Z67" s="11">
        <f t="shared" ref="Z67:Z68" si="173">W67*$AB$69</f>
        <v>50475.052513904688</v>
      </c>
      <c r="AA67" s="11">
        <f t="shared" ref="AA67:AA68" si="174">X67*$AB$69</f>
        <v>55872.533428874129</v>
      </c>
      <c r="AB67" s="11">
        <f t="shared" ref="AB67:AB68" si="175">Y67*$AB$69</f>
        <v>106347.58594277882</v>
      </c>
    </row>
    <row r="68" spans="1:28" x14ac:dyDescent="0.35">
      <c r="A68" t="s">
        <v>124</v>
      </c>
      <c r="B68" t="s">
        <v>123</v>
      </c>
      <c r="C68" t="s">
        <v>123</v>
      </c>
      <c r="D68" t="s">
        <v>120</v>
      </c>
      <c r="E68" t="s">
        <v>119</v>
      </c>
      <c r="F68">
        <v>34496</v>
      </c>
      <c r="G68">
        <v>36623</v>
      </c>
      <c r="H68" s="1">
        <v>40057</v>
      </c>
      <c r="I68" s="1">
        <v>42525</v>
      </c>
      <c r="J68" s="1">
        <v>82582</v>
      </c>
      <c r="K68" s="31">
        <f>Table15[[#This Row],[Proj2020_Hommes]]/$J$69</f>
        <v>8.891577229997448E-2</v>
      </c>
      <c r="L68" s="31">
        <f>Table15[[#This Row],[Proj2020_Femmes]]/$J$69</f>
        <v>9.4394068878258838E-2</v>
      </c>
      <c r="M68" s="31">
        <f>Table15[[#This Row],[Proj_2020_Total]]/$J$69</f>
        <v>0.18330984117823332</v>
      </c>
      <c r="N68" s="11">
        <v>41217.526374726433</v>
      </c>
      <c r="O68" s="11">
        <v>43757.028960861804</v>
      </c>
      <c r="P68" s="11">
        <v>84974.555335588244</v>
      </c>
      <c r="Q68" s="29">
        <f>Table15[[#This Row],[Proj2021_Hommes22]]/$P$69</f>
        <v>8.891577229997448E-2</v>
      </c>
      <c r="R68" s="29">
        <f>Table15[[#This Row],[Proj2021_Femmes32]]/$P$69</f>
        <v>9.4394068878258838E-2</v>
      </c>
      <c r="S68" s="29">
        <f>Table15[[#This Row],[Proj_2021_Total43]]/$P$69</f>
        <v>0.18330984117823335</v>
      </c>
      <c r="T68" s="11">
        <f t="shared" si="167"/>
        <v>41980.500886089409</v>
      </c>
      <c r="U68" s="11">
        <f t="shared" si="168"/>
        <v>44567.012012406121</v>
      </c>
      <c r="V68" s="11">
        <f t="shared" si="169"/>
        <v>86547.512898495537</v>
      </c>
      <c r="W68" s="58">
        <f t="shared" si="170"/>
        <v>8.891577229997448E-2</v>
      </c>
      <c r="X68" s="58">
        <f t="shared" si="171"/>
        <v>9.4394068878258852E-2</v>
      </c>
      <c r="Y68" s="58">
        <f t="shared" si="172"/>
        <v>0.18330984117823335</v>
      </c>
      <c r="Z68" s="11">
        <f t="shared" si="173"/>
        <v>44196.012471572103</v>
      </c>
      <c r="AA68" s="11">
        <f t="shared" si="174"/>
        <v>46919.026146581215</v>
      </c>
      <c r="AB68" s="11">
        <f t="shared" si="175"/>
        <v>91115.038618153325</v>
      </c>
    </row>
    <row r="69" spans="1:28" x14ac:dyDescent="0.35">
      <c r="H69" s="1"/>
      <c r="I69" s="1"/>
      <c r="J69" s="23">
        <f>J68+J67+J66</f>
        <v>450505</v>
      </c>
      <c r="K69" s="11"/>
      <c r="L69" s="11"/>
      <c r="M69" s="11"/>
      <c r="N69" s="30">
        <f>[1]Sheet1!$D$40</f>
        <v>463556.97429777891</v>
      </c>
      <c r="O69" s="11"/>
      <c r="P69" s="11">
        <f>P68+P67+P66</f>
        <v>463556.97429777891</v>
      </c>
      <c r="Q69" s="9"/>
      <c r="R69" s="9"/>
      <c r="S69" s="9"/>
      <c r="T69" s="9"/>
      <c r="U69" s="9"/>
      <c r="V69" s="30">
        <v>472137.84236681997</v>
      </c>
      <c r="W69" s="9"/>
      <c r="X69" s="9"/>
      <c r="Y69" s="9"/>
      <c r="Z69" s="9"/>
      <c r="AA69" s="9"/>
      <c r="AB69" s="30">
        <v>497054.81185574527</v>
      </c>
    </row>
    <row r="70" spans="1:28" x14ac:dyDescent="0.35">
      <c r="A70" t="s">
        <v>125</v>
      </c>
      <c r="B70" t="s">
        <v>197</v>
      </c>
      <c r="C70" t="s">
        <v>126</v>
      </c>
      <c r="D70" t="s">
        <v>127</v>
      </c>
      <c r="E70" t="s">
        <v>203</v>
      </c>
      <c r="F70">
        <v>155778</v>
      </c>
      <c r="G70">
        <v>171016</v>
      </c>
      <c r="H70" s="1">
        <v>182685</v>
      </c>
      <c r="I70" s="1">
        <v>200554</v>
      </c>
      <c r="J70" s="1">
        <v>383239</v>
      </c>
      <c r="K70" s="31">
        <f>Table15[[#This Row],[Proj2020_Hommes]]/$J$73</f>
        <v>0.18338129879151138</v>
      </c>
      <c r="L70" s="31">
        <f>Table15[[#This Row],[Proj2020_Femmes]]/$J$73</f>
        <v>0.20131840598753467</v>
      </c>
      <c r="M70" s="31">
        <f>Table15[[#This Row],[Proj_2020_Total]]/$J$73</f>
        <v>0.38469970477904603</v>
      </c>
      <c r="N70" s="11">
        <f>Table15[[#This Row],[Proj2020_Hommes2]]*$N$73</f>
        <v>187977.72688336365</v>
      </c>
      <c r="O70" s="11">
        <f>Table15[[#This Row],[Proj2020_Femmes3]]*$N$73</f>
        <v>206364.42530785839</v>
      </c>
      <c r="P70" s="11">
        <f>Table15[[#This Row],[Proj_2020_Total4]]*$N$73</f>
        <v>394342.15219122201</v>
      </c>
      <c r="Q70" s="29">
        <f>Table15[[#This Row],[Proj2021_Hommes22]]/$P$73</f>
        <v>0.18338129879151141</v>
      </c>
      <c r="R70" s="29">
        <f>Table15[[#This Row],[Proj2021_Femmes32]]/$P$73</f>
        <v>0.2013184059875347</v>
      </c>
      <c r="S70" s="29">
        <f>Table15[[#This Row],[Proj_2021_Total43]]/$P$73</f>
        <v>0.38469970477904608</v>
      </c>
      <c r="T70" s="11">
        <f>Q70*$V$73</f>
        <v>191457.36835946885</v>
      </c>
      <c r="U70" s="11">
        <f t="shared" ref="U70:V70" si="176">R70*$V$73</f>
        <v>210184.42156698642</v>
      </c>
      <c r="V70" s="11">
        <f t="shared" si="176"/>
        <v>401641.78992645524</v>
      </c>
      <c r="W70" s="58">
        <f>T70/$V$73</f>
        <v>0.18338129879151141</v>
      </c>
      <c r="X70" s="58">
        <f t="shared" ref="X70:Y70" si="177">U70/$V$73</f>
        <v>0.2013184059875347</v>
      </c>
      <c r="Y70" s="58">
        <f t="shared" si="177"/>
        <v>0.38469970477904608</v>
      </c>
      <c r="Z70" s="11">
        <f>W70*$AB$73</f>
        <v>201561.48833834662</v>
      </c>
      <c r="AA70" s="11">
        <f t="shared" ref="AA70:AB70" si="178">X70*$AB$73</f>
        <v>221276.85760849967</v>
      </c>
      <c r="AB70" s="11">
        <f t="shared" si="178"/>
        <v>422838.3459468463</v>
      </c>
    </row>
    <row r="71" spans="1:28" x14ac:dyDescent="0.35">
      <c r="A71" t="s">
        <v>173</v>
      </c>
      <c r="B71" t="s">
        <v>201</v>
      </c>
      <c r="C71" t="s">
        <v>172</v>
      </c>
      <c r="D71" t="s">
        <v>127</v>
      </c>
      <c r="E71" t="s">
        <v>203</v>
      </c>
      <c r="F71">
        <v>54044</v>
      </c>
      <c r="G71">
        <v>58903</v>
      </c>
      <c r="H71" s="1">
        <v>229919</v>
      </c>
      <c r="I71" s="1">
        <v>250590</v>
      </c>
      <c r="J71" s="1">
        <v>480509</v>
      </c>
      <c r="K71" s="31">
        <f>Table15[[#This Row],[Proj2020_Hommes]]/$J$73</f>
        <v>0.23079532986750692</v>
      </c>
      <c r="L71" s="31">
        <f>Table15[[#This Row],[Proj2020_Femmes]]/$J$73</f>
        <v>0.25154511680852198</v>
      </c>
      <c r="M71" s="31">
        <f>Table15[[#This Row],[Proj_2020_Total]]/$J$73</f>
        <v>0.48234044667602888</v>
      </c>
      <c r="N71" s="11">
        <f>Table15[[#This Row],[Proj2020_Hommes2]]*$N$73</f>
        <v>236580.18440099669</v>
      </c>
      <c r="O71" s="11">
        <f>Table15[[#This Row],[Proj2020_Femmes3]]*$N$73</f>
        <v>257850.06201769219</v>
      </c>
      <c r="P71" s="11">
        <f>Table15[[#This Row],[Proj_2020_Total4]]*$N$73</f>
        <v>494430.24641868885</v>
      </c>
      <c r="Q71" s="29">
        <f>Table15[[#This Row],[Proj2021_Hommes22]]/$P$73</f>
        <v>0.23079532986750695</v>
      </c>
      <c r="R71" s="29">
        <f>Table15[[#This Row],[Proj2021_Femmes32]]/$P$73</f>
        <v>0.25154511680852204</v>
      </c>
      <c r="S71" s="29">
        <f>Table15[[#This Row],[Proj_2021_Total43]]/$P$73</f>
        <v>0.48234044667602893</v>
      </c>
      <c r="T71" s="11">
        <f t="shared" ref="T71:T72" si="179">Q71*$V$73</f>
        <v>240959.50228995658</v>
      </c>
      <c r="U71" s="11">
        <f t="shared" ref="U71:U72" si="180">R71*$V$73</f>
        <v>262623.10500150151</v>
      </c>
      <c r="V71" s="11">
        <f t="shared" ref="V71:V72" si="181">S71*$V$73</f>
        <v>503582.60729145806</v>
      </c>
      <c r="W71" s="58">
        <f t="shared" ref="W71:W72" si="182">T71/$V$73</f>
        <v>0.23079532986750695</v>
      </c>
      <c r="X71" s="58">
        <f t="shared" ref="X71:X72" si="183">U71/$V$73</f>
        <v>0.25154511680852204</v>
      </c>
      <c r="Y71" s="58">
        <f t="shared" ref="Y71:Y72" si="184">V71/$V$73</f>
        <v>0.48234044667602893</v>
      </c>
      <c r="Z71" s="11">
        <f t="shared" ref="Z71:Z72" si="185">W71*$AB$73</f>
        <v>253676.08636321707</v>
      </c>
      <c r="AA71" s="11">
        <f t="shared" ref="AA71:AA72" si="186">X71*$AB$73</f>
        <v>276482.98088352237</v>
      </c>
      <c r="AB71" s="11">
        <f t="shared" ref="AB71:AB72" si="187">Y71*$AB$73</f>
        <v>530159.0672467394</v>
      </c>
    </row>
    <row r="72" spans="1:28" x14ac:dyDescent="0.35">
      <c r="A72" t="s">
        <v>174</v>
      </c>
      <c r="B72" t="s">
        <v>200</v>
      </c>
      <c r="C72" t="s">
        <v>175</v>
      </c>
      <c r="D72" t="s">
        <v>127</v>
      </c>
      <c r="E72" t="s">
        <v>203</v>
      </c>
      <c r="F72">
        <v>192450</v>
      </c>
      <c r="G72">
        <v>217288</v>
      </c>
      <c r="H72" s="1">
        <v>62213</v>
      </c>
      <c r="I72" s="1">
        <v>70242</v>
      </c>
      <c r="J72" s="1">
        <v>132455</v>
      </c>
      <c r="K72" s="31">
        <f>Table15[[#This Row],[Proj2020_Hommes]]/$J$73</f>
        <v>6.2450123117477059E-2</v>
      </c>
      <c r="L72" s="31">
        <f>Table15[[#This Row],[Proj2020_Femmes]]/$J$73</f>
        <v>7.0509725427448017E-2</v>
      </c>
      <c r="M72" s="31">
        <f>Table15[[#This Row],[Proj_2020_Total]]/$J$73</f>
        <v>0.13295984854492507</v>
      </c>
      <c r="N72" s="11">
        <f>Table15[[#This Row],[Proj2020_Hommes2]]*$N$73</f>
        <v>64015.427224975785</v>
      </c>
      <c r="O72" s="11">
        <f>Table15[[#This Row],[Proj2020_Femmes3]]*$N$73</f>
        <v>72277.042404911335</v>
      </c>
      <c r="P72" s="11">
        <f>Table15[[#This Row],[Proj_2020_Total4]]*$N$73</f>
        <v>136292.46962988711</v>
      </c>
      <c r="Q72" s="29">
        <f>Table15[[#This Row],[Proj2021_Hommes22]]/$P$73</f>
        <v>6.2450123117477066E-2</v>
      </c>
      <c r="R72" s="29">
        <f>Table15[[#This Row],[Proj2021_Femmes32]]/$P$73</f>
        <v>7.0509725427448031E-2</v>
      </c>
      <c r="S72" s="29">
        <f>Table15[[#This Row],[Proj_2021_Total43]]/$P$73</f>
        <v>0.1329598485449251</v>
      </c>
      <c r="T72" s="11">
        <f t="shared" si="179"/>
        <v>65200.411953623094</v>
      </c>
      <c r="U72" s="11">
        <f t="shared" si="180"/>
        <v>73614.957266911952</v>
      </c>
      <c r="V72" s="11">
        <f t="shared" si="181"/>
        <v>138815.36922053504</v>
      </c>
      <c r="W72" s="58">
        <f t="shared" si="182"/>
        <v>6.2450123117477066E-2</v>
      </c>
      <c r="X72" s="58">
        <f t="shared" si="183"/>
        <v>7.0509725427448031E-2</v>
      </c>
      <c r="Y72" s="58">
        <f t="shared" si="184"/>
        <v>0.1329598485449251</v>
      </c>
      <c r="Z72" s="11">
        <f t="shared" si="185"/>
        <v>68641.34917477383</v>
      </c>
      <c r="AA72" s="11">
        <f t="shared" si="186"/>
        <v>77499.97024310776</v>
      </c>
      <c r="AB72" s="11">
        <f t="shared" si="187"/>
        <v>146141.3194178816</v>
      </c>
    </row>
    <row r="73" spans="1:28" x14ac:dyDescent="0.35">
      <c r="H73" s="1"/>
      <c r="I73" s="1"/>
      <c r="J73" s="23">
        <f>J72+J71+J70</f>
        <v>996203</v>
      </c>
      <c r="K73" s="11"/>
      <c r="L73" s="11"/>
      <c r="M73" s="11"/>
      <c r="N73" s="30">
        <f>[1]Sheet1!$D$41</f>
        <v>1025064.868239798</v>
      </c>
      <c r="O73" s="11"/>
      <c r="P73" s="11">
        <f>P72+P71+P70</f>
        <v>1025064.8682397979</v>
      </c>
      <c r="Q73" s="9"/>
      <c r="R73" s="9"/>
      <c r="S73" s="9"/>
      <c r="T73" s="9"/>
      <c r="U73" s="9"/>
      <c r="V73" s="30">
        <v>1044039.7664384482</v>
      </c>
      <c r="W73" s="9"/>
      <c r="X73" s="9"/>
      <c r="Y73" s="9"/>
      <c r="Z73" s="9"/>
      <c r="AA73" s="9"/>
      <c r="AB73" s="30">
        <v>1099138.7326114671</v>
      </c>
    </row>
    <row r="74" spans="1:28" x14ac:dyDescent="0.35">
      <c r="A74" t="s">
        <v>129</v>
      </c>
      <c r="B74" t="s">
        <v>128</v>
      </c>
      <c r="C74" t="s">
        <v>128</v>
      </c>
      <c r="D74" t="s">
        <v>131</v>
      </c>
      <c r="E74" t="s">
        <v>130</v>
      </c>
      <c r="F74">
        <v>102456</v>
      </c>
      <c r="G74">
        <v>114500</v>
      </c>
      <c r="H74" s="1">
        <v>118519</v>
      </c>
      <c r="I74" s="1">
        <v>132451</v>
      </c>
      <c r="J74" s="1">
        <v>250970</v>
      </c>
      <c r="K74" s="31">
        <f>Table15[[#This Row],[Proj2020_Hommes]]/$J$78</f>
        <v>0.15703267743504062</v>
      </c>
      <c r="L74" s="31">
        <f>Table15[[#This Row],[Proj2020_Femmes]]/$J$78</f>
        <v>0.1754919899674193</v>
      </c>
      <c r="M74" s="31">
        <f>Table15[[#This Row],[Proj_2020_Total]]/$J$78</f>
        <v>0.33252466740245989</v>
      </c>
      <c r="N74" s="11">
        <f>Table15[[#This Row],[Proj2020_Hommes2]]*$N$78</f>
        <v>121952.55600538426</v>
      </c>
      <c r="O74" s="11">
        <f>Table15[[#This Row],[Proj2020_Femmes3]]*$N$78</f>
        <v>136288.17316606748</v>
      </c>
      <c r="P74" s="11">
        <f>Table15[[#This Row],[Proj_2020_Total4]]*$N$78</f>
        <v>258240.72917145173</v>
      </c>
      <c r="Q74" s="29">
        <f>Table15[[#This Row],[Proj2021_Hommes22]]/$P$78</f>
        <v>0.15703267743504062</v>
      </c>
      <c r="R74" s="29">
        <f>Table15[[#This Row],[Proj2021_Femmes32]]/$P$78</f>
        <v>0.1754919899674193</v>
      </c>
      <c r="S74" s="29">
        <f>Table15[[#This Row],[Proj_2021_Total43]]/$P$78</f>
        <v>0.33252466740245989</v>
      </c>
      <c r="T74" s="11">
        <f>Q74*$V$78</f>
        <v>124210.01054017965</v>
      </c>
      <c r="U74" s="11">
        <f t="shared" ref="U74:V74" si="188">R74*$V$78</f>
        <v>138810.99322519879</v>
      </c>
      <c r="V74" s="11">
        <f t="shared" si="188"/>
        <v>263021.00376537844</v>
      </c>
      <c r="W74" s="58">
        <f>T74/$V$78</f>
        <v>0.15703267743504062</v>
      </c>
      <c r="X74" s="58">
        <f t="shared" ref="X74:Y74" si="189">U74/$V$78</f>
        <v>0.1754919899674193</v>
      </c>
      <c r="Y74" s="58">
        <f t="shared" si="189"/>
        <v>0.33252466740245989</v>
      </c>
      <c r="Z74" s="11">
        <f>W74*$AB$78</f>
        <v>130765.16618568749</v>
      </c>
      <c r="AA74" s="11">
        <f t="shared" ref="AA74:AB74" si="190">X74*$AB$78</f>
        <v>146136.71248036597</v>
      </c>
      <c r="AB74" s="11">
        <f t="shared" si="190"/>
        <v>276901.87866605341</v>
      </c>
    </row>
    <row r="75" spans="1:28" x14ac:dyDescent="0.35">
      <c r="A75" t="s">
        <v>133</v>
      </c>
      <c r="B75" t="s">
        <v>132</v>
      </c>
      <c r="C75" t="s">
        <v>132</v>
      </c>
      <c r="D75" t="s">
        <v>131</v>
      </c>
      <c r="E75" t="s">
        <v>130</v>
      </c>
      <c r="F75">
        <v>111696</v>
      </c>
      <c r="G75">
        <v>118517</v>
      </c>
      <c r="H75" s="1">
        <v>129207</v>
      </c>
      <c r="I75" s="1">
        <v>137099</v>
      </c>
      <c r="J75" s="1">
        <v>266306</v>
      </c>
      <c r="K75" s="31">
        <f>Table15[[#This Row],[Proj2020_Hommes]]/$J$78</f>
        <v>0.17119382675646347</v>
      </c>
      <c r="L75" s="31">
        <f>Table15[[#This Row],[Proj2020_Femmes]]/$J$78</f>
        <v>0.18165039397621172</v>
      </c>
      <c r="M75" s="31">
        <f>Table15[[#This Row],[Proj_2020_Total]]/$J$78</f>
        <v>0.35284422073267518</v>
      </c>
      <c r="N75" s="11">
        <f>Table15[[#This Row],[Proj2020_Hommes2]]*$N$78</f>
        <v>132950.19282805023</v>
      </c>
      <c r="O75" s="11">
        <f>Table15[[#This Row],[Proj2020_Femmes3]]*$N$78</f>
        <v>141070.82810167296</v>
      </c>
      <c r="P75" s="11">
        <f>Table15[[#This Row],[Proj_2020_Total4]]*$N$78</f>
        <v>274021.02092972322</v>
      </c>
      <c r="Q75" s="29">
        <f>Table15[[#This Row],[Proj2021_Hommes22]]/$P$78</f>
        <v>0.17119382675646347</v>
      </c>
      <c r="R75" s="29">
        <f>Table15[[#This Row],[Proj2021_Femmes32]]/$P$78</f>
        <v>0.18165039397621169</v>
      </c>
      <c r="S75" s="29">
        <f>Table15[[#This Row],[Proj_2021_Total43]]/$P$78</f>
        <v>0.35284422073267518</v>
      </c>
      <c r="T75" s="11">
        <f t="shared" ref="T75:T77" si="191">Q75*$V$78</f>
        <v>135411.22378576425</v>
      </c>
      <c r="U75" s="11">
        <f t="shared" ref="U75:U77" si="192">R75*$V$78</f>
        <v>143682.17952436392</v>
      </c>
      <c r="V75" s="11">
        <f t="shared" ref="V75:V77" si="193">S75*$V$78</f>
        <v>279093.4033101282</v>
      </c>
      <c r="W75" s="58">
        <f t="shared" ref="W75:W77" si="194">T75/$V$78</f>
        <v>0.17119382675646347</v>
      </c>
      <c r="X75" s="58">
        <f t="shared" ref="X75:X77" si="195">U75/$V$78</f>
        <v>0.18165039397621166</v>
      </c>
      <c r="Y75" s="58">
        <f t="shared" ref="Y75:Y77" si="196">V75/$V$78</f>
        <v>0.35284422073267518</v>
      </c>
      <c r="Z75" s="11">
        <f t="shared" ref="Z75:Z77" si="197">W75*$AB$78</f>
        <v>142557.52096587149</v>
      </c>
      <c r="AA75" s="11">
        <f t="shared" ref="AA75:AA77" si="198">X75*$AB$78</f>
        <v>151264.97455168844</v>
      </c>
      <c r="AB75" s="11">
        <f t="shared" ref="AB75:AB77" si="199">Y75*$AB$78</f>
        <v>293822.49551755999</v>
      </c>
    </row>
    <row r="76" spans="1:28" x14ac:dyDescent="0.35">
      <c r="A76" t="s">
        <v>134</v>
      </c>
      <c r="B76" t="s">
        <v>198</v>
      </c>
      <c r="C76" t="s">
        <v>135</v>
      </c>
      <c r="D76" t="s">
        <v>131</v>
      </c>
      <c r="E76" t="s">
        <v>130</v>
      </c>
      <c r="F76">
        <v>87578</v>
      </c>
      <c r="G76">
        <v>91492</v>
      </c>
      <c r="H76" s="1">
        <v>101454</v>
      </c>
      <c r="I76" s="1">
        <v>105988</v>
      </c>
      <c r="J76" s="1">
        <v>207442</v>
      </c>
      <c r="K76" s="31">
        <f>Table15[[#This Row],[Proj2020_Hommes]]/$J$78</f>
        <v>0.13442227201119325</v>
      </c>
      <c r="L76" s="31">
        <f>Table15[[#This Row],[Proj2020_Femmes]]/$J$78</f>
        <v>0.14042963082699894</v>
      </c>
      <c r="M76" s="31">
        <f>Table15[[#This Row],[Proj_2020_Total]]/$J$78</f>
        <v>0.27485190283819216</v>
      </c>
      <c r="N76" s="11">
        <f>Table15[[#This Row],[Proj2020_Hommes2]]*$N$78</f>
        <v>104393.17423341621</v>
      </c>
      <c r="O76" s="11">
        <f>Table15[[#This Row],[Proj2020_Femmes3]]*$N$78</f>
        <v>109058.52653075599</v>
      </c>
      <c r="P76" s="11">
        <f>Table15[[#This Row],[Proj_2020_Total4]]*$N$78</f>
        <v>213451.70076417219</v>
      </c>
      <c r="Q76" s="29">
        <f>Table15[[#This Row],[Proj2021_Hommes22]]/$P$78</f>
        <v>0.13442227201119325</v>
      </c>
      <c r="R76" s="29">
        <f>Table15[[#This Row],[Proj2021_Femmes32]]/$P$78</f>
        <v>0.14042963082699894</v>
      </c>
      <c r="S76" s="29">
        <f>Table15[[#This Row],[Proj_2021_Total43]]/$P$78</f>
        <v>0.27485190283819216</v>
      </c>
      <c r="T76" s="11">
        <f t="shared" si="191"/>
        <v>106325.58838113204</v>
      </c>
      <c r="U76" s="11">
        <f t="shared" si="192"/>
        <v>111077.30066177205</v>
      </c>
      <c r="V76" s="11">
        <f t="shared" si="193"/>
        <v>217402.88904290408</v>
      </c>
      <c r="W76" s="58">
        <f t="shared" si="194"/>
        <v>0.13442227201119325</v>
      </c>
      <c r="X76" s="58">
        <f t="shared" si="195"/>
        <v>0.14042963082699894</v>
      </c>
      <c r="Y76" s="58">
        <f t="shared" si="196"/>
        <v>0.27485190283819216</v>
      </c>
      <c r="Z76" s="11">
        <f t="shared" si="197"/>
        <v>111936.89762993899</v>
      </c>
      <c r="AA76" s="11">
        <f t="shared" si="198"/>
        <v>116939.3804680148</v>
      </c>
      <c r="AB76" s="11">
        <f t="shared" si="199"/>
        <v>228876.27809795376</v>
      </c>
    </row>
    <row r="77" spans="1:28" x14ac:dyDescent="0.35">
      <c r="A77" t="s">
        <v>180</v>
      </c>
      <c r="B77" t="s">
        <v>202</v>
      </c>
      <c r="C77" t="s">
        <v>181</v>
      </c>
      <c r="D77" t="s">
        <v>131</v>
      </c>
      <c r="E77" t="s">
        <v>130</v>
      </c>
      <c r="F77">
        <v>12948</v>
      </c>
      <c r="G77">
        <v>13264</v>
      </c>
      <c r="H77" s="1">
        <v>14831</v>
      </c>
      <c r="I77" s="1">
        <v>15192</v>
      </c>
      <c r="J77" s="1">
        <v>30023</v>
      </c>
      <c r="K77" s="31">
        <f>Table15[[#This Row],[Proj2020_Hommes]]/$J$78</f>
        <v>1.9650449624440701E-2</v>
      </c>
      <c r="L77" s="31">
        <f>Table15[[#This Row],[Proj2020_Femmes]]/$J$78</f>
        <v>2.0128759402232025E-2</v>
      </c>
      <c r="M77" s="31">
        <f>Table15[[#This Row],[Proj_2020_Total]]/$J$78</f>
        <v>3.9779209026672729E-2</v>
      </c>
      <c r="N77" s="11">
        <f>Table15[[#This Row],[Proj2020_Hommes2]]*$N$78</f>
        <v>15260.661650164564</v>
      </c>
      <c r="O77" s="11">
        <f>Table15[[#This Row],[Proj2020_Femmes3]]*$N$78</f>
        <v>15632.120004672652</v>
      </c>
      <c r="P77" s="11">
        <f>Table15[[#This Row],[Proj_2020_Total4]]*$N$78</f>
        <v>30892.781654837218</v>
      </c>
      <c r="Q77" s="29">
        <f>Table15[[#This Row],[Proj2021_Hommes22]]/$P$78</f>
        <v>1.9650449624440701E-2</v>
      </c>
      <c r="R77" s="29">
        <f>Table15[[#This Row],[Proj2021_Femmes32]]/$P$78</f>
        <v>2.0128759402232025E-2</v>
      </c>
      <c r="S77" s="29">
        <f>Table15[[#This Row],[Proj_2021_Total43]]/$P$78</f>
        <v>3.9779209026672729E-2</v>
      </c>
      <c r="T77" s="11">
        <f t="shared" si="191"/>
        <v>15543.150603037524</v>
      </c>
      <c r="U77" s="11">
        <f t="shared" si="192"/>
        <v>15921.484995033787</v>
      </c>
      <c r="V77" s="11">
        <f t="shared" si="193"/>
        <v>31464.635598071316</v>
      </c>
      <c r="W77" s="58">
        <f t="shared" si="194"/>
        <v>1.9650449624440701E-2</v>
      </c>
      <c r="X77" s="58">
        <f t="shared" si="195"/>
        <v>2.0128759402232025E-2</v>
      </c>
      <c r="Y77" s="58">
        <f t="shared" si="196"/>
        <v>3.9779209026672729E-2</v>
      </c>
      <c r="Z77" s="11">
        <f t="shared" si="197"/>
        <v>16363.436914755701</v>
      </c>
      <c r="AA77" s="11">
        <f t="shared" si="198"/>
        <v>16761.737820036993</v>
      </c>
      <c r="AB77" s="11">
        <f t="shared" si="199"/>
        <v>33125.174734792694</v>
      </c>
    </row>
    <row r="78" spans="1:28" x14ac:dyDescent="0.35">
      <c r="H78" s="1"/>
      <c r="I78" s="1"/>
      <c r="J78" s="23">
        <f>+J77+J76+J75+J74</f>
        <v>754741</v>
      </c>
      <c r="K78" s="11"/>
      <c r="L78" s="11"/>
      <c r="M78" s="11"/>
      <c r="N78" s="30">
        <f>[1]Sheet1!$D$42</f>
        <v>776606.23252018436</v>
      </c>
      <c r="O78" s="11"/>
      <c r="P78" s="11">
        <f>P77+P76+P75+P74</f>
        <v>776606.23252018436</v>
      </c>
      <c r="Q78" s="9"/>
      <c r="R78" s="9"/>
      <c r="S78" s="9"/>
      <c r="T78" s="9"/>
      <c r="U78" s="9"/>
      <c r="V78" s="30">
        <v>790981.93171648204</v>
      </c>
      <c r="W78" s="9"/>
      <c r="X78" s="9"/>
      <c r="Y78" s="9"/>
      <c r="Z78" s="9"/>
      <c r="AA78" s="9"/>
      <c r="AB78" s="30">
        <v>832725.82701635989</v>
      </c>
    </row>
    <row r="79" spans="1:28" x14ac:dyDescent="0.35">
      <c r="A79" t="s">
        <v>136</v>
      </c>
      <c r="B79" t="s">
        <v>199</v>
      </c>
      <c r="C79" t="s">
        <v>137</v>
      </c>
      <c r="D79" t="s">
        <v>139</v>
      </c>
      <c r="E79" t="s">
        <v>138</v>
      </c>
      <c r="F79">
        <v>649673</v>
      </c>
      <c r="G79">
        <v>571363</v>
      </c>
      <c r="H79" s="1">
        <v>847188</v>
      </c>
      <c r="I79" s="1">
        <v>745070</v>
      </c>
      <c r="J79" s="1">
        <v>1592258</v>
      </c>
      <c r="K79" s="31">
        <f>Table15[[#This Row],[Proj2020_Hommes]]/$J$80</f>
        <v>0.53206703938683308</v>
      </c>
      <c r="L79" s="31">
        <f>Table15[[#This Row],[Proj2020_Femmes]]/$J$80</f>
        <v>0.46793296061316697</v>
      </c>
      <c r="M79" s="31">
        <f>Table15[[#This Row],[Proj_2020_Total]]/$J$80</f>
        <v>1</v>
      </c>
      <c r="N79" s="11">
        <v>871732.62436906749</v>
      </c>
      <c r="O79" s="11">
        <v>766656.07449428109</v>
      </c>
      <c r="P79" s="11">
        <v>1638388.6988633485</v>
      </c>
      <c r="Q79" s="29">
        <f>Table15[[#This Row],[Proj2021_Hommes22]]/$P$79</f>
        <v>0.53206703938683308</v>
      </c>
      <c r="R79" s="29">
        <f>Table15[[#This Row],[Proj2021_Femmes32]]/$P$79</f>
        <v>0.46793296061316697</v>
      </c>
      <c r="S79" s="29">
        <f>Table15[[#This Row],[Proj_2021_Total43]]/$P$79</f>
        <v>1</v>
      </c>
      <c r="T79" s="11">
        <f>Q79*$V$79</f>
        <v>887869.20100567478</v>
      </c>
      <c r="U79" s="11">
        <f>R79*$V$79</f>
        <v>780847.58706839336</v>
      </c>
      <c r="V79" s="30">
        <v>1668716.788074068</v>
      </c>
      <c r="W79" s="58">
        <f>T79/$V$79</f>
        <v>0.53206703938683308</v>
      </c>
      <c r="X79" s="58">
        <f t="shared" ref="X79:Y79" si="200">U79/$V$79</f>
        <v>0.46793296061316697</v>
      </c>
      <c r="Y79" s="58">
        <f t="shared" si="200"/>
        <v>1</v>
      </c>
      <c r="Z79" s="11">
        <f>W79*$AB$79</f>
        <v>934726.30036613392</v>
      </c>
      <c r="AA79" s="11">
        <f>X79*$AB$79</f>
        <v>822056.64458632015</v>
      </c>
      <c r="AB79" s="30">
        <v>1756782.944952454</v>
      </c>
    </row>
    <row r="80" spans="1:28" x14ac:dyDescent="0.35">
      <c r="H80" s="1"/>
      <c r="I80" s="1"/>
      <c r="J80" s="23">
        <f>J79</f>
        <v>1592258</v>
      </c>
      <c r="K80" s="11"/>
      <c r="L80" s="11"/>
      <c r="M80" s="11"/>
      <c r="N80" s="11">
        <f>[1]Sheet1!$D$43</f>
        <v>1638388.6988633485</v>
      </c>
      <c r="O80" s="11"/>
      <c r="P80" s="11"/>
      <c r="Q80" s="9"/>
      <c r="R80" s="9"/>
      <c r="S80" s="9"/>
      <c r="T80" s="9"/>
      <c r="U80" s="9"/>
      <c r="V80" s="9"/>
      <c r="W80" s="9"/>
      <c r="X80" s="9"/>
      <c r="Y80" s="9"/>
      <c r="Z80" s="9"/>
      <c r="AA80" s="9"/>
      <c r="AB80" s="9"/>
    </row>
    <row r="81" spans="1:28" x14ac:dyDescent="0.35">
      <c r="A81" t="s">
        <v>141</v>
      </c>
      <c r="B81" t="s">
        <v>140</v>
      </c>
      <c r="C81" t="s">
        <v>140</v>
      </c>
      <c r="D81" t="s">
        <v>143</v>
      </c>
      <c r="E81" t="s">
        <v>142</v>
      </c>
      <c r="F81">
        <v>96114</v>
      </c>
      <c r="G81">
        <v>85233</v>
      </c>
      <c r="H81" s="1">
        <v>108858</v>
      </c>
      <c r="I81" s="1">
        <v>96536</v>
      </c>
      <c r="J81" s="1">
        <v>205394</v>
      </c>
      <c r="K81" s="31">
        <f>Table15[[#This Row],[Proj2020_Hommes]]/$J$84</f>
        <v>0.29149830094552581</v>
      </c>
      <c r="L81" s="31">
        <f>Table15[[#This Row],[Proj2020_Femmes]]/$J$84</f>
        <v>0.25850263627916442</v>
      </c>
      <c r="M81" s="31">
        <f>Table15[[#This Row],[Proj_2020_Total]]/$J$84</f>
        <v>0.55000093722469023</v>
      </c>
      <c r="N81" s="11">
        <v>112011.82030855953</v>
      </c>
      <c r="O81" s="11">
        <v>99332.828871622696</v>
      </c>
      <c r="P81" s="11">
        <v>211344.64918018223</v>
      </c>
      <c r="Q81" s="29">
        <f>Table15[[#This Row],[Proj2021_Hommes22]]/$P$84</f>
        <v>0.29149830094552587</v>
      </c>
      <c r="R81" s="29">
        <f>Table15[[#This Row],[Proj2021_Femmes32]]/$P$84</f>
        <v>0.25850263627916448</v>
      </c>
      <c r="S81" s="29">
        <f>Table15[[#This Row],[Proj_2021_Total43]]/$P$84</f>
        <v>0.55000093722469034</v>
      </c>
      <c r="T81" s="11">
        <f>Q81*$V$84</f>
        <v>114085.26263719003</v>
      </c>
      <c r="U81" s="11">
        <f t="shared" ref="U81:V81" si="201">R81*$V$84</f>
        <v>101171.5713493154</v>
      </c>
      <c r="V81" s="11">
        <f t="shared" si="201"/>
        <v>215256.83398650543</v>
      </c>
      <c r="W81" s="58">
        <f>T81/$V$84</f>
        <v>0.29149830094552587</v>
      </c>
      <c r="X81" s="58">
        <f t="shared" ref="X81:Y81" si="202">U81/$V$84</f>
        <v>0.25850263627916448</v>
      </c>
      <c r="Y81" s="58">
        <f t="shared" si="202"/>
        <v>0.55000093722469034</v>
      </c>
      <c r="Z81" s="11">
        <f>W81*$AB$84</f>
        <v>120106.08696683217</v>
      </c>
      <c r="AA81" s="11">
        <f t="shared" ref="AA81:AB81" si="203">X81*$AB$84</f>
        <v>106510.87849703385</v>
      </c>
      <c r="AB81" s="11">
        <f t="shared" si="203"/>
        <v>226616.96546386601</v>
      </c>
    </row>
    <row r="82" spans="1:28" x14ac:dyDescent="0.35">
      <c r="A82" t="s">
        <v>179</v>
      </c>
      <c r="B82" t="s">
        <v>178</v>
      </c>
      <c r="C82" t="s">
        <v>178</v>
      </c>
      <c r="D82" t="s">
        <v>143</v>
      </c>
      <c r="E82" t="s">
        <v>142</v>
      </c>
      <c r="F82">
        <v>38862</v>
      </c>
      <c r="G82">
        <v>30533</v>
      </c>
      <c r="H82" s="1">
        <v>43918</v>
      </c>
      <c r="I82" s="1">
        <v>34505</v>
      </c>
      <c r="J82" s="1">
        <v>78423</v>
      </c>
      <c r="K82" s="31">
        <f>Table15[[#This Row],[Proj2020_Hommes]]/$J$84</f>
        <v>0.11760295413222366</v>
      </c>
      <c r="L82" s="31">
        <f>Table15[[#This Row],[Proj2020_Femmes]]/$J$84</f>
        <v>9.2396965534231462E-2</v>
      </c>
      <c r="M82" s="31">
        <f>Table15[[#This Row],[Proj_2020_Total]]/$J$84</f>
        <v>0.20999991966645512</v>
      </c>
      <c r="N82" s="11">
        <v>45190.386781966576</v>
      </c>
      <c r="O82" s="11">
        <v>35504.674527796276</v>
      </c>
      <c r="P82" s="11">
        <v>80695.061309762852</v>
      </c>
      <c r="Q82" s="29">
        <f>Table15[[#This Row],[Proj2021_Hommes22]]/$P$84</f>
        <v>0.11760295413222367</v>
      </c>
      <c r="R82" s="29">
        <f>Table15[[#This Row],[Proj2021_Femmes32]]/$P$84</f>
        <v>9.2396965534231476E-2</v>
      </c>
      <c r="S82" s="29">
        <f>Table15[[#This Row],[Proj_2021_Total43]]/$P$84</f>
        <v>0.20999991966645515</v>
      </c>
      <c r="T82" s="11">
        <f t="shared" ref="T82:T83" si="204">Q82*$V$84</f>
        <v>46026.902611660247</v>
      </c>
      <c r="U82" s="11">
        <f t="shared" ref="U82:U83" si="205">R82*$V$84</f>
        <v>36161.898870971738</v>
      </c>
      <c r="V82" s="11">
        <f t="shared" ref="V82:V83" si="206">S82*$V$84</f>
        <v>82188.801482631985</v>
      </c>
      <c r="W82" s="58">
        <f t="shared" ref="W82:W83" si="207">T82/$V$84</f>
        <v>0.11760295413222367</v>
      </c>
      <c r="X82" s="58">
        <f t="shared" ref="X82:X83" si="208">U82/$V$84</f>
        <v>9.2396965534231462E-2</v>
      </c>
      <c r="Y82" s="58">
        <f t="shared" ref="Y82:Y83" si="209">V82/$V$84</f>
        <v>0.20999991966645515</v>
      </c>
      <c r="Z82" s="11">
        <f t="shared" ref="Z82:Z83" si="210">W82*$AB$84</f>
        <v>48455.962147102968</v>
      </c>
      <c r="AA82" s="11">
        <f t="shared" ref="AA82:AA83" si="211">X82*$AB$84</f>
        <v>38070.33503087089</v>
      </c>
      <c r="AB82" s="11">
        <f t="shared" ref="AB82:AB83" si="212">Y82*$AB$84</f>
        <v>86526.297177973858</v>
      </c>
    </row>
    <row r="83" spans="1:28" x14ac:dyDescent="0.35">
      <c r="A83" t="s">
        <v>145</v>
      </c>
      <c r="B83" t="s">
        <v>144</v>
      </c>
      <c r="C83" t="s">
        <v>144</v>
      </c>
      <c r="D83" t="s">
        <v>143</v>
      </c>
      <c r="E83" t="s">
        <v>142</v>
      </c>
      <c r="F83">
        <v>43686</v>
      </c>
      <c r="G83">
        <v>35744</v>
      </c>
      <c r="H83" s="1">
        <v>49294</v>
      </c>
      <c r="I83" s="1">
        <v>40332</v>
      </c>
      <c r="J83" s="1">
        <v>89626</v>
      </c>
      <c r="K83" s="31">
        <f>Table15[[#This Row],[Proj2020_Hommes]]/$J$84</f>
        <v>0.13199872537442126</v>
      </c>
      <c r="L83" s="31">
        <f>Table15[[#This Row],[Proj2020_Femmes]]/$J$84</f>
        <v>0.10800041773443336</v>
      </c>
      <c r="M83" s="31">
        <f>Table15[[#This Row],[Proj_2020_Total]]/$J$84</f>
        <v>0.23999914310885462</v>
      </c>
      <c r="N83" s="11">
        <v>50722.139578994043</v>
      </c>
      <c r="O83" s="11">
        <v>41500.493640199369</v>
      </c>
      <c r="P83" s="11">
        <v>92222.63321919342</v>
      </c>
      <c r="Q83" s="29">
        <f>Table15[[#This Row],[Proj2021_Hommes22]]/$P$84</f>
        <v>0.13199872537442128</v>
      </c>
      <c r="R83" s="29">
        <f>Table15[[#This Row],[Proj2021_Femmes32]]/$P$84</f>
        <v>0.10800041773443338</v>
      </c>
      <c r="S83" s="29">
        <f>Table15[[#This Row],[Proj_2021_Total43]]/$P$84</f>
        <v>0.23999914310885467</v>
      </c>
      <c r="T83" s="11">
        <f t="shared" si="204"/>
        <v>51661.053266068135</v>
      </c>
      <c r="U83" s="11">
        <f t="shared" si="205"/>
        <v>42268.706137198438</v>
      </c>
      <c r="V83" s="11">
        <f t="shared" si="206"/>
        <v>93929.75940326658</v>
      </c>
      <c r="W83" s="58">
        <f t="shared" si="207"/>
        <v>0.13199872537442128</v>
      </c>
      <c r="X83" s="58">
        <f t="shared" si="208"/>
        <v>0.10800041773443338</v>
      </c>
      <c r="Y83" s="58">
        <f t="shared" si="209"/>
        <v>0.23999914310885467</v>
      </c>
      <c r="Z83" s="11">
        <f t="shared" si="210"/>
        <v>54387.453847609038</v>
      </c>
      <c r="AA83" s="11">
        <f t="shared" si="211"/>
        <v>44499.427690627002</v>
      </c>
      <c r="AB83" s="11">
        <f t="shared" si="212"/>
        <v>98886.881538236048</v>
      </c>
    </row>
    <row r="84" spans="1:28" x14ac:dyDescent="0.35">
      <c r="H84" s="1"/>
      <c r="I84" s="1"/>
      <c r="J84" s="23">
        <f>J83+J82+J81</f>
        <v>373443</v>
      </c>
      <c r="K84" s="11"/>
      <c r="L84" s="11"/>
      <c r="M84" s="11"/>
      <c r="N84" s="30">
        <f>[1]Sheet1!$D$44</f>
        <v>384262.34370913851</v>
      </c>
      <c r="O84" s="11"/>
      <c r="P84" s="11">
        <f>P83+P82+P81</f>
        <v>384262.34370913845</v>
      </c>
      <c r="Q84" s="9"/>
      <c r="R84" s="9"/>
      <c r="S84" s="9"/>
      <c r="T84" s="9"/>
      <c r="U84" s="9"/>
      <c r="V84" s="30">
        <v>391375.39487240394</v>
      </c>
      <c r="W84" s="9"/>
      <c r="X84" s="9"/>
      <c r="Y84" s="9"/>
      <c r="Z84" s="9"/>
      <c r="AA84" s="9"/>
      <c r="AB84" s="30">
        <v>412030.14418007585</v>
      </c>
    </row>
    <row r="85" spans="1:28" x14ac:dyDescent="0.35">
      <c r="A85" t="s">
        <v>147</v>
      </c>
      <c r="B85" t="s">
        <v>146</v>
      </c>
      <c r="C85" t="s">
        <v>146</v>
      </c>
      <c r="D85" t="s">
        <v>149</v>
      </c>
      <c r="E85" t="s">
        <v>148</v>
      </c>
      <c r="F85">
        <v>56054</v>
      </c>
      <c r="G85">
        <v>45861</v>
      </c>
      <c r="H85" s="1">
        <v>64354</v>
      </c>
      <c r="I85" s="1">
        <v>52652</v>
      </c>
      <c r="J85" s="1">
        <v>117006</v>
      </c>
      <c r="K85" s="31">
        <f>Table15[[#This Row],[Proj2020_Hommes]]/$J$87</f>
        <v>0.4070487479364196</v>
      </c>
      <c r="L85" s="31">
        <f>Table15[[#This Row],[Proj2020_Femmes]]/$J$87</f>
        <v>0.33303183448345658</v>
      </c>
      <c r="M85" s="31">
        <f>Table15[[#This Row],[Proj_2020_Total]]/$J$87</f>
        <v>0.74008058241987618</v>
      </c>
      <c r="N85" s="11">
        <v>66218.456008166977</v>
      </c>
      <c r="O85" s="11">
        <v>54177.427133387318</v>
      </c>
      <c r="P85" s="11">
        <v>120395.8831415543</v>
      </c>
      <c r="Q85" s="29">
        <f>Table15[[#This Row],[Proj2021_Hommes22]]/$P$87</f>
        <v>0.4070487479364196</v>
      </c>
      <c r="R85" s="29">
        <f>Table15[[#This Row],[Proj2021_Femmes32]]/$P$87</f>
        <v>0.33303183448345658</v>
      </c>
      <c r="S85" s="29">
        <f>Table15[[#This Row],[Proj_2021_Total43]]/$P$87</f>
        <v>0.74008058241987618</v>
      </c>
      <c r="T85" s="11">
        <f>Q85*$V$87</f>
        <v>67444.220835893808</v>
      </c>
      <c r="U85" s="11">
        <f t="shared" ref="U85:V85" si="213">R85*$V$87</f>
        <v>55180.301386883184</v>
      </c>
      <c r="V85" s="11">
        <f t="shared" si="213"/>
        <v>122624.52222277698</v>
      </c>
      <c r="W85" s="58">
        <f>T85/$V$87</f>
        <v>0.40704874793641965</v>
      </c>
      <c r="X85" s="58">
        <f t="shared" ref="X85:Y85" si="214">U85/$V$87</f>
        <v>0.33303183448345658</v>
      </c>
      <c r="Y85" s="58">
        <f t="shared" si="214"/>
        <v>0.74008058241987618</v>
      </c>
      <c r="Z85" s="11">
        <f>W85*$AB$87</f>
        <v>71003.574571124933</v>
      </c>
      <c r="AA85" s="11">
        <f t="shared" ref="AA85:AB85" si="215">X85*$AB$87</f>
        <v>58092.429504286752</v>
      </c>
      <c r="AB85" s="11">
        <f t="shared" si="215"/>
        <v>129096.00407541168</v>
      </c>
    </row>
    <row r="86" spans="1:28" x14ac:dyDescent="0.35">
      <c r="A86" t="s">
        <v>151</v>
      </c>
      <c r="B86" t="s">
        <v>150</v>
      </c>
      <c r="C86" t="s">
        <v>150</v>
      </c>
      <c r="D86" t="s">
        <v>149</v>
      </c>
      <c r="E86" t="s">
        <v>148</v>
      </c>
      <c r="F86">
        <v>19686</v>
      </c>
      <c r="G86">
        <v>16108</v>
      </c>
      <c r="H86" s="1">
        <v>22600</v>
      </c>
      <c r="I86" s="1">
        <v>18493</v>
      </c>
      <c r="J86" s="1">
        <v>41093</v>
      </c>
      <c r="K86" s="31">
        <f>Table15[[#This Row],[Proj2020_Hommes]]/$J$87</f>
        <v>0.14294840574576689</v>
      </c>
      <c r="L86" s="31">
        <f>Table15[[#This Row],[Proj2020_Femmes]]/$J$87</f>
        <v>0.11697101183435696</v>
      </c>
      <c r="M86" s="31">
        <f>Table15[[#This Row],[Proj_2020_Total]]/$J$87</f>
        <v>0.25991941758012382</v>
      </c>
      <c r="N86" s="11">
        <v>23254.764362503862</v>
      </c>
      <c r="O86" s="11">
        <v>19028.776874149731</v>
      </c>
      <c r="P86" s="11">
        <v>42283.541236653589</v>
      </c>
      <c r="Q86" s="29">
        <f>Table15[[#This Row],[Proj2021_Hommes22]]/$P$87</f>
        <v>0.14294840574576689</v>
      </c>
      <c r="R86" s="29">
        <f>Table15[[#This Row],[Proj2021_Femmes32]]/$P$87</f>
        <v>0.11697101183435694</v>
      </c>
      <c r="S86" s="29">
        <f>Table15[[#This Row],[Proj_2021_Total43]]/$P$87</f>
        <v>0.25991941758012382</v>
      </c>
      <c r="T86" s="11">
        <f>Q86*$V$87</f>
        <v>23685.231545687911</v>
      </c>
      <c r="U86" s="11">
        <f t="shared" ref="U86" si="216">R86*$V$87</f>
        <v>19381.01712276135</v>
      </c>
      <c r="V86" s="11">
        <f t="shared" ref="V86" si="217">S86*$V$87</f>
        <v>43066.248668449261</v>
      </c>
      <c r="W86" s="58">
        <f>T86/$V$87</f>
        <v>0.14294840574576689</v>
      </c>
      <c r="X86" s="58">
        <f t="shared" ref="X86" si="218">U86/$V$87</f>
        <v>0.11697101183435694</v>
      </c>
      <c r="Y86" s="58">
        <f t="shared" ref="Y86" si="219">V86/$V$87</f>
        <v>0.25991941758012382</v>
      </c>
      <c r="Z86" s="11">
        <f>W86*$AB$87</f>
        <v>24935.214365966734</v>
      </c>
      <c r="AA86" s="11">
        <f t="shared" ref="AA86" si="220">X86*$AB$87</f>
        <v>20403.845985390391</v>
      </c>
      <c r="AB86" s="11">
        <f t="shared" ref="AB86" si="221">Y86*$AB$87</f>
        <v>45339.060351357126</v>
      </c>
    </row>
    <row r="87" spans="1:28" x14ac:dyDescent="0.35">
      <c r="H87" s="1"/>
      <c r="I87" s="1"/>
      <c r="J87" s="23">
        <f>J86+J85</f>
        <v>158099</v>
      </c>
      <c r="K87" s="11"/>
      <c r="L87" s="11"/>
      <c r="M87" s="11"/>
      <c r="N87" s="30">
        <f>ProjPop20_21_22_23_admin1!I6</f>
        <v>162679.42437820788</v>
      </c>
      <c r="O87" s="11"/>
      <c r="P87" s="11">
        <f>P86+P85</f>
        <v>162679.42437820788</v>
      </c>
      <c r="Q87" s="9"/>
      <c r="R87" s="9"/>
      <c r="S87" s="9"/>
      <c r="T87" s="9"/>
      <c r="U87" s="9"/>
      <c r="V87" s="30">
        <v>165690.77089122625</v>
      </c>
      <c r="W87" s="9"/>
      <c r="X87" s="9"/>
      <c r="Y87" s="9"/>
      <c r="Z87" s="9"/>
      <c r="AA87" s="9"/>
      <c r="AB87" s="30">
        <v>174435.0644267688</v>
      </c>
    </row>
    <row r="88" spans="1:28" x14ac:dyDescent="0.35">
      <c r="A88" t="s">
        <v>153</v>
      </c>
      <c r="B88" t="s">
        <v>152</v>
      </c>
      <c r="C88" t="s">
        <v>152</v>
      </c>
      <c r="D88" t="s">
        <v>155</v>
      </c>
      <c r="E88" t="s">
        <v>154</v>
      </c>
      <c r="F88">
        <v>195195</v>
      </c>
      <c r="G88">
        <v>197435</v>
      </c>
      <c r="H88" s="1">
        <v>221281</v>
      </c>
      <c r="I88" s="1">
        <v>223820</v>
      </c>
      <c r="J88" s="1">
        <v>445101</v>
      </c>
      <c r="K88" s="31">
        <f>Table15[[#This Row],[Proj2020_Hommes]]/$J$90</f>
        <v>0.39253986049712974</v>
      </c>
      <c r="L88" s="31">
        <f>Table15[[#This Row],[Proj2020_Femmes]]/$J$90</f>
        <v>0.39704390153907287</v>
      </c>
      <c r="M88" s="31">
        <f>Table15[[#This Row],[Proj_2020_Total]]/$J$90</f>
        <v>0.78958376203620262</v>
      </c>
      <c r="N88" s="11">
        <f>Table15[[#This Row],[Proj2020_Hommes2]]*$N$90</f>
        <v>227691.92534952291</v>
      </c>
      <c r="O88" s="11">
        <f>Table15[[#This Row],[Proj2020_Femmes3]]*$N$90</f>
        <v>230304.48493874402</v>
      </c>
      <c r="P88" s="11">
        <f>Table15[[#This Row],[Proj_2020_Total4]]*$N$90</f>
        <v>457996.4102882669</v>
      </c>
      <c r="Q88" s="29">
        <f>Table15[[#This Row],[Proj2021_Hommes22]]/$P$90</f>
        <v>0.39253986049712974</v>
      </c>
      <c r="R88" s="29">
        <f>Table15[[#This Row],[Proj2021_Femmes32]]/$P$90</f>
        <v>0.39704390153907287</v>
      </c>
      <c r="S88" s="29">
        <f>Table15[[#This Row],[Proj_2021_Total43]]/$P$90</f>
        <v>0.78958376203620262</v>
      </c>
      <c r="T88" s="11">
        <f>Q88*$V$90</f>
        <v>231906.71334784807</v>
      </c>
      <c r="U88" s="11">
        <f t="shared" ref="U88:V88" si="222">R88*$V$90</f>
        <v>234567.63382990568</v>
      </c>
      <c r="V88" s="11">
        <f t="shared" si="222"/>
        <v>466474.34717775375</v>
      </c>
      <c r="W88" s="58">
        <f>T88/$V$90</f>
        <v>0.39253986049712974</v>
      </c>
      <c r="X88" s="58">
        <f t="shared" ref="X88:Y88" si="223">U88/$V$90</f>
        <v>0.39704390153907287</v>
      </c>
      <c r="Y88" s="58">
        <f t="shared" si="223"/>
        <v>0.78958376203620262</v>
      </c>
      <c r="Z88" s="11">
        <f>W88*$AB$90</f>
        <v>326878.07996935892</v>
      </c>
      <c r="AA88" s="11">
        <f t="shared" ref="AA88:AB88" si="224">X88*$AB$90</f>
        <v>330628.71127092664</v>
      </c>
      <c r="AB88" s="11">
        <f t="shared" si="224"/>
        <v>657506.7912402855</v>
      </c>
    </row>
    <row r="89" spans="1:28" x14ac:dyDescent="0.35">
      <c r="A89" t="s">
        <v>157</v>
      </c>
      <c r="B89" t="s">
        <v>156</v>
      </c>
      <c r="C89" t="s">
        <v>156</v>
      </c>
      <c r="D89" t="s">
        <v>155</v>
      </c>
      <c r="E89" t="s">
        <v>154</v>
      </c>
      <c r="F89">
        <v>51384</v>
      </c>
      <c r="G89">
        <v>53247</v>
      </c>
      <c r="H89" s="1">
        <v>58251</v>
      </c>
      <c r="I89" s="1">
        <v>60364</v>
      </c>
      <c r="J89" s="1">
        <v>118615</v>
      </c>
      <c r="K89" s="31">
        <f>Table15[[#This Row],[Proj2020_Hommes]]/$J$90</f>
        <v>0.10333394830020791</v>
      </c>
      <c r="L89" s="31">
        <f>Table15[[#This Row],[Proj2020_Femmes]]/$J$90</f>
        <v>0.10708228966358947</v>
      </c>
      <c r="M89" s="31">
        <f>Table15[[#This Row],[Proj_2020_Total]]/$J$90</f>
        <v>0.21041623796379738</v>
      </c>
      <c r="N89" s="11">
        <f>Table15[[#This Row],[Proj2020_Hommes2]]*$N$90</f>
        <v>59938.640658416487</v>
      </c>
      <c r="O89" s="11">
        <f>Table15[[#This Row],[Proj2020_Femmes3]]*$N$90</f>
        <v>62112.858229123158</v>
      </c>
      <c r="P89" s="11">
        <f>Table15[[#This Row],[Proj_2020_Total4]]*$N$90</f>
        <v>122051.49888753964</v>
      </c>
      <c r="Q89" s="29">
        <f>Table15[[#This Row],[Proj2021_Hommes22]]/$P$90</f>
        <v>0.10333394830020791</v>
      </c>
      <c r="R89" s="29">
        <f>Table15[[#This Row],[Proj2021_Femmes32]]/$P$90</f>
        <v>0.10708228966358947</v>
      </c>
      <c r="S89" s="29">
        <f>Table15[[#This Row],[Proj_2021_Total43]]/$P$90</f>
        <v>0.21041623796379738</v>
      </c>
      <c r="T89" s="11">
        <f>Q89*$V$90</f>
        <v>61048.160299463118</v>
      </c>
      <c r="U89" s="11">
        <f t="shared" ref="U89" si="225">R89*$V$90</f>
        <v>63262.624647075449</v>
      </c>
      <c r="V89" s="11">
        <f t="shared" ref="V89" si="226">S89*$V$90</f>
        <v>124310.78494653857</v>
      </c>
      <c r="W89" s="58">
        <f>T89/$V$90</f>
        <v>0.10333394830020791</v>
      </c>
      <c r="X89" s="58">
        <f t="shared" ref="X89" si="227">U89/$V$90</f>
        <v>0.10708228966358947</v>
      </c>
      <c r="Y89" s="58">
        <f t="shared" ref="Y89" si="228">V89/$V$90</f>
        <v>0.21041623796379738</v>
      </c>
      <c r="Z89" s="11">
        <f>W89*$AB$90</f>
        <v>86048.847557156405</v>
      </c>
      <c r="AA89" s="11">
        <f t="shared" ref="AA89" si="229">X89*$AB$90</f>
        <v>89170.188218917945</v>
      </c>
      <c r="AB89" s="11">
        <f t="shared" ref="AB89" si="230">Y89*$AB$90</f>
        <v>175219.03577607436</v>
      </c>
    </row>
    <row r="90" spans="1:28" x14ac:dyDescent="0.35">
      <c r="H90" s="1"/>
      <c r="I90" s="1"/>
      <c r="J90" s="23">
        <f>J89+J88</f>
        <v>563716</v>
      </c>
      <c r="K90" s="11"/>
      <c r="L90" s="11"/>
      <c r="M90" s="11"/>
      <c r="N90" s="30">
        <f>[1]Sheet1!$D$46</f>
        <v>580047.90917580656</v>
      </c>
      <c r="O90" s="11"/>
      <c r="P90" s="11">
        <f>P89+P88</f>
        <v>580047.90917580656</v>
      </c>
      <c r="Q90" s="9"/>
      <c r="R90" s="9"/>
      <c r="S90" s="9"/>
      <c r="T90" s="9"/>
      <c r="U90" s="9"/>
      <c r="V90" s="30">
        <v>590785.13212429231</v>
      </c>
      <c r="W90" s="9"/>
      <c r="X90" s="9"/>
      <c r="Y90" s="9"/>
      <c r="Z90" s="9"/>
      <c r="AA90" s="9"/>
      <c r="AB90" s="30">
        <v>832725.82701635989</v>
      </c>
    </row>
    <row r="91" spans="1:28" x14ac:dyDescent="0.35">
      <c r="A91" t="s">
        <v>159</v>
      </c>
      <c r="B91" t="s">
        <v>158</v>
      </c>
      <c r="C91" t="s">
        <v>158</v>
      </c>
      <c r="D91" t="s">
        <v>161</v>
      </c>
      <c r="E91" t="s">
        <v>160</v>
      </c>
      <c r="F91">
        <v>9733</v>
      </c>
      <c r="G91">
        <v>8731</v>
      </c>
      <c r="H91" s="1">
        <v>11245</v>
      </c>
      <c r="I91" s="1">
        <v>10087</v>
      </c>
      <c r="J91" s="1">
        <v>21332</v>
      </c>
      <c r="K91" s="31">
        <f>Table15[[#This Row],[Proj2020_Hommes]]/$J$93</f>
        <v>0.29761274613593053</v>
      </c>
      <c r="L91" s="31">
        <f>Table15[[#This Row],[Proj2020_Femmes]]/$J$93</f>
        <v>0.26696485284776628</v>
      </c>
      <c r="M91" s="31">
        <f>Table15[[#This Row],[Proj_2020_Total]]/$J$93</f>
        <v>0.56457759898369675</v>
      </c>
      <c r="N91" s="11">
        <f>Table15[[#This Row],[Proj2020_Hommes2]]*$N$93</f>
        <v>11570.78872815734</v>
      </c>
      <c r="O91" s="11">
        <f>Table15[[#This Row],[Proj2020_Femmes3]]*$N$93</f>
        <v>10379.239297547632</v>
      </c>
      <c r="P91" s="11">
        <f>Table15[[#This Row],[Proj_2020_Total4]]*$N$93</f>
        <v>21950.028025704971</v>
      </c>
      <c r="Q91" s="29">
        <f>Table15[[#This Row],[Proj2021_Hommes22]]/$P$93</f>
        <v>0.29761274613593053</v>
      </c>
      <c r="R91" s="29">
        <f>Table15[[#This Row],[Proj2021_Femmes32]]/$P$93</f>
        <v>0.26696485284776628</v>
      </c>
      <c r="S91" s="29">
        <f>Table15[[#This Row],[Proj_2021_Total43]]/$P$93</f>
        <v>0.56457759898369675</v>
      </c>
      <c r="T91" s="11">
        <f>Q91*$V$93</f>
        <v>11784.974722622146</v>
      </c>
      <c r="U91" s="11">
        <f t="shared" ref="U91:V91" si="231">R91*$V$93</f>
        <v>10571.368610679378</v>
      </c>
      <c r="V91" s="11">
        <f t="shared" si="231"/>
        <v>22356.34333330152</v>
      </c>
      <c r="W91" s="58">
        <f>T91/$V$93</f>
        <v>0.29761274613593053</v>
      </c>
      <c r="X91" s="58">
        <f t="shared" ref="X91:Y91" si="232">U91/$V$93</f>
        <v>0.26696485284776628</v>
      </c>
      <c r="Y91" s="58">
        <f t="shared" si="232"/>
        <v>0.56457759898369675</v>
      </c>
      <c r="Z91" s="11">
        <f>W91*$AB$93</f>
        <v>12406.924139172384</v>
      </c>
      <c r="AA91" s="11">
        <f t="shared" ref="AA91:AB91" si="233">X91*$AB$93</f>
        <v>11129.270234933914</v>
      </c>
      <c r="AB91" s="11">
        <f t="shared" si="233"/>
        <v>23536.194374106297</v>
      </c>
    </row>
    <row r="92" spans="1:28" x14ac:dyDescent="0.35">
      <c r="A92" t="s">
        <v>163</v>
      </c>
      <c r="B92" t="s">
        <v>162</v>
      </c>
      <c r="C92" t="s">
        <v>162</v>
      </c>
      <c r="D92" t="s">
        <v>161</v>
      </c>
      <c r="E92" t="s">
        <v>160</v>
      </c>
      <c r="F92">
        <v>7813</v>
      </c>
      <c r="G92">
        <v>6427</v>
      </c>
      <c r="H92" s="1">
        <v>9027</v>
      </c>
      <c r="I92" s="1">
        <v>7425</v>
      </c>
      <c r="J92" s="1">
        <v>16452</v>
      </c>
      <c r="K92" s="31">
        <f>Table15[[#This Row],[Proj2020_Hommes]]/$J$93</f>
        <v>0.23891065001058648</v>
      </c>
      <c r="L92" s="31">
        <f>Table15[[#This Row],[Proj2020_Femmes]]/$J$93</f>
        <v>0.19651175100571672</v>
      </c>
      <c r="M92" s="31">
        <f>Table15[[#This Row],[Proj_2020_Total]]/$J$93</f>
        <v>0.4354224010163032</v>
      </c>
      <c r="N92" s="11">
        <f>Table15[[#This Row],[Proj2020_Hommes2]]*$N$93</f>
        <v>9288.5291106337318</v>
      </c>
      <c r="O92" s="11">
        <f>Table15[[#This Row],[Proj2020_Femmes3]]*$N$93</f>
        <v>7640.1161677695218</v>
      </c>
      <c r="P92" s="11">
        <f>Table15[[#This Row],[Proj_2020_Total4]]*$N$93</f>
        <v>16928.645278403255</v>
      </c>
      <c r="Q92" s="29">
        <f>Table15[[#This Row],[Proj2021_Hommes22]]/$P$93</f>
        <v>0.23891065001058648</v>
      </c>
      <c r="R92" s="29">
        <f>Table15[[#This Row],[Proj2021_Femmes32]]/$P$93</f>
        <v>0.19651175100571672</v>
      </c>
      <c r="S92" s="29">
        <f>Table15[[#This Row],[Proj_2021_Total43]]/$P$93</f>
        <v>0.43542240101630325</v>
      </c>
      <c r="T92" s="11">
        <f>Q92*$V$93</f>
        <v>9460.4683700409169</v>
      </c>
      <c r="U92" s="11">
        <f t="shared" ref="U92" si="234">R92*$V$93</f>
        <v>7781.5417799439256</v>
      </c>
      <c r="V92" s="11">
        <f t="shared" ref="V92" si="235">S92*$V$93</f>
        <v>17242.010149984846</v>
      </c>
      <c r="W92" s="58">
        <f>T92/$V$93</f>
        <v>0.23891065001058648</v>
      </c>
      <c r="X92" s="58">
        <f t="shared" ref="X92" si="236">U92/$V$93</f>
        <v>0.19651175100571672</v>
      </c>
      <c r="Y92" s="58">
        <f t="shared" ref="Y92" si="237">V92/$V$93</f>
        <v>0.43542240101630331</v>
      </c>
      <c r="Z92" s="11">
        <f>W92*$AB$93</f>
        <v>9959.7424814859151</v>
      </c>
      <c r="AA92" s="11">
        <f t="shared" ref="AA92" si="238">X92*$AB$93</f>
        <v>8192.2109144824335</v>
      </c>
      <c r="AB92" s="11">
        <f t="shared" ref="AB92" si="239">Y92*$AB$93</f>
        <v>18151.953395968354</v>
      </c>
    </row>
    <row r="93" spans="1:28" x14ac:dyDescent="0.35">
      <c r="H93" s="1"/>
      <c r="I93" s="1"/>
      <c r="J93" s="23">
        <f>J92+J91</f>
        <v>37784</v>
      </c>
      <c r="K93" s="11"/>
      <c r="L93" s="11"/>
      <c r="M93" s="11"/>
      <c r="N93" s="30">
        <f>[1]Sheet1!$D$47</f>
        <v>38878.673304108226</v>
      </c>
      <c r="O93" s="11"/>
      <c r="P93" s="11">
        <f>P92+P91</f>
        <v>38878.673304108226</v>
      </c>
      <c r="Q93" s="29"/>
      <c r="R93" s="29"/>
      <c r="S93" s="29"/>
      <c r="T93" s="9"/>
      <c r="U93" s="9"/>
      <c r="V93" s="30">
        <v>39598.353483286366</v>
      </c>
      <c r="W93" s="9"/>
      <c r="X93" s="9"/>
      <c r="Y93" s="9"/>
      <c r="Z93" s="9"/>
      <c r="AA93" s="9"/>
      <c r="AB93" s="30">
        <v>41688.147770074647</v>
      </c>
    </row>
    <row r="94" spans="1:28" x14ac:dyDescent="0.35">
      <c r="A94" t="s">
        <v>165</v>
      </c>
      <c r="B94" t="s">
        <v>164</v>
      </c>
      <c r="C94" t="s">
        <v>164</v>
      </c>
      <c r="D94" t="s">
        <v>167</v>
      </c>
      <c r="E94" t="s">
        <v>166</v>
      </c>
      <c r="F94">
        <v>27744</v>
      </c>
      <c r="G94">
        <v>22698</v>
      </c>
      <c r="H94" s="1">
        <v>31930</v>
      </c>
      <c r="I94" s="1">
        <v>26123</v>
      </c>
      <c r="J94" s="1">
        <v>58053</v>
      </c>
      <c r="K94" s="31">
        <f>Table15[[#This Row],[Proj2020_Hommes]]/$J$96</f>
        <v>0.35750674593844123</v>
      </c>
      <c r="L94" s="31">
        <f>Table15[[#This Row],[Proj2020_Femmes]]/$J$96</f>
        <v>0.29248821560131222</v>
      </c>
      <c r="M94" s="31">
        <f>Table15[[#This Row],[Proj_2020_Total]]/$J$96</f>
        <v>0.64999496153975345</v>
      </c>
      <c r="N94" s="11">
        <v>32855.071951095058</v>
      </c>
      <c r="O94" s="11">
        <v>26879.832276180899</v>
      </c>
      <c r="P94" s="11">
        <v>59734.904227275954</v>
      </c>
      <c r="Q94" s="29">
        <f>Table15[[#This Row],[Proj2021_Hommes22]]/$P$96</f>
        <v>0.35750674593844123</v>
      </c>
      <c r="R94" s="29">
        <f>Table15[[#This Row],[Proj2021_Femmes32]]/$P$96</f>
        <v>0.29248821560131222</v>
      </c>
      <c r="S94" s="29">
        <f>Table15[[#This Row],[Proj_2021_Total43]]/$P$96</f>
        <v>0.64999496153975345</v>
      </c>
      <c r="T94" s="11">
        <f>Q94*$V$96</f>
        <v>33463.249701496221</v>
      </c>
      <c r="U94" s="11">
        <f t="shared" ref="U94:V94" si="240">R94*$V$96</f>
        <v>27377.40281716836</v>
      </c>
      <c r="V94" s="11">
        <f t="shared" si="240"/>
        <v>60840.652518664581</v>
      </c>
      <c r="W94" s="58">
        <f>T94/$V$96</f>
        <v>0.35750674593844123</v>
      </c>
      <c r="X94" s="58">
        <f t="shared" ref="X94:Y94" si="241">U94/$V$96</f>
        <v>0.29248821560131222</v>
      </c>
      <c r="Y94" s="58">
        <f t="shared" si="241"/>
        <v>0.64999496153975345</v>
      </c>
      <c r="Z94" s="11">
        <f>W94*$AB$96</f>
        <v>35229.265252447673</v>
      </c>
      <c r="AA94" s="11">
        <f t="shared" ref="AA94:AB94" si="242">X94*$AB$96</f>
        <v>28822.239154077371</v>
      </c>
      <c r="AB94" s="11">
        <f t="shared" si="242"/>
        <v>64051.504406525048</v>
      </c>
    </row>
    <row r="95" spans="1:28" x14ac:dyDescent="0.35">
      <c r="A95" t="s">
        <v>169</v>
      </c>
      <c r="B95" t="s">
        <v>168</v>
      </c>
      <c r="C95" t="s">
        <v>168</v>
      </c>
      <c r="D95" t="s">
        <v>167</v>
      </c>
      <c r="E95" t="s">
        <v>166</v>
      </c>
      <c r="F95">
        <v>15044</v>
      </c>
      <c r="G95">
        <v>12309</v>
      </c>
      <c r="H95" s="1">
        <v>17193</v>
      </c>
      <c r="I95" s="1">
        <v>14067</v>
      </c>
      <c r="J95" s="1">
        <v>31260</v>
      </c>
      <c r="K95" s="31">
        <f>Table15[[#This Row],[Proj2020_Hommes]]/$J$96</f>
        <v>0.1925027711531356</v>
      </c>
      <c r="L95" s="31">
        <f>Table15[[#This Row],[Proj2020_Femmes]]/$J$96</f>
        <v>0.15750226730711095</v>
      </c>
      <c r="M95" s="31">
        <f>Table15[[#This Row],[Proj_2020_Total]]/$J$96</f>
        <v>0.35000503846024655</v>
      </c>
      <c r="N95" s="11">
        <v>17691.113437368535</v>
      </c>
      <c r="O95" s="11">
        <v>14474.547357846983</v>
      </c>
      <c r="P95" s="11">
        <v>32165.660795215517</v>
      </c>
      <c r="Q95" s="29">
        <f>Table15[[#This Row],[Proj2021_Hommes22]]/$P$96</f>
        <v>0.1925027711531356</v>
      </c>
      <c r="R95" s="29">
        <f>Table15[[#This Row],[Proj2021_Femmes32]]/$P$96</f>
        <v>0.15750226730711095</v>
      </c>
      <c r="S95" s="29">
        <f>Table15[[#This Row],[Proj_2021_Total43]]/$P$96</f>
        <v>0.35000503846024655</v>
      </c>
      <c r="T95" s="11">
        <f>Q95*$V$96</f>
        <v>18018.592299336815</v>
      </c>
      <c r="U95" s="11">
        <f t="shared" ref="U95" si="243">R95*$V$96</f>
        <v>14742.484608548304</v>
      </c>
      <c r="V95" s="11">
        <f t="shared" ref="V95" si="244">S95*$V$96</f>
        <v>32761.076907885119</v>
      </c>
      <c r="W95" s="58">
        <f>T95/$V$96</f>
        <v>0.19250277115313558</v>
      </c>
      <c r="X95" s="58">
        <f t="shared" ref="X95" si="245">U95/$V$96</f>
        <v>0.15750226730711095</v>
      </c>
      <c r="Y95" s="58">
        <f t="shared" ref="Y95" si="246">V95/$V$96</f>
        <v>0.35000503846024655</v>
      </c>
      <c r="Z95" s="11">
        <f>W95*$AB$96</f>
        <v>18969.519495312645</v>
      </c>
      <c r="AA95" s="11">
        <f t="shared" ref="AA95" si="247">X95*$AB$96</f>
        <v>15520.515950710347</v>
      </c>
      <c r="AB95" s="11">
        <f t="shared" ref="AB95" si="248">Y95*$AB$96</f>
        <v>34490.035446022994</v>
      </c>
    </row>
    <row r="96" spans="1:28" x14ac:dyDescent="0.35">
      <c r="J96" s="23">
        <f>J95+J94</f>
        <v>89313</v>
      </c>
      <c r="K96" s="9"/>
      <c r="L96" s="9"/>
      <c r="M96" s="9"/>
      <c r="N96" s="30">
        <f>ProjPop20_21_22_23_admin1!I7</f>
        <v>91900.565022491472</v>
      </c>
      <c r="O96" s="9"/>
      <c r="P96" s="11">
        <f>P95+P94</f>
        <v>91900.565022491472</v>
      </c>
      <c r="Q96" s="9"/>
      <c r="R96" s="9"/>
      <c r="S96" s="9"/>
      <c r="T96" s="9"/>
      <c r="U96" s="9"/>
      <c r="V96" s="30">
        <v>93601.729426549704</v>
      </c>
      <c r="W96" s="9"/>
      <c r="X96" s="9"/>
      <c r="Y96" s="9"/>
      <c r="Z96" s="9"/>
      <c r="AA96" s="9"/>
      <c r="AB96" s="30">
        <v>98541.539852548041</v>
      </c>
    </row>
  </sheetData>
  <mergeCells count="6">
    <mergeCell ref="Z1:AB1"/>
    <mergeCell ref="K1:M1"/>
    <mergeCell ref="N1:P1"/>
    <mergeCell ref="Q1:S1"/>
    <mergeCell ref="T1:V1"/>
    <mergeCell ref="W1:Y1"/>
  </mergeCells>
  <pageMargins left="0.7" right="0.7" top="0.75" bottom="0.75" header="0.3" footer="0.3"/>
  <pageSetup paperSize="9" orientation="portrait" r:id="rId1"/>
  <legacyDrawing r:id="rId2"/>
  <tableParts count="1">
    <tablePart r:id="rId3"/>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72"/>
  <sheetViews>
    <sheetView topLeftCell="E1" workbookViewId="0">
      <selection activeCell="J8" sqref="J8"/>
    </sheetView>
  </sheetViews>
  <sheetFormatPr baseColWidth="10" defaultColWidth="8.81640625" defaultRowHeight="14.5" x14ac:dyDescent="0.35"/>
  <cols>
    <col min="1" max="1" width="14.453125" customWidth="1"/>
    <col min="2" max="2" width="24.7265625" customWidth="1"/>
    <col min="3" max="3" width="25.54296875" customWidth="1"/>
    <col min="4" max="4" width="24.54296875" customWidth="1"/>
    <col min="5" max="5" width="27.7265625" customWidth="1"/>
    <col min="6" max="6" width="19.26953125" hidden="1" customWidth="1"/>
    <col min="7" max="7" width="18.7265625" hidden="1" customWidth="1"/>
    <col min="8" max="8" width="22" bestFit="1" customWidth="1"/>
    <col min="9" max="9" width="21.7265625" bestFit="1" customWidth="1"/>
    <col min="10" max="10" width="19.54296875" bestFit="1" customWidth="1"/>
    <col min="11" max="11" width="20" bestFit="1" customWidth="1"/>
    <col min="12" max="12" width="19.7265625" bestFit="1" customWidth="1"/>
    <col min="13" max="13" width="17.81640625" bestFit="1" customWidth="1"/>
    <col min="14" max="14" width="16.81640625" bestFit="1" customWidth="1"/>
    <col min="15" max="15" width="14.26953125" customWidth="1"/>
    <col min="16" max="16" width="14.54296875" bestFit="1" customWidth="1"/>
  </cols>
  <sheetData>
    <row r="1" spans="1:16" x14ac:dyDescent="0.35">
      <c r="H1" s="70" t="s">
        <v>290</v>
      </c>
      <c r="I1" s="70"/>
      <c r="J1" s="70"/>
      <c r="K1" s="70" t="s">
        <v>295</v>
      </c>
      <c r="L1" s="70"/>
      <c r="M1" s="70"/>
      <c r="N1" s="70" t="s">
        <v>328</v>
      </c>
      <c r="O1" s="70"/>
      <c r="P1" s="70"/>
    </row>
    <row r="2" spans="1:16" x14ac:dyDescent="0.35">
      <c r="A2" t="s">
        <v>1</v>
      </c>
      <c r="B2" t="s">
        <v>0</v>
      </c>
      <c r="C2" t="s">
        <v>2</v>
      </c>
      <c r="D2" t="s">
        <v>4</v>
      </c>
      <c r="E2" t="s">
        <v>3</v>
      </c>
      <c r="F2" t="s">
        <v>227</v>
      </c>
      <c r="G2" t="s">
        <v>228</v>
      </c>
      <c r="H2" t="s">
        <v>287</v>
      </c>
      <c r="I2" t="s">
        <v>288</v>
      </c>
      <c r="J2" t="s">
        <v>289</v>
      </c>
      <c r="K2" t="s">
        <v>304</v>
      </c>
      <c r="L2" t="s">
        <v>305</v>
      </c>
      <c r="M2" t="s">
        <v>337</v>
      </c>
      <c r="N2" s="37" t="s">
        <v>304</v>
      </c>
      <c r="O2" s="37" t="s">
        <v>305</v>
      </c>
      <c r="P2" s="37" t="s">
        <v>337</v>
      </c>
    </row>
    <row r="3" spans="1:16" x14ac:dyDescent="0.35">
      <c r="A3" t="s">
        <v>6</v>
      </c>
      <c r="B3" t="s">
        <v>5</v>
      </c>
      <c r="C3" t="s">
        <v>5</v>
      </c>
      <c r="D3" t="s">
        <v>8</v>
      </c>
      <c r="E3" t="s">
        <v>7</v>
      </c>
      <c r="F3">
        <v>125463</v>
      </c>
      <c r="G3">
        <v>128277</v>
      </c>
      <c r="H3" s="1">
        <v>154132.28974037038</v>
      </c>
      <c r="I3" s="1">
        <v>145248.64082507446</v>
      </c>
      <c r="J3" s="1">
        <v>287312.61369873519</v>
      </c>
      <c r="K3" s="1">
        <v>144693.70832406438</v>
      </c>
      <c r="L3" s="1">
        <v>147937.32742290967</v>
      </c>
      <c r="M3" s="1">
        <v>292631.035746974</v>
      </c>
      <c r="N3" s="26">
        <f>ProjPop20_21_22_23admin2!AA2</f>
        <v>152329.88655853237</v>
      </c>
      <c r="O3" s="26">
        <f>ProjPop20_21_22_23admin2!AB2</f>
        <v>155744.68693298663</v>
      </c>
      <c r="P3" s="26">
        <f>ProjPop20_21_22_23admin2!AC2</f>
        <v>308074.57349151891</v>
      </c>
    </row>
    <row r="4" spans="1:16" x14ac:dyDescent="0.35">
      <c r="A4" t="s">
        <v>11</v>
      </c>
      <c r="B4" t="s">
        <v>10</v>
      </c>
      <c r="C4" t="s">
        <v>10</v>
      </c>
      <c r="D4" t="s">
        <v>8</v>
      </c>
      <c r="E4" t="s">
        <v>7</v>
      </c>
      <c r="F4">
        <v>107365</v>
      </c>
      <c r="G4">
        <v>124085</v>
      </c>
      <c r="H4" s="1">
        <v>131896.17498888777</v>
      </c>
      <c r="I4" s="1">
        <v>140503.02254012457</v>
      </c>
      <c r="J4" s="1">
        <v>262071.93361854853</v>
      </c>
      <c r="K4" s="1">
        <v>123819.26399101075</v>
      </c>
      <c r="L4" s="1">
        <v>143103.86335703745</v>
      </c>
      <c r="M4" s="1">
        <v>266923.12734804821</v>
      </c>
      <c r="N4" s="26">
        <f>ProjPop20_21_22_23admin2!AA3</f>
        <v>130353.7980744029</v>
      </c>
      <c r="O4" s="26">
        <f>ProjPop20_21_22_23admin2!AB3</f>
        <v>150656.13787741857</v>
      </c>
      <c r="P4" s="26">
        <f>ProjPop20_21_22_23admin2!AC3</f>
        <v>281009.93595182145</v>
      </c>
    </row>
    <row r="5" spans="1:16" x14ac:dyDescent="0.35">
      <c r="A5" t="s">
        <v>13</v>
      </c>
      <c r="B5" t="s">
        <v>12</v>
      </c>
      <c r="C5" t="s">
        <v>12</v>
      </c>
      <c r="D5" t="s">
        <v>8</v>
      </c>
      <c r="E5" t="s">
        <v>7</v>
      </c>
      <c r="F5">
        <v>69296</v>
      </c>
      <c r="G5">
        <v>72394</v>
      </c>
      <c r="H5" s="1">
        <v>85130.894993928057</v>
      </c>
      <c r="I5" s="1">
        <v>81970.986434077233</v>
      </c>
      <c r="J5" s="1">
        <v>160436.26569191329</v>
      </c>
      <c r="K5" s="1">
        <v>79917.744103892794</v>
      </c>
      <c r="L5" s="1">
        <v>83488.345160359997</v>
      </c>
      <c r="M5" s="1">
        <v>163406.08926425278</v>
      </c>
      <c r="N5" s="26">
        <f>ProjPop20_21_22_23admin2!AA4</f>
        <v>84135.385251821208</v>
      </c>
      <c r="O5" s="26">
        <f>ProjPop20_21_22_23admin2!AB4</f>
        <v>87894.423983894172</v>
      </c>
      <c r="P5" s="26">
        <f>ProjPop20_21_22_23admin2!AC4</f>
        <v>172029.80923571537</v>
      </c>
    </row>
    <row r="6" spans="1:16" x14ac:dyDescent="0.35">
      <c r="A6" t="s">
        <v>15</v>
      </c>
      <c r="B6" t="s">
        <v>14</v>
      </c>
      <c r="C6" t="s">
        <v>14</v>
      </c>
      <c r="D6" t="s">
        <v>16</v>
      </c>
      <c r="E6" t="s">
        <v>14</v>
      </c>
      <c r="F6">
        <v>47162</v>
      </c>
      <c r="G6">
        <v>40583</v>
      </c>
      <c r="H6" s="1">
        <v>55800.115779390348</v>
      </c>
      <c r="I6" s="1">
        <v>48016.972521072683</v>
      </c>
      <c r="J6" s="1">
        <v>103817.08830046303</v>
      </c>
      <c r="K6" s="1">
        <v>56833.027499606615</v>
      </c>
      <c r="L6" s="1">
        <v>48905.811065465758</v>
      </c>
      <c r="M6" s="1">
        <v>105738.83856507236</v>
      </c>
      <c r="N6" s="26">
        <f>ProjPop20_21_22_23admin2!AA5</f>
        <v>59832.37786955796</v>
      </c>
      <c r="O6" s="26">
        <f>ProjPop20_21_22_23admin2!AB5</f>
        <v>51486.804353444139</v>
      </c>
      <c r="P6" s="26">
        <f>ProjPop20_21_22_23admin2!AC5</f>
        <v>111319.18222300209</v>
      </c>
    </row>
    <row r="7" spans="1:16" x14ac:dyDescent="0.35">
      <c r="A7" t="s">
        <v>177</v>
      </c>
      <c r="B7" t="s">
        <v>176</v>
      </c>
      <c r="C7" t="s">
        <v>176</v>
      </c>
      <c r="D7" t="s">
        <v>16</v>
      </c>
      <c r="E7" t="s">
        <v>14</v>
      </c>
      <c r="F7">
        <v>16988</v>
      </c>
      <c r="G7">
        <v>15371</v>
      </c>
      <c r="H7" s="1">
        <v>20099.936595449137</v>
      </c>
      <c r="I7" s="1">
        <v>18187.077880852023</v>
      </c>
      <c r="J7" s="1">
        <v>38287.014476301163</v>
      </c>
      <c r="K7" s="1">
        <v>20472.005000595913</v>
      </c>
      <c r="L7" s="1">
        <v>18523.737503098837</v>
      </c>
      <c r="M7" s="1">
        <v>38995.742503694746</v>
      </c>
      <c r="N7" s="26">
        <f>ProjPop20_21_22_23admin2!AA6</f>
        <v>21552.410505521868</v>
      </c>
      <c r="O7" s="26">
        <f>ProjPop20_21_22_23admin2!AB6</f>
        <v>19501.323624710709</v>
      </c>
      <c r="P7" s="26">
        <f>ProjPop20_21_22_23admin2!AC6</f>
        <v>41053.734130232573</v>
      </c>
    </row>
    <row r="8" spans="1:16" x14ac:dyDescent="0.35">
      <c r="A8" t="s">
        <v>18</v>
      </c>
      <c r="B8" t="s">
        <v>17</v>
      </c>
      <c r="C8" t="s">
        <v>17</v>
      </c>
      <c r="D8" t="s">
        <v>20</v>
      </c>
      <c r="E8" t="s">
        <v>19</v>
      </c>
      <c r="F8">
        <v>135091</v>
      </c>
      <c r="G8">
        <v>134062</v>
      </c>
      <c r="H8" s="1">
        <v>158244.55559934099</v>
      </c>
      <c r="I8" s="1">
        <v>157038.60056248904</v>
      </c>
      <c r="J8" s="1">
        <v>315283.15616183006</v>
      </c>
      <c r="K8" s="1">
        <v>161173.80859202641</v>
      </c>
      <c r="L8" s="1">
        <v>159945.5302127545</v>
      </c>
      <c r="M8" s="1">
        <v>321119.33880478097</v>
      </c>
      <c r="N8" s="26">
        <f>ProjPop20_21_22_23admin2!AA7</f>
        <v>169679.72044812643</v>
      </c>
      <c r="O8" s="26">
        <f>ProjPop20_21_22_23admin2!AB7</f>
        <v>168386.61995091793</v>
      </c>
      <c r="P8" s="26">
        <f>ProjPop20_21_22_23admin2!AC7</f>
        <v>338066.34039904445</v>
      </c>
    </row>
    <row r="9" spans="1:16" x14ac:dyDescent="0.35">
      <c r="A9" t="s">
        <v>22</v>
      </c>
      <c r="B9" t="s">
        <v>21</v>
      </c>
      <c r="C9" t="s">
        <v>21</v>
      </c>
      <c r="D9" t="s">
        <v>20</v>
      </c>
      <c r="E9" t="s">
        <v>19</v>
      </c>
      <c r="F9">
        <v>115724</v>
      </c>
      <c r="G9">
        <v>119011</v>
      </c>
      <c r="H9" s="1">
        <v>135557.78371153193</v>
      </c>
      <c r="I9" s="1">
        <v>139408.19646571288</v>
      </c>
      <c r="J9" s="1">
        <v>274965.98017724481</v>
      </c>
      <c r="K9" s="1">
        <v>138067.08358674651</v>
      </c>
      <c r="L9" s="1">
        <v>141988.77104001923</v>
      </c>
      <c r="M9" s="1">
        <v>280055.85462676577</v>
      </c>
      <c r="N9" s="26">
        <f>ProjPop20_21_22_23admin2!AA8</f>
        <v>145353.54317640813</v>
      </c>
      <c r="O9" s="26">
        <f>ProjPop20_21_22_23admin2!AB8</f>
        <v>149482.1968116934</v>
      </c>
      <c r="P9" s="26">
        <f>ProjPop20_21_22_23admin2!AC8</f>
        <v>294835.73998810159</v>
      </c>
    </row>
    <row r="10" spans="1:16" x14ac:dyDescent="0.35">
      <c r="A10" t="s">
        <v>24</v>
      </c>
      <c r="B10" t="s">
        <v>23</v>
      </c>
      <c r="C10" t="s">
        <v>23</v>
      </c>
      <c r="D10" t="s">
        <v>20</v>
      </c>
      <c r="E10" t="s">
        <v>19</v>
      </c>
      <c r="F10">
        <v>117519</v>
      </c>
      <c r="G10">
        <v>120935</v>
      </c>
      <c r="H10" s="1">
        <v>137661.00222290176</v>
      </c>
      <c r="I10" s="1">
        <v>141661.64487075197</v>
      </c>
      <c r="J10" s="1">
        <v>279322.64709365374</v>
      </c>
      <c r="K10" s="1">
        <v>140209.23461680787</v>
      </c>
      <c r="L10" s="1">
        <v>144283.9328579421</v>
      </c>
      <c r="M10" s="1">
        <v>284493.16747474996</v>
      </c>
      <c r="N10" s="26">
        <f>ProjPop20_21_22_23admin2!AA9</f>
        <v>147608.7457500381</v>
      </c>
      <c r="O10" s="26">
        <f>ProjPop20_21_22_23admin2!AB9</f>
        <v>151898.48528343975</v>
      </c>
      <c r="P10" s="26">
        <f>ProjPop20_21_22_23admin2!AC9</f>
        <v>299507.23103347782</v>
      </c>
    </row>
    <row r="11" spans="1:16" x14ac:dyDescent="0.35">
      <c r="A11" t="s">
        <v>25</v>
      </c>
      <c r="B11" t="s">
        <v>188</v>
      </c>
      <c r="C11" t="s">
        <v>26</v>
      </c>
      <c r="D11" t="s">
        <v>27</v>
      </c>
      <c r="E11" t="s">
        <v>26</v>
      </c>
      <c r="F11">
        <v>108267</v>
      </c>
      <c r="G11">
        <v>113049</v>
      </c>
      <c r="H11" s="1">
        <v>102518.52579491083</v>
      </c>
      <c r="I11" s="1">
        <v>107048.05998622686</v>
      </c>
      <c r="J11" s="1">
        <v>209566.58578113769</v>
      </c>
      <c r="K11" s="1">
        <v>104416.23846725564</v>
      </c>
      <c r="L11" s="1">
        <v>109029.61852319007</v>
      </c>
      <c r="M11" s="1">
        <v>213445.8569904457</v>
      </c>
      <c r="N11" s="26">
        <f>ProjPop20_21_22_23admin2!AA10</f>
        <v>109926.78219955742</v>
      </c>
      <c r="O11" s="26">
        <f>ProjPop20_21_22_23admin2!AB10</f>
        <v>114783.63236057448</v>
      </c>
      <c r="P11" s="26">
        <f>ProjPop20_21_22_23admin2!AC10</f>
        <v>224710.4145601319</v>
      </c>
    </row>
    <row r="12" spans="1:16" x14ac:dyDescent="0.35">
      <c r="A12" t="s">
        <v>29</v>
      </c>
      <c r="B12" t="s">
        <v>28</v>
      </c>
      <c r="C12" t="s">
        <v>28</v>
      </c>
      <c r="D12" t="s">
        <v>27</v>
      </c>
      <c r="E12" t="s">
        <v>26</v>
      </c>
      <c r="F12">
        <v>104673</v>
      </c>
      <c r="G12">
        <v>110208</v>
      </c>
      <c r="H12" s="1">
        <v>99115.715806114371</v>
      </c>
      <c r="I12" s="1">
        <v>104358.32750642221</v>
      </c>
      <c r="J12" s="1">
        <v>203474.04331253661</v>
      </c>
      <c r="K12" s="1">
        <v>100950.43932028263</v>
      </c>
      <c r="L12" s="1">
        <v>106290.09660901185</v>
      </c>
      <c r="M12" s="1">
        <v>207240.53592929451</v>
      </c>
      <c r="N12" s="26">
        <f>ProjPop20_21_22_23admin2!AA11</f>
        <v>106278.07627441353</v>
      </c>
      <c r="O12" s="26">
        <f>ProjPop20_21_22_23admin2!AB11</f>
        <v>111899.53278744896</v>
      </c>
      <c r="P12" s="26">
        <f>ProjPop20_21_22_23admin2!AC11</f>
        <v>218177.60906186249</v>
      </c>
    </row>
    <row r="13" spans="1:16" x14ac:dyDescent="0.35">
      <c r="A13" t="s">
        <v>31</v>
      </c>
      <c r="B13" t="s">
        <v>30</v>
      </c>
      <c r="C13" t="s">
        <v>30</v>
      </c>
      <c r="D13" t="s">
        <v>27</v>
      </c>
      <c r="E13" t="s">
        <v>26</v>
      </c>
      <c r="F13">
        <v>65394</v>
      </c>
      <c r="G13">
        <v>67528</v>
      </c>
      <c r="H13" s="1">
        <v>61923.527404224893</v>
      </c>
      <c r="I13" s="1">
        <v>63942.370221890058</v>
      </c>
      <c r="J13" s="1">
        <v>125865.89762611495</v>
      </c>
      <c r="K13" s="1">
        <v>63069.789133606115</v>
      </c>
      <c r="L13" s="1">
        <v>65126.002597882216</v>
      </c>
      <c r="M13" s="1">
        <v>128195.79173148832</v>
      </c>
      <c r="N13" s="26">
        <f>ProjPop20_21_22_23admin2!AA12</f>
        <v>66398.283209906105</v>
      </c>
      <c r="O13" s="26">
        <f>ProjPop20_21_22_23admin2!AB12</f>
        <v>68563.0128818542</v>
      </c>
      <c r="P13" s="26">
        <f>ProjPop20_21_22_23admin2!AC12</f>
        <v>134961.2960917603</v>
      </c>
    </row>
    <row r="14" spans="1:16" x14ac:dyDescent="0.35">
      <c r="A14" t="s">
        <v>32</v>
      </c>
      <c r="B14" t="s">
        <v>189</v>
      </c>
      <c r="C14" t="s">
        <v>33</v>
      </c>
      <c r="D14" t="s">
        <v>27</v>
      </c>
      <c r="E14" t="s">
        <v>26</v>
      </c>
      <c r="F14">
        <v>56874</v>
      </c>
      <c r="G14">
        <v>64928</v>
      </c>
      <c r="H14" s="1">
        <v>53855.358936685385</v>
      </c>
      <c r="I14" s="1">
        <v>61481.069498212659</v>
      </c>
      <c r="J14" s="1">
        <v>115336.42843489804</v>
      </c>
      <c r="K14" s="1">
        <v>54852.271410166344</v>
      </c>
      <c r="L14" s="1">
        <v>62619.140922781087</v>
      </c>
      <c r="M14" s="1">
        <v>117471.41233294742</v>
      </c>
      <c r="N14" s="26">
        <f>ProjPop20_21_22_23admin2!AA13</f>
        <v>57747.087818598804</v>
      </c>
      <c r="O14" s="26">
        <f>ProjPop20_21_22_23admin2!AB13</f>
        <v>65923.852140111179</v>
      </c>
      <c r="P14" s="26">
        <f>ProjPop20_21_22_23admin2!AC13</f>
        <v>123670.93995870998</v>
      </c>
    </row>
    <row r="15" spans="1:16" x14ac:dyDescent="0.35">
      <c r="A15" t="s">
        <v>35</v>
      </c>
      <c r="B15" t="s">
        <v>34</v>
      </c>
      <c r="C15" t="s">
        <v>34</v>
      </c>
      <c r="D15" t="s">
        <v>36</v>
      </c>
      <c r="E15" t="s">
        <v>39</v>
      </c>
      <c r="F15">
        <v>146748</v>
      </c>
      <c r="G15">
        <v>146428</v>
      </c>
      <c r="H15" s="1">
        <v>140710.01702053103</v>
      </c>
      <c r="I15" s="1">
        <v>140402.35405588703</v>
      </c>
      <c r="J15" s="1">
        <v>281112.37107641803</v>
      </c>
      <c r="K15" s="1">
        <v>143314.68949660531</v>
      </c>
      <c r="L15" s="1">
        <v>143001.33140610685</v>
      </c>
      <c r="M15" s="1">
        <v>286316.02090271213</v>
      </c>
      <c r="N15" s="26">
        <f>ProjPop20_21_22_23admin2!AA14</f>
        <v>150878.09031955252</v>
      </c>
      <c r="O15" s="26">
        <f>ProjPop20_21_22_23admin2!AB14</f>
        <v>150548.19482561079</v>
      </c>
      <c r="P15" s="26">
        <f>ProjPop20_21_22_23admin2!AC14</f>
        <v>301426.28514516325</v>
      </c>
    </row>
    <row r="16" spans="1:16" x14ac:dyDescent="0.35">
      <c r="A16" t="s">
        <v>38</v>
      </c>
      <c r="B16" t="s">
        <v>37</v>
      </c>
      <c r="C16" t="s">
        <v>37</v>
      </c>
      <c r="D16" t="s">
        <v>36</v>
      </c>
      <c r="E16" t="s">
        <v>39</v>
      </c>
      <c r="F16">
        <v>119612</v>
      </c>
      <c r="G16">
        <v>122112</v>
      </c>
      <c r="H16" s="1">
        <v>168712.49166876523</v>
      </c>
      <c r="I16" s="1">
        <v>172237.75359809757</v>
      </c>
      <c r="J16" s="1">
        <v>340950.2452668628</v>
      </c>
      <c r="K16" s="1">
        <v>171835.51583381402</v>
      </c>
      <c r="L16" s="1">
        <v>175426.03361992692</v>
      </c>
      <c r="M16" s="1">
        <v>347261.54945374094</v>
      </c>
      <c r="N16" s="26">
        <f>ProjPop20_21_22_23admin2!AA15</f>
        <v>180904.09691530748</v>
      </c>
      <c r="O16" s="26">
        <f>ProjPop20_21_22_23admin2!AB15</f>
        <v>184684.10347799788</v>
      </c>
      <c r="P16" s="26">
        <f>ProjPop20_21_22_23admin2!AC15</f>
        <v>365588.20039330533</v>
      </c>
    </row>
    <row r="17" spans="1:16" x14ac:dyDescent="0.35">
      <c r="A17" t="s">
        <v>41</v>
      </c>
      <c r="B17" t="s">
        <v>40</v>
      </c>
      <c r="C17" t="s">
        <v>40</v>
      </c>
      <c r="D17" t="s">
        <v>36</v>
      </c>
      <c r="E17" t="s">
        <v>39</v>
      </c>
      <c r="F17">
        <v>97617</v>
      </c>
      <c r="G17">
        <v>94981</v>
      </c>
      <c r="H17" s="1">
        <v>113523.51806113527</v>
      </c>
      <c r="I17" s="1">
        <v>110458.20711908009</v>
      </c>
      <c r="J17" s="1">
        <v>223981.72518021535</v>
      </c>
      <c r="K17" s="1">
        <v>115624.94331245775</v>
      </c>
      <c r="L17" s="1">
        <v>112502.8906315382</v>
      </c>
      <c r="M17" s="1">
        <v>228127.83394399597</v>
      </c>
      <c r="N17" s="26">
        <f>ProjPop20_21_22_23admin2!AA16</f>
        <v>121727.02394686041</v>
      </c>
      <c r="O17" s="26">
        <f>ProjPop20_21_22_23admin2!AB16</f>
        <v>118440.20563096588</v>
      </c>
      <c r="P17" s="26">
        <f>ProjPop20_21_22_23admin2!AC16</f>
        <v>240167.22957782631</v>
      </c>
    </row>
    <row r="18" spans="1:16" x14ac:dyDescent="0.35">
      <c r="A18" t="s">
        <v>43</v>
      </c>
      <c r="B18" t="s">
        <v>42</v>
      </c>
      <c r="C18" t="s">
        <v>42</v>
      </c>
      <c r="D18" t="s">
        <v>44</v>
      </c>
      <c r="E18" t="s">
        <v>42</v>
      </c>
      <c r="F18">
        <v>95631</v>
      </c>
      <c r="G18">
        <v>100953</v>
      </c>
      <c r="H18" s="1">
        <v>114593.51074154724</v>
      </c>
      <c r="I18" s="1">
        <v>120970.04944749575</v>
      </c>
      <c r="J18" s="1">
        <v>235563.56018904297</v>
      </c>
      <c r="K18" s="1">
        <v>116714.74254639933</v>
      </c>
      <c r="L18" s="1">
        <v>123209.31687775454</v>
      </c>
      <c r="M18" s="1">
        <v>239924.05942415385</v>
      </c>
      <c r="N18" s="26">
        <f>ProjPop20_21_22_23admin2!AA17</f>
        <v>122874.33709268217</v>
      </c>
      <c r="O18" s="26">
        <f>ProjPop20_21_22_23admin2!AB17</f>
        <v>129711.66113807578</v>
      </c>
      <c r="P18" s="26">
        <f>ProjPop20_21_22_23admin2!AC17</f>
        <v>252585.99823075792</v>
      </c>
    </row>
    <row r="19" spans="1:16" x14ac:dyDescent="0.35">
      <c r="A19" t="s">
        <v>46</v>
      </c>
      <c r="B19" t="s">
        <v>45</v>
      </c>
      <c r="C19" t="s">
        <v>45</v>
      </c>
      <c r="D19" t="s">
        <v>44</v>
      </c>
      <c r="E19" t="s">
        <v>42</v>
      </c>
      <c r="F19">
        <v>58578</v>
      </c>
      <c r="G19">
        <v>58165</v>
      </c>
      <c r="H19" s="1">
        <v>70192.345387281559</v>
      </c>
      <c r="I19" s="1">
        <v>69699.467859421406</v>
      </c>
      <c r="J19" s="1">
        <v>139891.81324670298</v>
      </c>
      <c r="K19" s="1">
        <v>71491.670580559556</v>
      </c>
      <c r="L19" s="1">
        <v>70989.66943408236</v>
      </c>
      <c r="M19" s="1">
        <v>142481.34001464193</v>
      </c>
      <c r="N19" s="26">
        <f>ProjPop20_21_22_23admin2!AA18</f>
        <v>75264.627574725062</v>
      </c>
      <c r="O19" s="26">
        <f>ProjPop20_21_22_23admin2!AB18</f>
        <v>74736.133429534879</v>
      </c>
      <c r="P19" s="26">
        <f>ProjPop20_21_22_23admin2!AC18</f>
        <v>150000.76100425996</v>
      </c>
    </row>
    <row r="20" spans="1:16" x14ac:dyDescent="0.35">
      <c r="A20" t="s">
        <v>48</v>
      </c>
      <c r="B20" t="s">
        <v>47</v>
      </c>
      <c r="C20" t="s">
        <v>49</v>
      </c>
      <c r="D20" t="s">
        <v>44</v>
      </c>
      <c r="E20" t="s">
        <v>42</v>
      </c>
      <c r="F20">
        <v>54777</v>
      </c>
      <c r="G20">
        <v>59760</v>
      </c>
      <c r="H20" s="1">
        <v>65639.14484285326</v>
      </c>
      <c r="I20" s="1">
        <v>71609.239658395178</v>
      </c>
      <c r="J20" s="1">
        <v>137248.38450124845</v>
      </c>
      <c r="K20" s="1">
        <v>66854.186085441455</v>
      </c>
      <c r="L20" s="1">
        <v>72934.79287429461</v>
      </c>
      <c r="M20" s="1">
        <v>139788.97895973609</v>
      </c>
      <c r="N20" s="26">
        <f>ProjPop20_21_22_23admin2!AA19</f>
        <v>70382.400868114317</v>
      </c>
      <c r="O20" s="26">
        <f>ProjPop20_21_22_23admin2!AB19</f>
        <v>76783.910326138168</v>
      </c>
      <c r="P20" s="26">
        <f>ProjPop20_21_22_23admin2!AC19</f>
        <v>147166.31119425251</v>
      </c>
    </row>
    <row r="21" spans="1:16" x14ac:dyDescent="0.35">
      <c r="A21" t="s">
        <v>51</v>
      </c>
      <c r="B21" t="s">
        <v>50</v>
      </c>
      <c r="C21" t="s">
        <v>50</v>
      </c>
      <c r="D21" t="s">
        <v>53</v>
      </c>
      <c r="E21" t="s">
        <v>52</v>
      </c>
      <c r="F21">
        <v>79010</v>
      </c>
      <c r="G21">
        <v>74744</v>
      </c>
      <c r="H21" s="1">
        <v>87570.788490833394</v>
      </c>
      <c r="I21" s="1">
        <v>82842.655324563719</v>
      </c>
      <c r="J21" s="1">
        <v>170413.4438153971</v>
      </c>
      <c r="K21" s="1">
        <v>89191.80472919342</v>
      </c>
      <c r="L21" s="1">
        <v>84376.14944771002</v>
      </c>
      <c r="M21" s="1">
        <v>173567.95417690344</v>
      </c>
      <c r="N21" s="26">
        <f>ProjPop20_21_22_23admin2!AA20</f>
        <v>93898.882361349926</v>
      </c>
      <c r="O21" s="26">
        <f>ProjPop20_21_22_23admin2!AB20</f>
        <v>88829.081944800913</v>
      </c>
      <c r="P21" s="26">
        <f>ProjPop20_21_22_23admin2!AC20</f>
        <v>182727.96430615085</v>
      </c>
    </row>
    <row r="22" spans="1:16" x14ac:dyDescent="0.35">
      <c r="A22" t="s">
        <v>55</v>
      </c>
      <c r="B22" t="s">
        <v>54</v>
      </c>
      <c r="C22" t="s">
        <v>54</v>
      </c>
      <c r="D22" t="s">
        <v>53</v>
      </c>
      <c r="E22" t="s">
        <v>52</v>
      </c>
      <c r="F22">
        <v>134011</v>
      </c>
      <c r="G22">
        <v>136643</v>
      </c>
      <c r="H22" s="1">
        <v>158197.47059451498</v>
      </c>
      <c r="I22" s="1">
        <v>161304.97052098598</v>
      </c>
      <c r="J22" s="1">
        <v>319502.44111550099</v>
      </c>
      <c r="K22" s="1">
        <v>161125.85200023951</v>
      </c>
      <c r="L22" s="1">
        <v>164290.87462267251</v>
      </c>
      <c r="M22" s="1">
        <v>325416.72662291204</v>
      </c>
      <c r="N22" s="26">
        <f>ProjPop20_21_22_23admin2!AA21</f>
        <v>169629.23295788758</v>
      </c>
      <c r="O22" s="26">
        <f>ProjPop20_21_22_23admin2!AB21</f>
        <v>172961.28894438982</v>
      </c>
      <c r="P22" s="26">
        <f>ProjPop20_21_22_23admin2!AC21</f>
        <v>342590.52190227743</v>
      </c>
    </row>
    <row r="23" spans="1:16" x14ac:dyDescent="0.35">
      <c r="A23" t="s">
        <v>187</v>
      </c>
      <c r="B23" t="s">
        <v>186</v>
      </c>
      <c r="C23" t="s">
        <v>186</v>
      </c>
      <c r="D23" t="s">
        <v>53</v>
      </c>
      <c r="E23" t="s">
        <v>52</v>
      </c>
      <c r="F23">
        <v>27453</v>
      </c>
      <c r="G23">
        <v>26731</v>
      </c>
      <c r="H23" s="1">
        <v>29871.10028657415</v>
      </c>
      <c r="I23" s="1">
        <v>29085.9935170717</v>
      </c>
      <c r="J23" s="1">
        <v>58957.093803645854</v>
      </c>
      <c r="K23" s="1">
        <v>30424.041963321601</v>
      </c>
      <c r="L23" s="1">
        <v>29624.402141826096</v>
      </c>
      <c r="M23" s="1">
        <v>60048.444105147697</v>
      </c>
      <c r="N23" s="26">
        <f>ProjPop20_21_22_23admin2!AA22</f>
        <v>32029.664002702404</v>
      </c>
      <c r="O23" s="26">
        <f>ProjPop20_21_22_23admin2!AB22</f>
        <v>31187.823367701993</v>
      </c>
      <c r="P23" s="26">
        <f>ProjPop20_21_22_23admin2!AC22</f>
        <v>63217.4873704044</v>
      </c>
    </row>
    <row r="24" spans="1:16" x14ac:dyDescent="0.35">
      <c r="A24" t="s">
        <v>185</v>
      </c>
      <c r="B24" t="s">
        <v>184</v>
      </c>
      <c r="C24" t="s">
        <v>184</v>
      </c>
      <c r="D24" t="s">
        <v>53</v>
      </c>
      <c r="E24" t="s">
        <v>52</v>
      </c>
      <c r="F24">
        <v>40496</v>
      </c>
      <c r="G24">
        <v>37630</v>
      </c>
      <c r="H24" s="1">
        <v>56133.590559196688</v>
      </c>
      <c r="I24" s="1">
        <v>52158.665984376283</v>
      </c>
      <c r="J24" s="1">
        <v>108292.25654357296</v>
      </c>
      <c r="K24" s="1">
        <v>57172.675205824431</v>
      </c>
      <c r="L24" s="1">
        <v>53124.17110302348</v>
      </c>
      <c r="M24" s="1">
        <v>110296.84630884792</v>
      </c>
      <c r="N24" s="26">
        <f>ProjPop20_21_22_23admin2!AA23</f>
        <v>60189.95040783412</v>
      </c>
      <c r="O24" s="26">
        <f>ProjPop20_21_22_23admin2!AB23</f>
        <v>55927.78740258301</v>
      </c>
      <c r="P24" s="26">
        <f>ProjPop20_21_22_23admin2!AC23</f>
        <v>116117.73781041712</v>
      </c>
    </row>
    <row r="25" spans="1:16" x14ac:dyDescent="0.35">
      <c r="A25" t="s">
        <v>57</v>
      </c>
      <c r="B25" t="s">
        <v>56</v>
      </c>
      <c r="C25" t="s">
        <v>56</v>
      </c>
      <c r="D25" t="s">
        <v>59</v>
      </c>
      <c r="E25" t="s">
        <v>58</v>
      </c>
      <c r="F25">
        <v>209328</v>
      </c>
      <c r="G25">
        <v>216109</v>
      </c>
      <c r="H25" s="1">
        <v>251498.46220886812</v>
      </c>
      <c r="I25" s="1">
        <v>259644.84042849936</v>
      </c>
      <c r="J25" s="1">
        <v>511143.30263736745</v>
      </c>
      <c r="K25" s="1">
        <v>256153.93120930795</v>
      </c>
      <c r="L25" s="1">
        <v>264451.10641964147</v>
      </c>
      <c r="M25" s="1">
        <v>520605.03762894939</v>
      </c>
      <c r="N25" s="26">
        <f>ProjPop20_21_22_23admin2!AA24</f>
        <v>269672.39788508811</v>
      </c>
      <c r="O25" s="26">
        <f>ProjPop20_21_22_23admin2!AB24</f>
        <v>278407.45466942078</v>
      </c>
      <c r="P25" s="26">
        <f>ProjPop20_21_22_23admin2!AC24</f>
        <v>548079.85255450883</v>
      </c>
    </row>
    <row r="26" spans="1:16" x14ac:dyDescent="0.35">
      <c r="A26" t="s">
        <v>60</v>
      </c>
      <c r="B26" t="s">
        <v>190</v>
      </c>
      <c r="C26" t="s">
        <v>61</v>
      </c>
      <c r="D26" t="s">
        <v>59</v>
      </c>
      <c r="E26" t="s">
        <v>58</v>
      </c>
      <c r="F26">
        <v>65617</v>
      </c>
      <c r="G26">
        <v>70887</v>
      </c>
      <c r="H26" s="1">
        <v>78835.785483802843</v>
      </c>
      <c r="I26" s="1">
        <v>85167.055559006956</v>
      </c>
      <c r="J26" s="1">
        <v>164002.8410428098</v>
      </c>
      <c r="K26" s="1">
        <v>80295.10874256838</v>
      </c>
      <c r="L26" s="1">
        <v>86743.576478981442</v>
      </c>
      <c r="M26" s="1">
        <v>167038.68522154982</v>
      </c>
      <c r="N26" s="26">
        <f>ProjPop20_21_22_23admin2!AA25</f>
        <v>84532.66522526629</v>
      </c>
      <c r="O26" s="26">
        <f>ProjPop20_21_22_23admin2!AB25</f>
        <v>91321.449410437315</v>
      </c>
      <c r="P26" s="26">
        <f>ProjPop20_21_22_23admin2!AC25</f>
        <v>175854.11463570359</v>
      </c>
    </row>
    <row r="27" spans="1:16" x14ac:dyDescent="0.35">
      <c r="A27" t="s">
        <v>62</v>
      </c>
      <c r="B27" t="s">
        <v>191</v>
      </c>
      <c r="C27" t="s">
        <v>63</v>
      </c>
      <c r="D27" t="s">
        <v>59</v>
      </c>
      <c r="E27" t="s">
        <v>58</v>
      </c>
      <c r="F27">
        <v>56819</v>
      </c>
      <c r="G27">
        <v>61270</v>
      </c>
      <c r="H27" s="1">
        <v>68266.176152989137</v>
      </c>
      <c r="I27" s="1">
        <v>73612.719190655407</v>
      </c>
      <c r="J27" s="1">
        <v>141878.89534364457</v>
      </c>
      <c r="K27" s="1">
        <v>69529.846173344442</v>
      </c>
      <c r="L27" s="1">
        <v>74975.358664552332</v>
      </c>
      <c r="M27" s="1">
        <v>144505.20483789677</v>
      </c>
      <c r="N27" s="26">
        <f>ProjPop20_21_22_23admin2!AA26</f>
        <v>73199.268321304524</v>
      </c>
      <c r="O27" s="26">
        <f>ProjPop20_21_22_23admin2!AB26</f>
        <v>78932.166521556195</v>
      </c>
      <c r="P27" s="26">
        <f>ProjPop20_21_22_23admin2!AC26</f>
        <v>152131.43484286073</v>
      </c>
    </row>
    <row r="28" spans="1:16" x14ac:dyDescent="0.35">
      <c r="A28" t="s">
        <v>65</v>
      </c>
      <c r="B28" t="s">
        <v>64</v>
      </c>
      <c r="C28" t="s">
        <v>64</v>
      </c>
      <c r="D28" t="s">
        <v>59</v>
      </c>
      <c r="E28" t="s">
        <v>58</v>
      </c>
      <c r="F28">
        <v>97345</v>
      </c>
      <c r="G28">
        <v>106934</v>
      </c>
      <c r="H28" s="1">
        <v>116955.11446251434</v>
      </c>
      <c r="I28" s="1">
        <v>128476.52369899419</v>
      </c>
      <c r="J28" s="1">
        <v>245431.63816150851</v>
      </c>
      <c r="K28" s="1">
        <v>119120.06173511808</v>
      </c>
      <c r="L28" s="1">
        <v>130854.74290602937</v>
      </c>
      <c r="M28" s="1">
        <v>249974.80464114746</v>
      </c>
      <c r="N28" s="26">
        <f>ProjPop20_21_22_23admin2!AA27</f>
        <v>125406.59646593683</v>
      </c>
      <c r="O28" s="26">
        <f>ProjPop20_21_22_23admin2!AB27</f>
        <v>137760.57282240686</v>
      </c>
      <c r="P28" s="26">
        <f>ProjPop20_21_22_23admin2!AC27</f>
        <v>263167.16928834369</v>
      </c>
    </row>
    <row r="29" spans="1:16" x14ac:dyDescent="0.35">
      <c r="A29" t="s">
        <v>66</v>
      </c>
      <c r="B29" t="s">
        <v>192</v>
      </c>
      <c r="C29" t="s">
        <v>67</v>
      </c>
      <c r="D29" t="s">
        <v>69</v>
      </c>
      <c r="E29" t="s">
        <v>68</v>
      </c>
      <c r="F29">
        <v>99688</v>
      </c>
      <c r="G29">
        <v>106239</v>
      </c>
      <c r="H29" s="1">
        <v>119084.04655835727</v>
      </c>
      <c r="I29" s="1">
        <v>126909.38440280953</v>
      </c>
      <c r="J29" s="1">
        <v>245993.4309611668</v>
      </c>
      <c r="K29" s="1">
        <v>121288.40233186871</v>
      </c>
      <c r="L29" s="1">
        <v>129258.59441293482</v>
      </c>
      <c r="M29" s="1">
        <v>250546.99674480353</v>
      </c>
      <c r="N29" s="26">
        <f>ProjPop20_21_22_23admin2!AA28</f>
        <v>127689.37075480582</v>
      </c>
      <c r="O29" s="26">
        <f>ProjPop20_21_22_23admin2!AB28</f>
        <v>136080.18794804098</v>
      </c>
      <c r="P29" s="26">
        <f>ProjPop20_21_22_23admin2!AC28</f>
        <v>263769.55870284681</v>
      </c>
    </row>
    <row r="30" spans="1:16" x14ac:dyDescent="0.35">
      <c r="A30" t="s">
        <v>71</v>
      </c>
      <c r="B30" t="s">
        <v>70</v>
      </c>
      <c r="C30" t="s">
        <v>70</v>
      </c>
      <c r="D30" t="s">
        <v>69</v>
      </c>
      <c r="E30" t="s">
        <v>68</v>
      </c>
      <c r="F30">
        <v>62349</v>
      </c>
      <c r="G30">
        <v>67722</v>
      </c>
      <c r="H30" s="1">
        <v>74480.135331359561</v>
      </c>
      <c r="I30" s="1">
        <v>80897.838439294981</v>
      </c>
      <c r="J30" s="1">
        <v>155377.97377065453</v>
      </c>
      <c r="K30" s="1">
        <v>75858.83147979065</v>
      </c>
      <c r="L30" s="1">
        <v>82395.332204262624</v>
      </c>
      <c r="M30" s="1">
        <v>158254.16368405329</v>
      </c>
      <c r="N30" s="26">
        <f>ProjPop20_21_22_23admin2!AA29</f>
        <v>79862.264417875136</v>
      </c>
      <c r="O30" s="26">
        <f>ProjPop20_21_22_23admin2!AB29</f>
        <v>86743.727512445519</v>
      </c>
      <c r="P30" s="26">
        <f>ProjPop20_21_22_23admin2!AC29</f>
        <v>166605.99193032068</v>
      </c>
    </row>
    <row r="31" spans="1:16" x14ac:dyDescent="0.35">
      <c r="A31" t="s">
        <v>73</v>
      </c>
      <c r="B31" t="s">
        <v>72</v>
      </c>
      <c r="C31" t="s">
        <v>72</v>
      </c>
      <c r="D31" t="s">
        <v>69</v>
      </c>
      <c r="E31" t="s">
        <v>68</v>
      </c>
      <c r="F31">
        <v>31240</v>
      </c>
      <c r="G31">
        <v>32307</v>
      </c>
      <c r="H31" s="1">
        <v>37318.784081866579</v>
      </c>
      <c r="I31" s="1">
        <v>38591.623386743304</v>
      </c>
      <c r="J31" s="1">
        <v>75910.407468609876</v>
      </c>
      <c r="K31" s="1">
        <v>38009.589269704869</v>
      </c>
      <c r="L31" s="1">
        <v>39305.990006625158</v>
      </c>
      <c r="M31" s="1">
        <v>77315.579276330027</v>
      </c>
      <c r="N31" s="26">
        <f>ProjPop20_21_22_23admin2!AA30</f>
        <v>40015.536878928702</v>
      </c>
      <c r="O31" s="26">
        <f>ProjPop20_21_22_23admin2!AB30</f>
        <v>41380.354876040059</v>
      </c>
      <c r="P31" s="26">
        <f>ProjPop20_21_22_23admin2!AC30</f>
        <v>81395.891754968761</v>
      </c>
    </row>
    <row r="32" spans="1:16" x14ac:dyDescent="0.35">
      <c r="A32" t="s">
        <v>75</v>
      </c>
      <c r="B32" t="s">
        <v>74</v>
      </c>
      <c r="C32" t="s">
        <v>74</v>
      </c>
      <c r="D32" t="s">
        <v>69</v>
      </c>
      <c r="E32" t="s">
        <v>68</v>
      </c>
      <c r="F32">
        <v>89786</v>
      </c>
      <c r="G32">
        <v>91094</v>
      </c>
      <c r="H32" s="1">
        <v>107254.9757023647</v>
      </c>
      <c r="I32" s="1">
        <v>108817.98532573393</v>
      </c>
      <c r="J32" s="1">
        <v>216072.96102809862</v>
      </c>
      <c r="K32" s="1">
        <v>109240.36444048988</v>
      </c>
      <c r="L32" s="1">
        <v>110832.30681670809</v>
      </c>
      <c r="M32" s="1">
        <v>220072.67125719794</v>
      </c>
      <c r="N32" s="26">
        <f>ProjPop20_21_22_23admin2!AA31</f>
        <v>115005.50034672805</v>
      </c>
      <c r="O32" s="26">
        <f>ProjPop20_21_22_23admin2!AB31</f>
        <v>116681.45712733611</v>
      </c>
      <c r="P32" s="26">
        <f>ProjPop20_21_22_23admin2!AC31</f>
        <v>231686.95747406414</v>
      </c>
    </row>
    <row r="33" spans="1:16" x14ac:dyDescent="0.35">
      <c r="A33" t="s">
        <v>76</v>
      </c>
      <c r="B33" t="s">
        <v>193</v>
      </c>
      <c r="C33" t="s">
        <v>77</v>
      </c>
      <c r="D33" t="s">
        <v>69</v>
      </c>
      <c r="E33" t="s">
        <v>68</v>
      </c>
      <c r="F33">
        <v>67907</v>
      </c>
      <c r="G33">
        <v>70814</v>
      </c>
      <c r="H33" s="1">
        <v>81119.067582826508</v>
      </c>
      <c r="I33" s="1">
        <v>84591.85064989113</v>
      </c>
      <c r="J33" s="1">
        <v>165710.91823271764</v>
      </c>
      <c r="K33" s="1">
        <v>82620.656503727354</v>
      </c>
      <c r="L33" s="1">
        <v>86157.723995324734</v>
      </c>
      <c r="M33" s="1">
        <v>168778.38049905209</v>
      </c>
      <c r="N33" s="26">
        <f>ProjPop20_21_22_23admin2!AA32</f>
        <v>86980.943251636272</v>
      </c>
      <c r="O33" s="26">
        <f>ProjPop20_21_22_23admin2!AB32</f>
        <v>90704.67869242109</v>
      </c>
      <c r="P33" s="26">
        <f>ProjPop20_21_22_23admin2!AC32</f>
        <v>177685.62194405735</v>
      </c>
    </row>
    <row r="34" spans="1:16" x14ac:dyDescent="0.35">
      <c r="A34" t="s">
        <v>79</v>
      </c>
      <c r="B34" t="s">
        <v>78</v>
      </c>
      <c r="C34" t="s">
        <v>78</v>
      </c>
      <c r="D34" t="s">
        <v>69</v>
      </c>
      <c r="E34" t="s">
        <v>68</v>
      </c>
      <c r="F34">
        <v>135568</v>
      </c>
      <c r="G34">
        <v>145478</v>
      </c>
      <c r="H34" s="1">
        <v>161944.87792887868</v>
      </c>
      <c r="I34" s="1">
        <v>173783.20953971674</v>
      </c>
      <c r="J34" s="1">
        <v>335728.08746859542</v>
      </c>
      <c r="K34" s="1">
        <v>164942.62730816426</v>
      </c>
      <c r="L34" s="1">
        <v>177000.09737952068</v>
      </c>
      <c r="M34" s="1">
        <v>341942.72468768491</v>
      </c>
      <c r="N34" s="26">
        <f>ProjPop20_21_22_23admin2!AA33</f>
        <v>173647.43773271737</v>
      </c>
      <c r="O34" s="26">
        <f>ProjPop20_21_22_23admin2!AB33</f>
        <v>186341.23810197055</v>
      </c>
      <c r="P34" s="26">
        <f>ProjPop20_21_22_23admin2!AC33</f>
        <v>359988.67583468795</v>
      </c>
    </row>
    <row r="35" spans="1:16" x14ac:dyDescent="0.35">
      <c r="A35" t="s">
        <v>81</v>
      </c>
      <c r="B35" t="s">
        <v>80</v>
      </c>
      <c r="C35" t="s">
        <v>80</v>
      </c>
      <c r="D35" t="s">
        <v>83</v>
      </c>
      <c r="E35" t="s">
        <v>82</v>
      </c>
      <c r="F35">
        <v>159561</v>
      </c>
      <c r="G35">
        <v>169135</v>
      </c>
      <c r="H35" s="1">
        <v>189085.92959214313</v>
      </c>
      <c r="I35" s="1">
        <v>200430.34450792213</v>
      </c>
      <c r="J35" s="1">
        <v>389516.27410006523</v>
      </c>
      <c r="K35" s="1">
        <v>192586.0849247213</v>
      </c>
      <c r="L35" s="1">
        <v>204140.49544645622</v>
      </c>
      <c r="M35" s="1">
        <v>396726.58037117752</v>
      </c>
      <c r="N35" s="26">
        <f>ProjPop20_21_22_23admin2!AA34</f>
        <v>202749.77266897252</v>
      </c>
      <c r="O35" s="26">
        <f>ProjPop20_21_22_23admin2!AB34</f>
        <v>214913.96463290098</v>
      </c>
      <c r="P35" s="26">
        <f>ProjPop20_21_22_23admin2!AC34</f>
        <v>417663.73730187351</v>
      </c>
    </row>
    <row r="36" spans="1:16" x14ac:dyDescent="0.35">
      <c r="A36" t="s">
        <v>85</v>
      </c>
      <c r="B36" t="s">
        <v>84</v>
      </c>
      <c r="C36" t="s">
        <v>84</v>
      </c>
      <c r="D36" t="s">
        <v>83</v>
      </c>
      <c r="E36" t="s">
        <v>82</v>
      </c>
      <c r="F36">
        <v>136659</v>
      </c>
      <c r="G36">
        <v>142159</v>
      </c>
      <c r="H36" s="1">
        <v>161945.76743172714</v>
      </c>
      <c r="I36" s="1">
        <v>168462.24631260044</v>
      </c>
      <c r="J36" s="1">
        <v>330408.01374432759</v>
      </c>
      <c r="K36" s="1">
        <v>164943.53327653263</v>
      </c>
      <c r="L36" s="1">
        <v>171580.63820479994</v>
      </c>
      <c r="M36" s="1">
        <v>336524.17148133257</v>
      </c>
      <c r="N36" s="26">
        <f>ProjPop20_21_22_23admin2!AA35</f>
        <v>173648.39151336462</v>
      </c>
      <c r="O36" s="26">
        <f>ProjPop20_21_22_23admin2!AB35</f>
        <v>180635.76817618174</v>
      </c>
      <c r="P36" s="26">
        <f>ProjPop20_21_22_23admin2!AC35</f>
        <v>354284.15968954639</v>
      </c>
    </row>
    <row r="37" spans="1:16" x14ac:dyDescent="0.35">
      <c r="A37" t="s">
        <v>87</v>
      </c>
      <c r="B37" t="s">
        <v>86</v>
      </c>
      <c r="C37" t="s">
        <v>86</v>
      </c>
      <c r="D37" t="s">
        <v>83</v>
      </c>
      <c r="E37" t="s">
        <v>82</v>
      </c>
      <c r="F37">
        <v>95980</v>
      </c>
      <c r="G37">
        <v>102557</v>
      </c>
      <c r="H37" s="1">
        <v>113740.49305763062</v>
      </c>
      <c r="I37" s="1">
        <v>121533.92603469275</v>
      </c>
      <c r="J37" s="1">
        <v>235274.41909232337</v>
      </c>
      <c r="K37" s="1">
        <v>115845.93471669247</v>
      </c>
      <c r="L37" s="1">
        <v>123783.63134178275</v>
      </c>
      <c r="M37" s="1">
        <v>239629.56605847523</v>
      </c>
      <c r="N37" s="26">
        <f>ProjPop20_21_22_23admin2!AA36</f>
        <v>121959.6781232403</v>
      </c>
      <c r="O37" s="26">
        <f>ProjPop20_21_22_23admin2!AB36</f>
        <v>130316.28492004702</v>
      </c>
      <c r="P37" s="26">
        <f>ProjPop20_21_22_23admin2!AC36</f>
        <v>252275.96304328734</v>
      </c>
    </row>
    <row r="38" spans="1:16" x14ac:dyDescent="0.35">
      <c r="A38" t="s">
        <v>89</v>
      </c>
      <c r="B38" t="s">
        <v>88</v>
      </c>
      <c r="C38" t="s">
        <v>88</v>
      </c>
      <c r="D38" t="s">
        <v>91</v>
      </c>
      <c r="E38" t="s">
        <v>90</v>
      </c>
      <c r="F38">
        <v>147459</v>
      </c>
      <c r="G38">
        <v>155378</v>
      </c>
      <c r="H38" s="1">
        <v>174977.69622159933</v>
      </c>
      <c r="I38" s="1">
        <v>184373.23840717555</v>
      </c>
      <c r="J38" s="1">
        <v>359350.93462877488</v>
      </c>
      <c r="K38" s="1">
        <v>178216.69511397232</v>
      </c>
      <c r="L38" s="1">
        <v>187786.15746988717</v>
      </c>
      <c r="M38" s="1">
        <v>366002.85258385952</v>
      </c>
      <c r="N38" s="26">
        <f>ProjPop20_21_22_23admin2!AA37</f>
        <v>187622.04151092962</v>
      </c>
      <c r="O38" s="26">
        <f>ProjPop20_21_22_23admin2!AB37</f>
        <v>197696.53011162172</v>
      </c>
      <c r="P38" s="26">
        <f>ProjPop20_21_22_23admin2!AC37</f>
        <v>385318.5716225513</v>
      </c>
    </row>
    <row r="39" spans="1:16" x14ac:dyDescent="0.35">
      <c r="A39" t="s">
        <v>93</v>
      </c>
      <c r="B39" t="s">
        <v>92</v>
      </c>
      <c r="C39" t="s">
        <v>92</v>
      </c>
      <c r="D39" t="s">
        <v>91</v>
      </c>
      <c r="E39" t="s">
        <v>90</v>
      </c>
      <c r="F39">
        <v>139618</v>
      </c>
      <c r="G39">
        <v>154065</v>
      </c>
      <c r="H39" s="1">
        <v>165670.64561722553</v>
      </c>
      <c r="I39" s="1">
        <v>182816.40396113711</v>
      </c>
      <c r="J39" s="1">
        <v>348487.04957836267</v>
      </c>
      <c r="K39" s="1">
        <v>168737.36240022242</v>
      </c>
      <c r="L39" s="1">
        <v>186200.50457924002</v>
      </c>
      <c r="M39" s="1">
        <v>354937.86697946244</v>
      </c>
      <c r="N39" s="26">
        <f>ProjPop20_21_22_23admin2!AA38</f>
        <v>177642.43912419645</v>
      </c>
      <c r="O39" s="26">
        <f>ProjPop20_21_22_23admin2!AB38</f>
        <v>196027.1947427851</v>
      </c>
      <c r="P39" s="26">
        <f>ProjPop20_21_22_23admin2!AC38</f>
        <v>373669.63386698154</v>
      </c>
    </row>
    <row r="40" spans="1:16" x14ac:dyDescent="0.35">
      <c r="A40" t="s">
        <v>94</v>
      </c>
      <c r="B40" t="s">
        <v>194</v>
      </c>
      <c r="C40" t="s">
        <v>95</v>
      </c>
      <c r="D40" t="s">
        <v>91</v>
      </c>
      <c r="E40" t="s">
        <v>90</v>
      </c>
      <c r="F40">
        <v>51880</v>
      </c>
      <c r="G40">
        <v>53423</v>
      </c>
      <c r="H40" s="1">
        <v>61561.329304419531</v>
      </c>
      <c r="I40" s="1">
        <v>63392.899240935316</v>
      </c>
      <c r="J40" s="1">
        <v>124954.22854535484</v>
      </c>
      <c r="K40" s="1">
        <v>62700.886412186555</v>
      </c>
      <c r="L40" s="1">
        <v>64566.360401183207</v>
      </c>
      <c r="M40" s="1">
        <v>127267.24681336975</v>
      </c>
      <c r="N40" s="26">
        <f>ProjPop20_21_22_23admin2!AA39</f>
        <v>66009.911729515836</v>
      </c>
      <c r="O40" s="26">
        <f>ProjPop20_21_22_23admin2!AB39</f>
        <v>67973.835692853027</v>
      </c>
      <c r="P40" s="26">
        <f>ProjPop20_21_22_23admin2!AC39</f>
        <v>133983.74742236885</v>
      </c>
    </row>
    <row r="41" spans="1:16" x14ac:dyDescent="0.35">
      <c r="A41" t="s">
        <v>97</v>
      </c>
      <c r="B41" t="s">
        <v>96</v>
      </c>
      <c r="C41" t="s">
        <v>96</v>
      </c>
      <c r="D41" t="s">
        <v>91</v>
      </c>
      <c r="E41" t="s">
        <v>90</v>
      </c>
      <c r="F41">
        <v>137494</v>
      </c>
      <c r="G41">
        <v>155027</v>
      </c>
      <c r="H41" s="1">
        <v>163152.75144045358</v>
      </c>
      <c r="I41" s="1">
        <v>183955.47582615007</v>
      </c>
      <c r="J41" s="1">
        <v>347108.22726660362</v>
      </c>
      <c r="K41" s="1">
        <v>166172.85967489952</v>
      </c>
      <c r="L41" s="1">
        <v>187360.66171734079</v>
      </c>
      <c r="M41" s="1">
        <v>353533.52139224025</v>
      </c>
      <c r="N41" s="26">
        <f>ProjPop20_21_22_23admin2!AA40</f>
        <v>174942.59533864245</v>
      </c>
      <c r="O41" s="26">
        <f>ProjPop20_21_22_23admin2!AB40</f>
        <v>197248.57891548978</v>
      </c>
      <c r="P41" s="26">
        <f>ProjPop20_21_22_23admin2!AC40</f>
        <v>372191.1742541322</v>
      </c>
    </row>
    <row r="42" spans="1:16" x14ac:dyDescent="0.35">
      <c r="A42" t="s">
        <v>183</v>
      </c>
      <c r="B42" t="s">
        <v>182</v>
      </c>
      <c r="C42" t="s">
        <v>182</v>
      </c>
      <c r="D42" t="s">
        <v>101</v>
      </c>
      <c r="E42" t="s">
        <v>100</v>
      </c>
      <c r="F42">
        <v>208194</v>
      </c>
      <c r="G42">
        <v>221412</v>
      </c>
      <c r="H42" s="1">
        <v>249994.5950127056</v>
      </c>
      <c r="I42" s="1">
        <v>265866.46740141371</v>
      </c>
      <c r="J42" s="1">
        <v>515861.06241411925</v>
      </c>
      <c r="K42" s="1">
        <v>254622.22604129065</v>
      </c>
      <c r="L42" s="1">
        <v>270787.90145859623</v>
      </c>
      <c r="M42" s="1">
        <v>525410.12749988679</v>
      </c>
      <c r="N42" s="26">
        <f>ProjPop20_21_22_23admin2!AA41</f>
        <v>268059.85731792933</v>
      </c>
      <c r="O42" s="26">
        <f>ProjPop20_21_22_23admin2!AB41</f>
        <v>285078.67265539395</v>
      </c>
      <c r="P42" s="26">
        <f>ProjPop20_21_22_23admin2!AC41</f>
        <v>553138.52997332311</v>
      </c>
    </row>
    <row r="43" spans="1:16" x14ac:dyDescent="0.35">
      <c r="A43" t="s">
        <v>98</v>
      </c>
      <c r="B43" t="s">
        <v>195</v>
      </c>
      <c r="C43" t="s">
        <v>99</v>
      </c>
      <c r="D43" t="s">
        <v>101</v>
      </c>
      <c r="E43" t="s">
        <v>100</v>
      </c>
      <c r="F43">
        <v>34078</v>
      </c>
      <c r="G43">
        <v>36381</v>
      </c>
      <c r="H43" s="1">
        <v>130396.3065451568</v>
      </c>
      <c r="I43" s="1">
        <v>139018.05168259511</v>
      </c>
      <c r="J43" s="1">
        <v>269414.35822775186</v>
      </c>
      <c r="K43" s="1">
        <v>132810.06270716738</v>
      </c>
      <c r="L43" s="1">
        <v>141591.40431634753</v>
      </c>
      <c r="M43" s="1">
        <v>274401.46702351485</v>
      </c>
      <c r="N43" s="26">
        <f>ProjPop20_21_22_23admin2!AA42</f>
        <v>139819.0841906131</v>
      </c>
      <c r="O43" s="26">
        <f>ProjPop20_21_22_23admin2!AB42</f>
        <v>149063.85914767085</v>
      </c>
      <c r="P43" s="26">
        <f>ProjPop20_21_22_23admin2!AC42</f>
        <v>288882.94333828392</v>
      </c>
    </row>
    <row r="44" spans="1:16" x14ac:dyDescent="0.35">
      <c r="A44" t="s">
        <v>103</v>
      </c>
      <c r="B44" t="s">
        <v>102</v>
      </c>
      <c r="C44" t="s">
        <v>102</v>
      </c>
      <c r="D44" t="s">
        <v>101</v>
      </c>
      <c r="E44" t="s">
        <v>100</v>
      </c>
      <c r="F44">
        <v>108855</v>
      </c>
      <c r="G44">
        <v>115511</v>
      </c>
      <c r="H44" s="1">
        <v>40948.916277538447</v>
      </c>
      <c r="I44" s="1">
        <v>43657.167047527422</v>
      </c>
      <c r="J44" s="1">
        <v>84606.083325065876</v>
      </c>
      <c r="K44" s="1">
        <v>41706.91856772091</v>
      </c>
      <c r="L44" s="1">
        <v>44465.3015627516</v>
      </c>
      <c r="M44" s="1">
        <v>86172.220130472517</v>
      </c>
      <c r="N44" s="26">
        <f>ProjPop20_21_22_23admin2!AA43</f>
        <v>43907.991907276686</v>
      </c>
      <c r="O44" s="26">
        <f>ProjPop20_21_22_23admin2!AB43</f>
        <v>46811.947950596419</v>
      </c>
      <c r="P44" s="26">
        <f>ProjPop20_21_22_23admin2!AC43</f>
        <v>90719.93985787312</v>
      </c>
    </row>
    <row r="45" spans="1:16" x14ac:dyDescent="0.35">
      <c r="A45" t="s">
        <v>170</v>
      </c>
      <c r="B45" t="s">
        <v>171</v>
      </c>
      <c r="C45" t="s">
        <v>171</v>
      </c>
      <c r="D45" t="s">
        <v>107</v>
      </c>
      <c r="E45" t="s">
        <v>106</v>
      </c>
      <c r="F45">
        <v>195304</v>
      </c>
      <c r="G45">
        <v>198408</v>
      </c>
      <c r="H45" s="1">
        <v>233752.56969001616</v>
      </c>
      <c r="I45" s="1">
        <v>237469.216100519</v>
      </c>
      <c r="J45" s="1">
        <v>471221.78579053516</v>
      </c>
      <c r="K45" s="1">
        <v>238079.54581705609</v>
      </c>
      <c r="L45" s="1">
        <v>241864.9907879864</v>
      </c>
      <c r="M45" s="1">
        <v>479944.53660504241</v>
      </c>
      <c r="N45" s="26">
        <f>ProjPop20_21_22_23admin2!AA44</f>
        <v>250644.14082880656</v>
      </c>
      <c r="O45" s="26">
        <f>ProjPop20_21_22_23admin2!AB44</f>
        <v>254629.36181508409</v>
      </c>
      <c r="P45" s="26">
        <f>ProjPop20_21_22_23admin2!AC44</f>
        <v>505273.50264389062</v>
      </c>
    </row>
    <row r="46" spans="1:16" x14ac:dyDescent="0.35">
      <c r="A46" t="s">
        <v>105</v>
      </c>
      <c r="B46" t="s">
        <v>104</v>
      </c>
      <c r="C46" t="s">
        <v>104</v>
      </c>
      <c r="D46" t="s">
        <v>107</v>
      </c>
      <c r="E46" t="s">
        <v>106</v>
      </c>
      <c r="F46">
        <v>68275</v>
      </c>
      <c r="G46">
        <v>69096</v>
      </c>
      <c r="H46" s="1">
        <v>81715.801409214357</v>
      </c>
      <c r="I46" s="1">
        <v>82699.498521185757</v>
      </c>
      <c r="J46" s="1">
        <v>164415.2999304001</v>
      </c>
      <c r="K46" s="1">
        <v>83228.436424814383</v>
      </c>
      <c r="L46" s="1">
        <v>84230.342679578884</v>
      </c>
      <c r="M46" s="1">
        <v>167458.77910439327</v>
      </c>
      <c r="N46" s="26">
        <f>ProjPop20_21_22_23admin2!AA45</f>
        <v>87620.798622710092</v>
      </c>
      <c r="O46" s="26">
        <f>ProjPop20_21_22_23admin2!AB45</f>
        <v>88675.580256951871</v>
      </c>
      <c r="P46" s="26">
        <f>ProjPop20_21_22_23admin2!AC45</f>
        <v>176296.37887966196</v>
      </c>
    </row>
    <row r="47" spans="1:16" x14ac:dyDescent="0.35">
      <c r="A47" t="s">
        <v>109</v>
      </c>
      <c r="B47" t="s">
        <v>108</v>
      </c>
      <c r="C47" t="s">
        <v>108</v>
      </c>
      <c r="D47" t="s">
        <v>107</v>
      </c>
      <c r="E47" t="s">
        <v>106</v>
      </c>
      <c r="F47">
        <v>110906</v>
      </c>
      <c r="G47">
        <v>112653</v>
      </c>
      <c r="H47" s="1">
        <v>132740.45871929583</v>
      </c>
      <c r="I47" s="1">
        <v>134831.32956817228</v>
      </c>
      <c r="J47" s="1">
        <v>267571.78828746814</v>
      </c>
      <c r="K47" s="1">
        <v>135197.60730479544</v>
      </c>
      <c r="L47" s="1">
        <v>137327.18210571748</v>
      </c>
      <c r="M47" s="1">
        <v>272524.78941051289</v>
      </c>
      <c r="N47" s="26">
        <f>ProjPop20_21_22_23admin2!AA46</f>
        <v>142332.63092269053</v>
      </c>
      <c r="O47" s="26">
        <f>ProjPop20_21_22_23admin2!AB46</f>
        <v>144574.593559489</v>
      </c>
      <c r="P47" s="26">
        <f>ProjPop20_21_22_23admin2!AC46</f>
        <v>286907.2244821795</v>
      </c>
    </row>
    <row r="48" spans="1:16" x14ac:dyDescent="0.35">
      <c r="A48" t="s">
        <v>111</v>
      </c>
      <c r="B48" t="s">
        <v>110</v>
      </c>
      <c r="C48" t="s">
        <v>110</v>
      </c>
      <c r="D48" t="s">
        <v>112</v>
      </c>
      <c r="E48" t="s">
        <v>204</v>
      </c>
      <c r="F48">
        <v>209796</v>
      </c>
      <c r="G48">
        <v>211985</v>
      </c>
      <c r="H48" s="1">
        <v>249323.7678231835</v>
      </c>
      <c r="I48" s="1">
        <v>251925.00628832239</v>
      </c>
      <c r="J48" s="1">
        <v>501248.77411150589</v>
      </c>
      <c r="K48" s="1">
        <v>253938.98122043174</v>
      </c>
      <c r="L48" s="1">
        <v>256588.371013936</v>
      </c>
      <c r="M48" s="1">
        <v>510527.35223436775</v>
      </c>
      <c r="N48" s="26">
        <f>ProjPop20_21_22_23admin2!AA47</f>
        <v>267340.55440380372</v>
      </c>
      <c r="O48" s="26">
        <f>ProjPop20_21_22_23admin2!AB47</f>
        <v>270129.76515365852</v>
      </c>
      <c r="P48" s="26">
        <f>ProjPop20_21_22_23admin2!AC47</f>
        <v>537470.31955746224</v>
      </c>
    </row>
    <row r="49" spans="1:16" x14ac:dyDescent="0.35">
      <c r="A49" t="s">
        <v>114</v>
      </c>
      <c r="B49" t="s">
        <v>113</v>
      </c>
      <c r="C49" t="s">
        <v>113</v>
      </c>
      <c r="D49" t="s">
        <v>112</v>
      </c>
      <c r="E49" t="s">
        <v>204</v>
      </c>
      <c r="F49">
        <v>65337</v>
      </c>
      <c r="G49">
        <v>71832</v>
      </c>
      <c r="H49" s="1">
        <v>77647.173978577528</v>
      </c>
      <c r="I49" s="1">
        <v>85366.513759223017</v>
      </c>
      <c r="J49" s="1">
        <v>163013.68773780056</v>
      </c>
      <c r="K49" s="1">
        <v>79084.494939724478</v>
      </c>
      <c r="L49" s="1">
        <v>86946.726834846646</v>
      </c>
      <c r="M49" s="1">
        <v>166031.22177457111</v>
      </c>
      <c r="N49" s="26">
        <f>ProjPop20_21_22_23admin2!AA48</f>
        <v>83258.161548573</v>
      </c>
      <c r="O49" s="26">
        <f>ProjPop20_21_22_23admin2!AB48</f>
        <v>91535.320981093057</v>
      </c>
      <c r="P49" s="26">
        <f>ProjPop20_21_22_23admin2!AC48</f>
        <v>174793.48252966607</v>
      </c>
    </row>
    <row r="50" spans="1:16" x14ac:dyDescent="0.35">
      <c r="A50" t="s">
        <v>116</v>
      </c>
      <c r="B50" t="s">
        <v>115</v>
      </c>
      <c r="C50" t="s">
        <v>115</v>
      </c>
      <c r="D50" t="s">
        <v>112</v>
      </c>
      <c r="E50" t="s">
        <v>204</v>
      </c>
      <c r="F50">
        <v>172297</v>
      </c>
      <c r="G50">
        <v>194285</v>
      </c>
      <c r="H50" s="1">
        <v>204761.09557309092</v>
      </c>
      <c r="I50" s="1">
        <v>230890.78290842968</v>
      </c>
      <c r="J50" s="1">
        <v>435651.87848152063</v>
      </c>
      <c r="K50" s="1">
        <v>208551.41271683932</v>
      </c>
      <c r="L50" s="1">
        <v>235164.78471693691</v>
      </c>
      <c r="M50" s="1">
        <v>443716.19743377622</v>
      </c>
      <c r="N50" s="26">
        <f>ProjPop20_21_22_23admin2!AA49</f>
        <v>219557.66707994638</v>
      </c>
      <c r="O50" s="26">
        <f>ProjPop20_21_22_23admin2!AB49</f>
        <v>247575.55386072671</v>
      </c>
      <c r="P50" s="26">
        <f>ProjPop20_21_22_23admin2!AC49</f>
        <v>467133.22094067308</v>
      </c>
    </row>
    <row r="51" spans="1:16" x14ac:dyDescent="0.35">
      <c r="A51" t="s">
        <v>118</v>
      </c>
      <c r="B51" t="s">
        <v>117</v>
      </c>
      <c r="C51" t="s">
        <v>117</v>
      </c>
      <c r="D51" t="s">
        <v>120</v>
      </c>
      <c r="E51" t="s">
        <v>119</v>
      </c>
      <c r="F51">
        <v>114644</v>
      </c>
      <c r="G51">
        <v>119198</v>
      </c>
      <c r="H51" s="1">
        <v>136979.82284201781</v>
      </c>
      <c r="I51" s="1">
        <v>142422.05508596837</v>
      </c>
      <c r="J51" s="1">
        <v>279401.87792798615</v>
      </c>
      <c r="K51" s="1">
        <v>139515.4459759563</v>
      </c>
      <c r="L51" s="1">
        <v>145058.41896910421</v>
      </c>
      <c r="M51" s="1">
        <v>284573.86494506046</v>
      </c>
      <c r="N51" s="26">
        <f>ProjPop20_21_22_23admin2!AA50</f>
        <v>146878.34256816772</v>
      </c>
      <c r="O51" s="26">
        <f>ProjPop20_21_22_23admin2!AB50</f>
        <v>152713.84472664548</v>
      </c>
      <c r="P51" s="26">
        <f>ProjPop20_21_22_23admin2!AC50</f>
        <v>299592.18729481311</v>
      </c>
    </row>
    <row r="52" spans="1:16" x14ac:dyDescent="0.35">
      <c r="A52" t="s">
        <v>121</v>
      </c>
      <c r="B52" t="s">
        <v>196</v>
      </c>
      <c r="C52" t="s">
        <v>122</v>
      </c>
      <c r="D52" t="s">
        <v>120</v>
      </c>
      <c r="E52" t="s">
        <v>119</v>
      </c>
      <c r="F52">
        <v>39397</v>
      </c>
      <c r="G52">
        <v>43611</v>
      </c>
      <c r="H52" s="1">
        <v>47073.405312204719</v>
      </c>
      <c r="I52" s="1">
        <v>52107.13572199981</v>
      </c>
      <c r="J52" s="1">
        <v>99180.541034204536</v>
      </c>
      <c r="K52" s="1">
        <v>47944.777555403991</v>
      </c>
      <c r="L52" s="1">
        <v>53071.686967859983</v>
      </c>
      <c r="M52" s="1">
        <v>101016.46452326399</v>
      </c>
      <c r="N52" s="26">
        <f>ProjPop20_21_22_23admin2!AA51</f>
        <v>50475.052513904688</v>
      </c>
      <c r="O52" s="26">
        <f>ProjPop20_21_22_23admin2!AB51</f>
        <v>55872.533428874129</v>
      </c>
      <c r="P52" s="26">
        <f>ProjPop20_21_22_23admin2!AC51</f>
        <v>106347.58594277882</v>
      </c>
    </row>
    <row r="53" spans="1:16" x14ac:dyDescent="0.35">
      <c r="A53" t="s">
        <v>124</v>
      </c>
      <c r="B53" t="s">
        <v>123</v>
      </c>
      <c r="C53" t="s">
        <v>123</v>
      </c>
      <c r="D53" t="s">
        <v>120</v>
      </c>
      <c r="E53" t="s">
        <v>119</v>
      </c>
      <c r="F53">
        <v>34496</v>
      </c>
      <c r="G53">
        <v>36623</v>
      </c>
      <c r="H53" s="1">
        <v>41217.526374726433</v>
      </c>
      <c r="I53" s="1">
        <v>43757.028960861804</v>
      </c>
      <c r="J53" s="1">
        <v>84974.555335588244</v>
      </c>
      <c r="K53" s="1">
        <v>41980.500886089409</v>
      </c>
      <c r="L53" s="1">
        <v>44567.012012406121</v>
      </c>
      <c r="M53" s="1">
        <v>86547.512898495537</v>
      </c>
      <c r="N53" s="26">
        <f>ProjPop20_21_22_23admin2!AA52</f>
        <v>44196.012471572103</v>
      </c>
      <c r="O53" s="26">
        <f>ProjPop20_21_22_23admin2!AB52</f>
        <v>46919.026146581215</v>
      </c>
      <c r="P53" s="26">
        <f>ProjPop20_21_22_23admin2!AC52</f>
        <v>91115.038618153325</v>
      </c>
    </row>
    <row r="54" spans="1:16" x14ac:dyDescent="0.35">
      <c r="A54" t="s">
        <v>125</v>
      </c>
      <c r="B54" t="s">
        <v>197</v>
      </c>
      <c r="C54" t="s">
        <v>126</v>
      </c>
      <c r="D54" t="s">
        <v>127</v>
      </c>
      <c r="E54" t="s">
        <v>203</v>
      </c>
      <c r="F54">
        <v>155778</v>
      </c>
      <c r="G54">
        <v>171016</v>
      </c>
      <c r="H54" s="1">
        <v>187977.72688336365</v>
      </c>
      <c r="I54" s="1">
        <v>206364.42530785839</v>
      </c>
      <c r="J54" s="1">
        <v>394342.15219122201</v>
      </c>
      <c r="K54" s="1">
        <v>191457.36835946885</v>
      </c>
      <c r="L54" s="1">
        <v>210184.42156698642</v>
      </c>
      <c r="M54" s="1">
        <v>401641.78992645524</v>
      </c>
      <c r="N54" s="26">
        <f>ProjPop20_21_22_23admin2!AA53</f>
        <v>201561.48833834662</v>
      </c>
      <c r="O54" s="26">
        <f>ProjPop20_21_22_23admin2!AB53</f>
        <v>221276.85760849967</v>
      </c>
      <c r="P54" s="26">
        <f>ProjPop20_21_22_23admin2!AC53</f>
        <v>422838.3459468463</v>
      </c>
    </row>
    <row r="55" spans="1:16" x14ac:dyDescent="0.35">
      <c r="A55" t="s">
        <v>173</v>
      </c>
      <c r="B55" t="s">
        <v>201</v>
      </c>
      <c r="C55" t="s">
        <v>172</v>
      </c>
      <c r="D55" t="s">
        <v>127</v>
      </c>
      <c r="E55" t="s">
        <v>203</v>
      </c>
      <c r="F55">
        <v>54044</v>
      </c>
      <c r="G55">
        <v>58903</v>
      </c>
      <c r="H55" s="1">
        <v>236580.18440099669</v>
      </c>
      <c r="I55" s="1">
        <v>257850.06201769219</v>
      </c>
      <c r="J55" s="1">
        <v>494430.24641868885</v>
      </c>
      <c r="K55" s="1">
        <v>240959.50228995658</v>
      </c>
      <c r="L55" s="1">
        <v>262623.10500150151</v>
      </c>
      <c r="M55" s="1">
        <v>503582.60729145806</v>
      </c>
      <c r="N55" s="26">
        <f>ProjPop20_21_22_23admin2!AA54</f>
        <v>253676.08636321707</v>
      </c>
      <c r="O55" s="26">
        <f>ProjPop20_21_22_23admin2!AB54</f>
        <v>276482.98088352237</v>
      </c>
      <c r="P55" s="26">
        <f>ProjPop20_21_22_23admin2!AC54</f>
        <v>530159.0672467394</v>
      </c>
    </row>
    <row r="56" spans="1:16" x14ac:dyDescent="0.35">
      <c r="A56" t="s">
        <v>174</v>
      </c>
      <c r="B56" t="s">
        <v>200</v>
      </c>
      <c r="C56" t="s">
        <v>175</v>
      </c>
      <c r="D56" t="s">
        <v>127</v>
      </c>
      <c r="E56" t="s">
        <v>203</v>
      </c>
      <c r="F56">
        <v>192450</v>
      </c>
      <c r="G56">
        <v>217288</v>
      </c>
      <c r="H56" s="1">
        <v>64015.427224975785</v>
      </c>
      <c r="I56" s="1">
        <v>72277.042404911335</v>
      </c>
      <c r="J56" s="1">
        <v>136292.46962988711</v>
      </c>
      <c r="K56" s="1">
        <v>65200.411953623094</v>
      </c>
      <c r="L56" s="1">
        <v>73614.957266911952</v>
      </c>
      <c r="M56" s="1">
        <v>138815.36922053504</v>
      </c>
      <c r="N56" s="26">
        <f>ProjPop20_21_22_23admin2!AA55</f>
        <v>68641.34917477383</v>
      </c>
      <c r="O56" s="26">
        <f>ProjPop20_21_22_23admin2!AB55</f>
        <v>77499.97024310776</v>
      </c>
      <c r="P56" s="26">
        <f>ProjPop20_21_22_23admin2!AC55</f>
        <v>146141.3194178816</v>
      </c>
    </row>
    <row r="57" spans="1:16" x14ac:dyDescent="0.35">
      <c r="A57" t="s">
        <v>129</v>
      </c>
      <c r="B57" t="s">
        <v>128</v>
      </c>
      <c r="C57" t="s">
        <v>128</v>
      </c>
      <c r="D57" t="s">
        <v>131</v>
      </c>
      <c r="E57" t="s">
        <v>130</v>
      </c>
      <c r="F57">
        <v>102456</v>
      </c>
      <c r="G57">
        <v>114500</v>
      </c>
      <c r="H57" s="1">
        <v>121952.55600538426</v>
      </c>
      <c r="I57" s="1">
        <v>136288.17316606748</v>
      </c>
      <c r="J57" s="1">
        <v>258240.72917145173</v>
      </c>
      <c r="K57" s="1">
        <v>124210.01054017965</v>
      </c>
      <c r="L57" s="1">
        <v>138810.99322519879</v>
      </c>
      <c r="M57" s="1">
        <v>263021.00376537844</v>
      </c>
      <c r="N57" s="26">
        <f>ProjPop20_21_22_23admin2!AA56</f>
        <v>130765.16618568749</v>
      </c>
      <c r="O57" s="26">
        <f>ProjPop20_21_22_23admin2!AB56</f>
        <v>146136.71248036597</v>
      </c>
      <c r="P57" s="26">
        <f>ProjPop20_21_22_23admin2!AC56</f>
        <v>276901.87866605341</v>
      </c>
    </row>
    <row r="58" spans="1:16" x14ac:dyDescent="0.35">
      <c r="A58" t="s">
        <v>133</v>
      </c>
      <c r="B58" t="s">
        <v>132</v>
      </c>
      <c r="C58" t="s">
        <v>132</v>
      </c>
      <c r="D58" t="s">
        <v>131</v>
      </c>
      <c r="E58" t="s">
        <v>130</v>
      </c>
      <c r="F58">
        <v>111696</v>
      </c>
      <c r="G58">
        <v>118517</v>
      </c>
      <c r="H58" s="1">
        <v>132950.19282805023</v>
      </c>
      <c r="I58" s="1">
        <v>141070.82810167296</v>
      </c>
      <c r="J58" s="1">
        <v>274021.02092972322</v>
      </c>
      <c r="K58" s="1">
        <v>135411.22378576425</v>
      </c>
      <c r="L58" s="1">
        <v>143682.17952436392</v>
      </c>
      <c r="M58" s="1">
        <v>279093.4033101282</v>
      </c>
      <c r="N58" s="26">
        <f>ProjPop20_21_22_23admin2!AA57</f>
        <v>142557.52096587149</v>
      </c>
      <c r="O58" s="26">
        <f>ProjPop20_21_22_23admin2!AB57</f>
        <v>151264.97455168844</v>
      </c>
      <c r="P58" s="26">
        <f>ProjPop20_21_22_23admin2!AC57</f>
        <v>293822.49551755999</v>
      </c>
    </row>
    <row r="59" spans="1:16" x14ac:dyDescent="0.35">
      <c r="A59" t="s">
        <v>134</v>
      </c>
      <c r="B59" t="s">
        <v>198</v>
      </c>
      <c r="C59" t="s">
        <v>135</v>
      </c>
      <c r="D59" t="s">
        <v>131</v>
      </c>
      <c r="E59" t="s">
        <v>130</v>
      </c>
      <c r="F59">
        <v>87578</v>
      </c>
      <c r="G59">
        <v>91492</v>
      </c>
      <c r="H59" s="1">
        <v>104393.17423341621</v>
      </c>
      <c r="I59" s="1">
        <v>109058.52653075599</v>
      </c>
      <c r="J59" s="1">
        <v>213451.70076417219</v>
      </c>
      <c r="K59" s="1">
        <v>106325.58838113204</v>
      </c>
      <c r="L59" s="1">
        <v>111077.30066177205</v>
      </c>
      <c r="M59" s="1">
        <v>217402.88904290408</v>
      </c>
      <c r="N59" s="26">
        <f>ProjPop20_21_22_23admin2!AA58</f>
        <v>111936.89762993899</v>
      </c>
      <c r="O59" s="26">
        <f>ProjPop20_21_22_23admin2!AB58</f>
        <v>116939.3804680148</v>
      </c>
      <c r="P59" s="26">
        <f>ProjPop20_21_22_23admin2!AC58</f>
        <v>228876.27809795376</v>
      </c>
    </row>
    <row r="60" spans="1:16" x14ac:dyDescent="0.35">
      <c r="A60" t="s">
        <v>180</v>
      </c>
      <c r="B60" t="s">
        <v>202</v>
      </c>
      <c r="C60" t="s">
        <v>181</v>
      </c>
      <c r="D60" t="s">
        <v>131</v>
      </c>
      <c r="E60" t="s">
        <v>130</v>
      </c>
      <c r="F60">
        <v>12948</v>
      </c>
      <c r="G60">
        <v>13264</v>
      </c>
      <c r="H60" s="1">
        <v>15260.661650164564</v>
      </c>
      <c r="I60" s="1">
        <v>15632.120004672652</v>
      </c>
      <c r="J60" s="1">
        <v>30892.781654837218</v>
      </c>
      <c r="K60" s="1">
        <v>15543.150603037524</v>
      </c>
      <c r="L60" s="1">
        <v>15921.484995033787</v>
      </c>
      <c r="M60" s="1">
        <v>31464.635598071316</v>
      </c>
      <c r="N60" s="26">
        <f>ProjPop20_21_22_23admin2!AA59</f>
        <v>16363.436914755701</v>
      </c>
      <c r="O60" s="26">
        <f>ProjPop20_21_22_23admin2!AB59</f>
        <v>16761.737820036993</v>
      </c>
      <c r="P60" s="26">
        <f>ProjPop20_21_22_23admin2!AC59</f>
        <v>33125.174734792694</v>
      </c>
    </row>
    <row r="61" spans="1:16" x14ac:dyDescent="0.35">
      <c r="A61" t="s">
        <v>136</v>
      </c>
      <c r="B61" t="s">
        <v>199</v>
      </c>
      <c r="C61" t="s">
        <v>137</v>
      </c>
      <c r="D61" t="s">
        <v>139</v>
      </c>
      <c r="E61" t="s">
        <v>138</v>
      </c>
      <c r="F61">
        <v>649673</v>
      </c>
      <c r="G61">
        <v>571363</v>
      </c>
      <c r="H61" s="1">
        <v>871732.62436906749</v>
      </c>
      <c r="I61" s="1">
        <v>766656.07449428109</v>
      </c>
      <c r="J61" s="1">
        <v>1638388.6988633485</v>
      </c>
      <c r="K61" s="1">
        <v>887869.20100567478</v>
      </c>
      <c r="L61" s="1">
        <v>780847.58706839336</v>
      </c>
      <c r="M61" s="1">
        <v>1668716.788074068</v>
      </c>
      <c r="N61" s="26">
        <f>ProjPop20_21_22_23admin2!AA60</f>
        <v>934726.30036613392</v>
      </c>
      <c r="O61" s="26">
        <f>ProjPop20_21_22_23admin2!AB60</f>
        <v>822056.64458632015</v>
      </c>
      <c r="P61" s="26">
        <f>ProjPop20_21_22_23admin2!AC60</f>
        <v>1756782.944952454</v>
      </c>
    </row>
    <row r="62" spans="1:16" x14ac:dyDescent="0.35">
      <c r="A62" t="s">
        <v>141</v>
      </c>
      <c r="B62" t="s">
        <v>140</v>
      </c>
      <c r="C62" t="s">
        <v>140</v>
      </c>
      <c r="D62" t="s">
        <v>143</v>
      </c>
      <c r="E62" t="s">
        <v>142</v>
      </c>
      <c r="F62">
        <v>96114</v>
      </c>
      <c r="G62">
        <v>85233</v>
      </c>
      <c r="H62" s="1">
        <v>112011.82030855953</v>
      </c>
      <c r="I62" s="1">
        <v>99332.828871622696</v>
      </c>
      <c r="J62" s="1">
        <v>211344.64918018223</v>
      </c>
      <c r="K62" s="1">
        <v>114085.26263719003</v>
      </c>
      <c r="L62" s="1">
        <v>101171.5713493154</v>
      </c>
      <c r="M62" s="1">
        <v>215256.83398650543</v>
      </c>
      <c r="N62" s="26">
        <f>ProjPop20_21_22_23admin2!AA61</f>
        <v>120106.08696683217</v>
      </c>
      <c r="O62" s="26">
        <f>ProjPop20_21_22_23admin2!AB61</f>
        <v>106510.87849703385</v>
      </c>
      <c r="P62" s="26">
        <f>ProjPop20_21_22_23admin2!AC61</f>
        <v>226616.96546386601</v>
      </c>
    </row>
    <row r="63" spans="1:16" x14ac:dyDescent="0.35">
      <c r="A63" t="s">
        <v>179</v>
      </c>
      <c r="B63" t="s">
        <v>178</v>
      </c>
      <c r="C63" t="s">
        <v>178</v>
      </c>
      <c r="D63" t="s">
        <v>143</v>
      </c>
      <c r="E63" t="s">
        <v>142</v>
      </c>
      <c r="F63">
        <v>38862</v>
      </c>
      <c r="G63">
        <v>30533</v>
      </c>
      <c r="H63" s="1">
        <v>45190.386781966576</v>
      </c>
      <c r="I63" s="1">
        <v>35504.674527796276</v>
      </c>
      <c r="J63" s="1">
        <v>80695.061309762852</v>
      </c>
      <c r="K63" s="1">
        <v>46026.902611660247</v>
      </c>
      <c r="L63" s="1">
        <v>36161.898870971738</v>
      </c>
      <c r="M63" s="1">
        <v>82188.801482631985</v>
      </c>
      <c r="N63" s="26">
        <f>ProjPop20_21_22_23admin2!AA62</f>
        <v>48455.962147102968</v>
      </c>
      <c r="O63" s="26">
        <f>ProjPop20_21_22_23admin2!AB62</f>
        <v>38070.33503087089</v>
      </c>
      <c r="P63" s="26">
        <f>ProjPop20_21_22_23admin2!AC62</f>
        <v>86526.297177973858</v>
      </c>
    </row>
    <row r="64" spans="1:16" x14ac:dyDescent="0.35">
      <c r="A64" t="s">
        <v>145</v>
      </c>
      <c r="B64" t="s">
        <v>144</v>
      </c>
      <c r="C64" t="s">
        <v>144</v>
      </c>
      <c r="D64" t="s">
        <v>143</v>
      </c>
      <c r="E64" t="s">
        <v>142</v>
      </c>
      <c r="F64">
        <v>43686</v>
      </c>
      <c r="G64">
        <v>35744</v>
      </c>
      <c r="H64" s="1">
        <v>50722.139578994043</v>
      </c>
      <c r="I64" s="1">
        <v>41500.493640199369</v>
      </c>
      <c r="J64" s="1">
        <v>92222.63321919342</v>
      </c>
      <c r="K64" s="1">
        <v>51661.053266068135</v>
      </c>
      <c r="L64" s="1">
        <v>42268.706137198438</v>
      </c>
      <c r="M64" s="1">
        <v>93929.75940326658</v>
      </c>
      <c r="N64" s="26">
        <f>ProjPop20_21_22_23admin2!AA63</f>
        <v>54387.453847609038</v>
      </c>
      <c r="O64" s="26">
        <f>ProjPop20_21_22_23admin2!AB63</f>
        <v>44499.427690627002</v>
      </c>
      <c r="P64" s="26">
        <f>ProjPop20_21_22_23admin2!AC63</f>
        <v>98886.881538236048</v>
      </c>
    </row>
    <row r="65" spans="1:16" x14ac:dyDescent="0.35">
      <c r="A65" t="s">
        <v>147</v>
      </c>
      <c r="B65" t="s">
        <v>146</v>
      </c>
      <c r="C65" t="s">
        <v>146</v>
      </c>
      <c r="D65" t="s">
        <v>149</v>
      </c>
      <c r="E65" t="s">
        <v>148</v>
      </c>
      <c r="F65">
        <v>56054</v>
      </c>
      <c r="G65">
        <v>45861</v>
      </c>
      <c r="H65" s="1">
        <v>66218.456008166977</v>
      </c>
      <c r="I65" s="1">
        <v>54177.427133387318</v>
      </c>
      <c r="J65" s="1">
        <v>120395.8831415543</v>
      </c>
      <c r="K65" s="1">
        <v>67444.220835893808</v>
      </c>
      <c r="L65" s="1">
        <v>55180.301386883184</v>
      </c>
      <c r="M65" s="1">
        <v>122624.52222277698</v>
      </c>
      <c r="N65" s="26">
        <f>ProjPop20_21_22_23admin2!AA64</f>
        <v>71003.574571124933</v>
      </c>
      <c r="O65" s="26">
        <f>ProjPop20_21_22_23admin2!AB64</f>
        <v>58092.429504286752</v>
      </c>
      <c r="P65" s="26">
        <f>ProjPop20_21_22_23admin2!AC64</f>
        <v>129096.00407541168</v>
      </c>
    </row>
    <row r="66" spans="1:16" x14ac:dyDescent="0.35">
      <c r="A66" t="s">
        <v>151</v>
      </c>
      <c r="B66" t="s">
        <v>150</v>
      </c>
      <c r="C66" t="s">
        <v>150</v>
      </c>
      <c r="D66" t="s">
        <v>149</v>
      </c>
      <c r="E66" t="s">
        <v>148</v>
      </c>
      <c r="F66">
        <v>19686</v>
      </c>
      <c r="G66">
        <v>16108</v>
      </c>
      <c r="H66" s="1">
        <v>23254.764362503862</v>
      </c>
      <c r="I66" s="1">
        <v>19028.776874149731</v>
      </c>
      <c r="J66" s="1">
        <v>42283.541236653589</v>
      </c>
      <c r="K66" s="1">
        <v>23685.231545687911</v>
      </c>
      <c r="L66" s="1">
        <v>19381.01712276135</v>
      </c>
      <c r="M66" s="1">
        <v>43066.248668449261</v>
      </c>
      <c r="N66" s="26">
        <f>ProjPop20_21_22_23admin2!AA65</f>
        <v>24935.214365966734</v>
      </c>
      <c r="O66" s="26">
        <f>ProjPop20_21_22_23admin2!AB65</f>
        <v>20403.845985390391</v>
      </c>
      <c r="P66" s="26">
        <f>ProjPop20_21_22_23admin2!AC65</f>
        <v>45339.060351357126</v>
      </c>
    </row>
    <row r="67" spans="1:16" x14ac:dyDescent="0.35">
      <c r="A67" t="s">
        <v>153</v>
      </c>
      <c r="B67" t="s">
        <v>152</v>
      </c>
      <c r="C67" t="s">
        <v>152</v>
      </c>
      <c r="D67" t="s">
        <v>155</v>
      </c>
      <c r="E67" t="s">
        <v>154</v>
      </c>
      <c r="F67">
        <v>195195</v>
      </c>
      <c r="G67">
        <v>197435</v>
      </c>
      <c r="H67" s="1">
        <v>227691.92534952291</v>
      </c>
      <c r="I67" s="1">
        <v>230304.48493874402</v>
      </c>
      <c r="J67" s="1">
        <v>457996.4102882669</v>
      </c>
      <c r="K67" s="1">
        <v>231906.71334784807</v>
      </c>
      <c r="L67" s="1">
        <v>234567.63382990568</v>
      </c>
      <c r="M67" s="1">
        <v>466474.34717775375</v>
      </c>
      <c r="N67" s="26">
        <f>ProjPop20_21_22_23admin2!AA66</f>
        <v>326878.07996935892</v>
      </c>
      <c r="O67" s="26">
        <f>ProjPop20_21_22_23admin2!AB66</f>
        <v>330628.71127092664</v>
      </c>
      <c r="P67" s="26">
        <f>ProjPop20_21_22_23admin2!AC66</f>
        <v>657506.7912402855</v>
      </c>
    </row>
    <row r="68" spans="1:16" x14ac:dyDescent="0.35">
      <c r="A68" t="s">
        <v>157</v>
      </c>
      <c r="B68" t="s">
        <v>156</v>
      </c>
      <c r="C68" t="s">
        <v>156</v>
      </c>
      <c r="D68" t="s">
        <v>155</v>
      </c>
      <c r="E68" t="s">
        <v>154</v>
      </c>
      <c r="F68">
        <v>51384</v>
      </c>
      <c r="G68">
        <v>53247</v>
      </c>
      <c r="H68" s="1">
        <v>59938.640658416487</v>
      </c>
      <c r="I68" s="1">
        <v>62112.858229123158</v>
      </c>
      <c r="J68" s="1">
        <v>122051.49888753964</v>
      </c>
      <c r="K68" s="1">
        <v>61048.160299463118</v>
      </c>
      <c r="L68" s="1">
        <v>63262.624647075449</v>
      </c>
      <c r="M68" s="1">
        <v>124310.78494653857</v>
      </c>
      <c r="N68" s="26">
        <f>ProjPop20_21_22_23admin2!AA67</f>
        <v>86048.847557156405</v>
      </c>
      <c r="O68" s="26">
        <f>ProjPop20_21_22_23admin2!AB67</f>
        <v>89170.188218917945</v>
      </c>
      <c r="P68" s="26">
        <f>ProjPop20_21_22_23admin2!AC67</f>
        <v>175219.03577607436</v>
      </c>
    </row>
    <row r="69" spans="1:16" x14ac:dyDescent="0.35">
      <c r="A69" t="s">
        <v>159</v>
      </c>
      <c r="B69" t="s">
        <v>158</v>
      </c>
      <c r="C69" t="s">
        <v>158</v>
      </c>
      <c r="D69" t="s">
        <v>161</v>
      </c>
      <c r="E69" t="s">
        <v>160</v>
      </c>
      <c r="F69">
        <v>9733</v>
      </c>
      <c r="G69">
        <v>8731</v>
      </c>
      <c r="H69" s="1">
        <v>11570.78872815734</v>
      </c>
      <c r="I69" s="1">
        <v>10379.239297547632</v>
      </c>
      <c r="J69" s="1">
        <v>21950.028025704971</v>
      </c>
      <c r="K69" s="1">
        <v>11784.974722622146</v>
      </c>
      <c r="L69" s="1">
        <v>10571.368610679378</v>
      </c>
      <c r="M69" s="1">
        <v>22356.34333330152</v>
      </c>
      <c r="N69" s="26">
        <f>ProjPop20_21_22_23admin2!AA68</f>
        <v>12406.924139172384</v>
      </c>
      <c r="O69" s="26">
        <f>ProjPop20_21_22_23admin2!AB68</f>
        <v>11129.270234933914</v>
      </c>
      <c r="P69" s="26">
        <f>ProjPop20_21_22_23admin2!AC68</f>
        <v>23536.194374106297</v>
      </c>
    </row>
    <row r="70" spans="1:16" x14ac:dyDescent="0.35">
      <c r="A70" t="s">
        <v>163</v>
      </c>
      <c r="B70" t="s">
        <v>162</v>
      </c>
      <c r="C70" t="s">
        <v>162</v>
      </c>
      <c r="D70" t="s">
        <v>161</v>
      </c>
      <c r="E70" t="s">
        <v>160</v>
      </c>
      <c r="F70">
        <v>7813</v>
      </c>
      <c r="G70">
        <v>6427</v>
      </c>
      <c r="H70" s="1">
        <v>9288.5291106337318</v>
      </c>
      <c r="I70" s="1">
        <v>7640.1161677695218</v>
      </c>
      <c r="J70" s="1">
        <v>16928.645278403255</v>
      </c>
      <c r="K70" s="1">
        <v>9460.4683700409169</v>
      </c>
      <c r="L70" s="1">
        <v>7781.5417799439256</v>
      </c>
      <c r="M70" s="1">
        <v>17242.010149984846</v>
      </c>
      <c r="N70" s="26">
        <f>ProjPop20_21_22_23admin2!AA69</f>
        <v>9959.7424814859151</v>
      </c>
      <c r="O70" s="26">
        <f>ProjPop20_21_22_23admin2!AB69</f>
        <v>8192.2109144824335</v>
      </c>
      <c r="P70" s="26">
        <f>ProjPop20_21_22_23admin2!AC69</f>
        <v>18151.953395968354</v>
      </c>
    </row>
    <row r="71" spans="1:16" x14ac:dyDescent="0.35">
      <c r="A71" t="s">
        <v>165</v>
      </c>
      <c r="B71" t="s">
        <v>164</v>
      </c>
      <c r="C71" t="s">
        <v>164</v>
      </c>
      <c r="D71" t="s">
        <v>167</v>
      </c>
      <c r="E71" t="s">
        <v>166</v>
      </c>
      <c r="F71">
        <v>27744</v>
      </c>
      <c r="G71">
        <v>22698</v>
      </c>
      <c r="H71" s="1">
        <v>32855.071951095058</v>
      </c>
      <c r="I71" s="1">
        <v>26879.832276180899</v>
      </c>
      <c r="J71" s="1">
        <v>59734.904227275954</v>
      </c>
      <c r="K71" s="1">
        <v>33463.249701496221</v>
      </c>
      <c r="L71" s="1">
        <v>27377.40281716836</v>
      </c>
      <c r="M71" s="1">
        <v>60840.652518664581</v>
      </c>
      <c r="N71" s="26">
        <f>ProjPop20_21_22_23admin2!AA70</f>
        <v>35229.265252447673</v>
      </c>
      <c r="O71" s="26">
        <f>ProjPop20_21_22_23admin2!AB70</f>
        <v>28822.239154077371</v>
      </c>
      <c r="P71" s="26">
        <f>ProjPop20_21_22_23admin2!AC70</f>
        <v>64051.504406525048</v>
      </c>
    </row>
    <row r="72" spans="1:16" x14ac:dyDescent="0.35">
      <c r="A72" t="s">
        <v>169</v>
      </c>
      <c r="B72" t="s">
        <v>168</v>
      </c>
      <c r="C72" t="s">
        <v>168</v>
      </c>
      <c r="D72" t="s">
        <v>167</v>
      </c>
      <c r="E72" t="s">
        <v>166</v>
      </c>
      <c r="F72">
        <v>15044</v>
      </c>
      <c r="G72">
        <v>12309</v>
      </c>
      <c r="H72" s="1">
        <v>17691.113437368535</v>
      </c>
      <c r="I72" s="1">
        <v>14474.547357846983</v>
      </c>
      <c r="J72" s="1">
        <v>32165.660795215517</v>
      </c>
      <c r="K72" s="1">
        <v>18018.592299336815</v>
      </c>
      <c r="L72" s="1">
        <v>14742.484608548304</v>
      </c>
      <c r="M72" s="1">
        <v>32761.076907885119</v>
      </c>
      <c r="N72" s="26">
        <f>ProjPop20_21_22_23admin2!AA71</f>
        <v>18969.519495312645</v>
      </c>
      <c r="O72" s="26">
        <f>ProjPop20_21_22_23admin2!AB71</f>
        <v>15520.515950710347</v>
      </c>
      <c r="P72" s="26">
        <f>ProjPop20_21_22_23admin2!AC71</f>
        <v>34490.035446022994</v>
      </c>
    </row>
  </sheetData>
  <mergeCells count="3">
    <mergeCell ref="H1:J1"/>
    <mergeCell ref="K1:M1"/>
    <mergeCell ref="N1:P1"/>
  </mergeCells>
  <pageMargins left="0.7" right="0.7" top="0.75" bottom="0.75" header="0.3" footer="0.3"/>
  <legacyDrawing r:id="rId1"/>
  <tableParts count="1">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S27"/>
  <sheetViews>
    <sheetView workbookViewId="0">
      <selection activeCell="M6" sqref="M6"/>
    </sheetView>
  </sheetViews>
  <sheetFormatPr baseColWidth="10" defaultColWidth="11.453125" defaultRowHeight="14.5" x14ac:dyDescent="0.35"/>
  <cols>
    <col min="1" max="1" width="14.7265625" bestFit="1" customWidth="1"/>
    <col min="2" max="2" width="16.81640625" bestFit="1" customWidth="1"/>
    <col min="3" max="3" width="17.26953125" bestFit="1" customWidth="1"/>
    <col min="4" max="4" width="12.7265625" style="1" bestFit="1" customWidth="1"/>
    <col min="5" max="5" width="10.7265625" style="1" bestFit="1" customWidth="1"/>
    <col min="6" max="8" width="11.54296875" style="1"/>
    <col min="9" max="9" width="11.26953125" bestFit="1" customWidth="1"/>
    <col min="10" max="10" width="11.26953125" customWidth="1"/>
    <col min="11" max="11" width="13.26953125" customWidth="1"/>
    <col min="12" max="12" width="17.54296875" bestFit="1" customWidth="1"/>
    <col min="13" max="13" width="12.81640625" bestFit="1" customWidth="1"/>
    <col min="15" max="15" width="13.7265625" bestFit="1" customWidth="1"/>
    <col min="16" max="16" width="9.81640625" bestFit="1" customWidth="1"/>
    <col min="19" max="19" width="16" customWidth="1"/>
  </cols>
  <sheetData>
    <row r="1" spans="1:19" x14ac:dyDescent="0.35">
      <c r="A1" t="s">
        <v>4</v>
      </c>
      <c r="B1" t="s">
        <v>3</v>
      </c>
      <c r="C1" t="s">
        <v>205</v>
      </c>
      <c r="D1" s="1" t="s">
        <v>221</v>
      </c>
      <c r="E1" s="1" t="s">
        <v>222</v>
      </c>
      <c r="F1" s="1" t="s">
        <v>209</v>
      </c>
      <c r="G1" s="1" t="s">
        <v>210</v>
      </c>
      <c r="H1" s="1" t="s">
        <v>211</v>
      </c>
      <c r="I1" s="25" t="s">
        <v>260</v>
      </c>
      <c r="J1" s="25" t="s">
        <v>307</v>
      </c>
      <c r="K1" s="40" t="s">
        <v>333</v>
      </c>
      <c r="L1" s="9"/>
    </row>
    <row r="2" spans="1:19" x14ac:dyDescent="0.35">
      <c r="A2" t="s">
        <v>143</v>
      </c>
      <c r="B2" t="s">
        <v>142</v>
      </c>
      <c r="C2" t="s">
        <v>142</v>
      </c>
      <c r="D2" s="1">
        <v>330173</v>
      </c>
      <c r="E2" s="1">
        <v>337694</v>
      </c>
      <c r="F2" s="1">
        <v>349221</v>
      </c>
      <c r="G2" s="1">
        <v>361143</v>
      </c>
      <c r="H2" s="1">
        <v>373443</v>
      </c>
      <c r="I2" s="26">
        <v>384262.34370913851</v>
      </c>
      <c r="J2" s="26">
        <v>722960.25235927501</v>
      </c>
      <c r="K2" s="38">
        <v>412030.14418007602</v>
      </c>
      <c r="L2" s="9" t="s">
        <v>257</v>
      </c>
    </row>
    <row r="3" spans="1:19" x14ac:dyDescent="0.35">
      <c r="A3" t="s">
        <v>8</v>
      </c>
      <c r="B3" t="s">
        <v>7</v>
      </c>
      <c r="C3" t="s">
        <v>7</v>
      </c>
      <c r="D3" s="1">
        <v>626881</v>
      </c>
      <c r="E3" s="1">
        <v>626592</v>
      </c>
      <c r="F3" s="1">
        <v>646664</v>
      </c>
      <c r="G3" s="1">
        <v>667646</v>
      </c>
      <c r="H3" s="1">
        <v>689835</v>
      </c>
      <c r="I3" s="27">
        <v>709820.81300919701</v>
      </c>
      <c r="J3" s="27">
        <v>144734.58106876712</v>
      </c>
      <c r="K3" s="38">
        <v>761114.31867905578</v>
      </c>
      <c r="L3" s="9" t="s">
        <v>7</v>
      </c>
    </row>
    <row r="4" spans="1:19" x14ac:dyDescent="0.35">
      <c r="A4" t="s">
        <v>16</v>
      </c>
      <c r="B4" t="s">
        <v>14</v>
      </c>
      <c r="C4" t="s">
        <v>14</v>
      </c>
      <c r="D4" s="1">
        <v>120104</v>
      </c>
      <c r="E4" s="1">
        <v>125005</v>
      </c>
      <c r="F4" s="1">
        <v>129275</v>
      </c>
      <c r="G4" s="1">
        <v>133644</v>
      </c>
      <c r="H4" s="1">
        <v>138103</v>
      </c>
      <c r="I4" s="26">
        <v>142104.10277676419</v>
      </c>
      <c r="J4" s="26">
        <v>885668.36090629664</v>
      </c>
      <c r="K4" s="38">
        <v>152372.91635323467</v>
      </c>
      <c r="L4" s="9" t="s">
        <v>14</v>
      </c>
    </row>
    <row r="5" spans="1:19" x14ac:dyDescent="0.35">
      <c r="A5" t="s">
        <v>20</v>
      </c>
      <c r="B5" t="s">
        <v>19</v>
      </c>
      <c r="C5" t="s">
        <v>19</v>
      </c>
      <c r="D5" s="1">
        <v>742342</v>
      </c>
      <c r="E5" s="1">
        <v>762056</v>
      </c>
      <c r="F5" s="1">
        <v>788626</v>
      </c>
      <c r="G5" s="1">
        <v>816270</v>
      </c>
      <c r="H5" s="1">
        <v>845088</v>
      </c>
      <c r="I5" s="27">
        <v>869571.78343272861</v>
      </c>
      <c r="J5" s="27">
        <v>666353.59698417597</v>
      </c>
      <c r="K5" s="38">
        <v>932409.3114206238</v>
      </c>
      <c r="L5" s="9" t="s">
        <v>258</v>
      </c>
    </row>
    <row r="6" spans="1:19" ht="15.5" x14ac:dyDescent="0.35">
      <c r="A6" t="s">
        <v>149</v>
      </c>
      <c r="B6" t="s">
        <v>148</v>
      </c>
      <c r="C6" t="s">
        <v>148</v>
      </c>
      <c r="D6" s="1">
        <v>137709</v>
      </c>
      <c r="E6" s="1">
        <v>143078</v>
      </c>
      <c r="F6" s="1">
        <v>147956</v>
      </c>
      <c r="G6" s="1">
        <v>152922</v>
      </c>
      <c r="H6" s="1">
        <v>158099</v>
      </c>
      <c r="I6" s="26">
        <v>162679.42437820788</v>
      </c>
      <c r="J6" s="26">
        <v>861705.40430044907</v>
      </c>
      <c r="K6" s="33">
        <v>174435.0644267688</v>
      </c>
      <c r="L6" s="9" t="s">
        <v>148</v>
      </c>
    </row>
    <row r="7" spans="1:19" ht="15.5" x14ac:dyDescent="0.35">
      <c r="A7" t="s">
        <v>167</v>
      </c>
      <c r="B7" t="s">
        <v>166</v>
      </c>
      <c r="C7" t="s">
        <v>166</v>
      </c>
      <c r="D7" s="1">
        <v>77795</v>
      </c>
      <c r="E7" s="1">
        <v>80828</v>
      </c>
      <c r="F7" s="1">
        <v>83584</v>
      </c>
      <c r="G7" s="1">
        <v>86388</v>
      </c>
      <c r="H7" s="1">
        <v>89313</v>
      </c>
      <c r="I7" s="27">
        <v>91900.565022491472</v>
      </c>
      <c r="J7" s="27">
        <v>522194.37839853187</v>
      </c>
      <c r="K7" s="33">
        <v>98541.539852548041</v>
      </c>
      <c r="L7" s="9" t="s">
        <v>166</v>
      </c>
    </row>
    <row r="8" spans="1:19" x14ac:dyDescent="0.35">
      <c r="A8" t="s">
        <v>27</v>
      </c>
      <c r="B8" t="s">
        <v>188</v>
      </c>
      <c r="C8" t="s">
        <v>26</v>
      </c>
      <c r="D8" s="1">
        <v>690921</v>
      </c>
      <c r="E8" s="1">
        <v>600448</v>
      </c>
      <c r="F8" s="1">
        <v>610900</v>
      </c>
      <c r="G8" s="1">
        <v>622190</v>
      </c>
      <c r="H8" s="1">
        <v>635822</v>
      </c>
      <c r="I8" s="26">
        <v>654242.95515468728</v>
      </c>
      <c r="J8" s="26">
        <v>669329.97121381108</v>
      </c>
      <c r="K8" s="38">
        <v>701520.25967246469</v>
      </c>
      <c r="L8" s="9" t="s">
        <v>188</v>
      </c>
    </row>
    <row r="9" spans="1:19" x14ac:dyDescent="0.35">
      <c r="A9" t="s">
        <v>36</v>
      </c>
      <c r="B9" t="s">
        <v>206</v>
      </c>
      <c r="C9" t="s">
        <v>206</v>
      </c>
      <c r="D9" s="1">
        <v>727497</v>
      </c>
      <c r="E9" s="1">
        <v>742989</v>
      </c>
      <c r="F9" s="1">
        <v>768212</v>
      </c>
      <c r="G9" s="1">
        <v>794345</v>
      </c>
      <c r="H9" s="1">
        <v>822223</v>
      </c>
      <c r="I9" s="27">
        <v>846044.3415234962</v>
      </c>
      <c r="J9" s="27">
        <v>1082123.7323295434</v>
      </c>
      <c r="K9" s="38">
        <v>907181.71511629492</v>
      </c>
      <c r="L9" s="9" t="s">
        <v>39</v>
      </c>
    </row>
    <row r="10" spans="1:19" x14ac:dyDescent="0.35">
      <c r="A10" t="s">
        <v>44</v>
      </c>
      <c r="B10" t="s">
        <v>42</v>
      </c>
      <c r="C10" t="s">
        <v>42</v>
      </c>
      <c r="D10" s="1">
        <v>427864</v>
      </c>
      <c r="E10" s="1">
        <v>448332.00000000006</v>
      </c>
      <c r="F10" s="1">
        <v>464480</v>
      </c>
      <c r="G10" s="1">
        <v>481131</v>
      </c>
      <c r="H10" s="1">
        <v>498268</v>
      </c>
      <c r="I10" s="26">
        <v>512703.75793699443</v>
      </c>
      <c r="J10" s="26">
        <v>1216910.5161491218</v>
      </c>
      <c r="K10" s="38">
        <v>549753.07042927039</v>
      </c>
      <c r="L10" s="9" t="s">
        <v>42</v>
      </c>
    </row>
    <row r="11" spans="1:19" x14ac:dyDescent="0.35">
      <c r="A11" t="s">
        <v>53</v>
      </c>
      <c r="B11" t="s">
        <v>52</v>
      </c>
      <c r="C11" t="s">
        <v>52</v>
      </c>
      <c r="D11" s="1">
        <v>556720</v>
      </c>
      <c r="E11" s="1">
        <v>575876</v>
      </c>
      <c r="F11" s="1">
        <v>596068</v>
      </c>
      <c r="G11" s="1">
        <v>616984</v>
      </c>
      <c r="H11" s="1">
        <v>638662</v>
      </c>
      <c r="I11" s="27">
        <v>657165.23527811689</v>
      </c>
      <c r="J11" s="27">
        <v>972880.31791098532</v>
      </c>
      <c r="K11" s="38">
        <v>704653.71138924977</v>
      </c>
      <c r="L11" s="9" t="s">
        <v>52</v>
      </c>
    </row>
    <row r="12" spans="1:19" x14ac:dyDescent="0.35">
      <c r="A12" t="s">
        <v>59</v>
      </c>
      <c r="B12" t="s">
        <v>58</v>
      </c>
      <c r="C12" t="s">
        <v>58</v>
      </c>
      <c r="D12" s="1">
        <v>884310</v>
      </c>
      <c r="E12" s="1">
        <v>927752.00000000023</v>
      </c>
      <c r="F12" s="1">
        <v>961503</v>
      </c>
      <c r="G12" s="1">
        <v>996384</v>
      </c>
      <c r="H12" s="1">
        <v>1032542</v>
      </c>
      <c r="I12" s="26">
        <v>1062456.6771853303</v>
      </c>
      <c r="J12" s="26">
        <v>1201741.487768932</v>
      </c>
      <c r="K12" s="38">
        <v>1139232.5713214169</v>
      </c>
      <c r="L12" s="9" t="s">
        <v>58</v>
      </c>
    </row>
    <row r="13" spans="1:19" x14ac:dyDescent="0.35">
      <c r="A13" t="s">
        <v>69</v>
      </c>
      <c r="B13" t="s">
        <v>68</v>
      </c>
      <c r="C13" t="s">
        <v>68</v>
      </c>
      <c r="D13" s="1">
        <v>1000192</v>
      </c>
      <c r="E13" s="1">
        <v>1045090</v>
      </c>
      <c r="F13" s="1">
        <v>1082404</v>
      </c>
      <c r="G13" s="1">
        <v>1121022</v>
      </c>
      <c r="H13" s="1">
        <v>1161153</v>
      </c>
      <c r="I13" s="27">
        <v>1194793.7789298429</v>
      </c>
      <c r="J13" s="27">
        <v>885983.81465387414</v>
      </c>
      <c r="K13" s="38">
        <v>1281132.6976409457</v>
      </c>
      <c r="L13" s="9" t="s">
        <v>68</v>
      </c>
    </row>
    <row r="14" spans="1:19" x14ac:dyDescent="0.35">
      <c r="A14" t="s">
        <v>83</v>
      </c>
      <c r="B14" t="s">
        <v>82</v>
      </c>
      <c r="C14" t="s">
        <v>82</v>
      </c>
      <c r="D14" s="1">
        <v>806050</v>
      </c>
      <c r="E14" s="1">
        <v>838080</v>
      </c>
      <c r="F14" s="1">
        <v>867102</v>
      </c>
      <c r="G14" s="1">
        <v>897129</v>
      </c>
      <c r="H14" s="1">
        <v>928304</v>
      </c>
      <c r="I14" s="26">
        <v>955198.70693671622</v>
      </c>
      <c r="J14" s="26">
        <v>919928.10511994862</v>
      </c>
      <c r="K14" s="38">
        <v>1024223.8600347072</v>
      </c>
      <c r="L14" s="9" t="s">
        <v>82</v>
      </c>
    </row>
    <row r="15" spans="1:19" x14ac:dyDescent="0.35">
      <c r="A15" t="s">
        <v>91</v>
      </c>
      <c r="B15" t="s">
        <v>90</v>
      </c>
      <c r="C15" t="s">
        <v>90</v>
      </c>
      <c r="D15" s="1">
        <v>994344</v>
      </c>
      <c r="E15" s="1">
        <v>1030686</v>
      </c>
      <c r="F15" s="1">
        <v>1067875</v>
      </c>
      <c r="G15" s="1">
        <v>1106515</v>
      </c>
      <c r="H15" s="1">
        <v>1146679</v>
      </c>
      <c r="I15" s="27">
        <v>1179900.440019096</v>
      </c>
      <c r="J15" s="27">
        <v>1120274.7714427151</v>
      </c>
      <c r="K15" s="38">
        <v>1265163.127166034</v>
      </c>
      <c r="L15" s="9" t="s">
        <v>254</v>
      </c>
      <c r="M15" s="13"/>
      <c r="N15" s="9">
        <v>2020</v>
      </c>
      <c r="O15" s="9" t="s">
        <v>253</v>
      </c>
      <c r="P15" s="9" t="s">
        <v>261</v>
      </c>
      <c r="Q15" s="39" t="s">
        <v>301</v>
      </c>
      <c r="R15" s="39" t="s">
        <v>332</v>
      </c>
      <c r="S15" s="39" t="s">
        <v>327</v>
      </c>
    </row>
    <row r="16" spans="1:19" ht="15.5" x14ac:dyDescent="0.35">
      <c r="A16" t="s">
        <v>101</v>
      </c>
      <c r="B16" t="s">
        <v>100</v>
      </c>
      <c r="C16" t="s">
        <v>100</v>
      </c>
      <c r="D16" s="1">
        <v>724432</v>
      </c>
      <c r="E16" s="1">
        <v>757831</v>
      </c>
      <c r="F16" s="1">
        <v>785944</v>
      </c>
      <c r="G16" s="1">
        <v>815107</v>
      </c>
      <c r="H16" s="1">
        <v>845389</v>
      </c>
      <c r="I16" s="26">
        <v>869881.50396693707</v>
      </c>
      <c r="J16" s="26">
        <v>472137.84236681997</v>
      </c>
      <c r="K16" s="38">
        <v>932741.41316948016</v>
      </c>
      <c r="L16" s="9" t="s">
        <v>255</v>
      </c>
      <c r="M16" s="13" t="s">
        <v>148</v>
      </c>
      <c r="N16" s="12">
        <v>158099</v>
      </c>
      <c r="O16" s="10">
        <f>N16/$N$18</f>
        <v>0.63901104230999306</v>
      </c>
      <c r="P16" s="11">
        <f>O16*$P$19</f>
        <v>162679.42437820788</v>
      </c>
      <c r="Q16" s="33">
        <v>165690.77089122625</v>
      </c>
      <c r="R16">
        <f>Q16/$Q$18</f>
        <v>0.63901104230999317</v>
      </c>
      <c r="S16" s="33">
        <f>R16*$S$19</f>
        <v>174435.0644267688</v>
      </c>
    </row>
    <row r="17" spans="1:19" ht="15.5" x14ac:dyDescent="0.35">
      <c r="A17" t="s">
        <v>107</v>
      </c>
      <c r="B17" t="s">
        <v>106</v>
      </c>
      <c r="C17" t="s">
        <v>106</v>
      </c>
      <c r="D17" s="1">
        <v>754641</v>
      </c>
      <c r="E17" s="1">
        <v>789918</v>
      </c>
      <c r="F17" s="1">
        <v>818259</v>
      </c>
      <c r="G17" s="1">
        <v>847520</v>
      </c>
      <c r="H17" s="1">
        <v>877778</v>
      </c>
      <c r="I17" s="27">
        <v>903208.87400840339</v>
      </c>
      <c r="J17" s="27">
        <v>1044039.7664384482</v>
      </c>
      <c r="K17" s="38">
        <v>968477.10600573209</v>
      </c>
      <c r="L17" s="9" t="s">
        <v>256</v>
      </c>
      <c r="M17" s="13" t="s">
        <v>166</v>
      </c>
      <c r="N17" s="11">
        <v>89313</v>
      </c>
      <c r="O17" s="10">
        <f>N17/$N$18</f>
        <v>0.36098895769000694</v>
      </c>
      <c r="P17" s="11">
        <f>O17*$P$19</f>
        <v>91900.565022491472</v>
      </c>
      <c r="Q17" s="33">
        <v>93601.729426549704</v>
      </c>
      <c r="R17">
        <f>Q17/$Q$18</f>
        <v>0.36098895769000683</v>
      </c>
      <c r="S17" s="33">
        <f>R17*$S$19</f>
        <v>98541.539852548041</v>
      </c>
    </row>
    <row r="18" spans="1:19" x14ac:dyDescent="0.35">
      <c r="A18" t="s">
        <v>139</v>
      </c>
      <c r="B18" t="s">
        <v>138</v>
      </c>
      <c r="C18" t="s">
        <v>137</v>
      </c>
      <c r="D18" s="1">
        <v>1221036</v>
      </c>
      <c r="E18" s="1">
        <v>1390309</v>
      </c>
      <c r="F18" s="1">
        <v>1454671</v>
      </c>
      <c r="G18" s="1">
        <v>1521882</v>
      </c>
      <c r="H18" s="1">
        <v>1592258</v>
      </c>
      <c r="I18" s="26">
        <v>1638388.6988633485</v>
      </c>
      <c r="J18" s="26">
        <v>790981.93171648204</v>
      </c>
      <c r="K18" s="38">
        <v>1756782.944952454</v>
      </c>
      <c r="L18" s="9" t="s">
        <v>259</v>
      </c>
      <c r="M18" s="13"/>
      <c r="N18" s="11">
        <f>SUM(N16:N17)</f>
        <v>247412</v>
      </c>
      <c r="O18" s="9"/>
      <c r="P18" s="11">
        <f>SUM(P16:P17)</f>
        <v>254579.98940069936</v>
      </c>
      <c r="Q18" s="1">
        <f>SUM(Q16:Q17)</f>
        <v>259292.50031777594</v>
      </c>
    </row>
    <row r="19" spans="1:19" ht="15.5" x14ac:dyDescent="0.35">
      <c r="A19" t="s">
        <v>112</v>
      </c>
      <c r="B19" t="s">
        <v>207</v>
      </c>
      <c r="C19" t="s">
        <v>204</v>
      </c>
      <c r="D19" s="1">
        <v>925533</v>
      </c>
      <c r="E19" s="1">
        <v>963233.99999999988</v>
      </c>
      <c r="F19" s="1">
        <v>997257</v>
      </c>
      <c r="G19" s="1">
        <v>1032467</v>
      </c>
      <c r="H19" s="1">
        <v>1068945</v>
      </c>
      <c r="I19" s="27">
        <v>1099914.340330827</v>
      </c>
      <c r="J19" s="27">
        <v>1668716.788074068</v>
      </c>
      <c r="K19" s="38">
        <v>1179397.0230278014</v>
      </c>
      <c r="L19" s="9" t="s">
        <v>207</v>
      </c>
      <c r="P19" s="24">
        <v>254579.98940069936</v>
      </c>
      <c r="S19" s="24">
        <v>272976.60427931685</v>
      </c>
    </row>
    <row r="20" spans="1:19" x14ac:dyDescent="0.35">
      <c r="A20" t="s">
        <v>120</v>
      </c>
      <c r="B20" t="s">
        <v>119</v>
      </c>
      <c r="C20" t="s">
        <v>119</v>
      </c>
      <c r="D20" s="1">
        <v>387969</v>
      </c>
      <c r="E20" s="1">
        <v>405292</v>
      </c>
      <c r="F20" s="1">
        <v>419846</v>
      </c>
      <c r="G20" s="1">
        <v>434903</v>
      </c>
      <c r="H20" s="1">
        <v>450505</v>
      </c>
      <c r="I20" s="26">
        <v>463556.97429777891</v>
      </c>
      <c r="J20" s="26">
        <v>391375.39487240394</v>
      </c>
      <c r="K20" s="38">
        <v>497054.81185574527</v>
      </c>
      <c r="L20" s="9" t="s">
        <v>119</v>
      </c>
    </row>
    <row r="21" spans="1:19" x14ac:dyDescent="0.35">
      <c r="A21" t="s">
        <v>155</v>
      </c>
      <c r="B21" t="s">
        <v>154</v>
      </c>
      <c r="C21" t="s">
        <v>154</v>
      </c>
      <c r="D21" s="1">
        <v>497261</v>
      </c>
      <c r="E21" s="1">
        <v>509070</v>
      </c>
      <c r="F21" s="1">
        <v>526290</v>
      </c>
      <c r="G21" s="1">
        <v>544183</v>
      </c>
      <c r="H21" s="1">
        <v>563716</v>
      </c>
      <c r="I21" s="27">
        <v>580047.90917580656</v>
      </c>
      <c r="J21" s="27">
        <v>165690.77089122625</v>
      </c>
      <c r="K21" s="38">
        <v>621963.68590819929</v>
      </c>
      <c r="L21" s="9" t="s">
        <v>154</v>
      </c>
    </row>
    <row r="22" spans="1:19" x14ac:dyDescent="0.35">
      <c r="A22" t="s">
        <v>127</v>
      </c>
      <c r="B22" t="s">
        <v>208</v>
      </c>
      <c r="C22" t="s">
        <v>203</v>
      </c>
      <c r="D22" s="1">
        <v>849481</v>
      </c>
      <c r="E22" s="1">
        <v>893836.99999999977</v>
      </c>
      <c r="F22" s="1">
        <v>926792</v>
      </c>
      <c r="G22" s="1">
        <v>960885</v>
      </c>
      <c r="H22" s="1">
        <v>996203</v>
      </c>
      <c r="I22" s="26">
        <v>1025064.868239798</v>
      </c>
      <c r="J22" s="26">
        <v>93601.729426549704</v>
      </c>
      <c r="K22" s="38">
        <v>1099138.7326114671</v>
      </c>
      <c r="L22" s="9" t="s">
        <v>208</v>
      </c>
    </row>
    <row r="23" spans="1:19" x14ac:dyDescent="0.35">
      <c r="A23" t="s">
        <v>161</v>
      </c>
      <c r="B23" t="s">
        <v>160</v>
      </c>
      <c r="C23" t="s">
        <v>160</v>
      </c>
      <c r="D23" s="1">
        <v>32704</v>
      </c>
      <c r="E23" s="1">
        <v>34131</v>
      </c>
      <c r="F23" s="1">
        <v>35326</v>
      </c>
      <c r="G23" s="1">
        <v>36545</v>
      </c>
      <c r="H23" s="1">
        <v>37784</v>
      </c>
      <c r="I23" s="27">
        <v>38878.673304108226</v>
      </c>
      <c r="J23" s="27">
        <v>590785.13212429231</v>
      </c>
      <c r="K23" s="38">
        <v>41688.147770074647</v>
      </c>
      <c r="L23" s="9" t="s">
        <v>160</v>
      </c>
    </row>
    <row r="24" spans="1:19" x14ac:dyDescent="0.35">
      <c r="A24" t="s">
        <v>131</v>
      </c>
      <c r="B24" t="s">
        <v>130</v>
      </c>
      <c r="C24" t="s">
        <v>130</v>
      </c>
      <c r="D24" s="1">
        <v>652451</v>
      </c>
      <c r="E24" s="1">
        <v>678089.00000000012</v>
      </c>
      <c r="F24" s="1">
        <v>702676</v>
      </c>
      <c r="G24" s="1">
        <v>728223</v>
      </c>
      <c r="H24" s="1">
        <v>754740</v>
      </c>
      <c r="I24" s="26">
        <v>776606.23252018436</v>
      </c>
      <c r="J24" s="26">
        <v>39598.353483286366</v>
      </c>
      <c r="K24" s="38">
        <v>832725.82701635989</v>
      </c>
      <c r="L24" s="9" t="s">
        <v>130</v>
      </c>
    </row>
    <row r="25" spans="1:19" ht="15.5" x14ac:dyDescent="0.35">
      <c r="A25" t="s">
        <v>9</v>
      </c>
      <c r="D25" s="1">
        <v>14168410</v>
      </c>
      <c r="E25" s="1">
        <v>14706217</v>
      </c>
      <c r="F25" s="1">
        <v>15230931</v>
      </c>
      <c r="G25" s="1">
        <v>15775428</v>
      </c>
      <c r="H25" s="1">
        <v>16344852</v>
      </c>
      <c r="I25" s="14">
        <f>SUM(I2:I24)</f>
        <v>16818393</v>
      </c>
      <c r="J25" s="14">
        <f>SUM(J2:J24)</f>
        <v>17129717.000000007</v>
      </c>
      <c r="K25" s="14"/>
      <c r="L25" s="9"/>
    </row>
    <row r="27" spans="1:19" x14ac:dyDescent="0.35">
      <c r="I27" s="1">
        <v>16818392.999999996</v>
      </c>
      <c r="J27" s="1"/>
      <c r="K27" s="1"/>
    </row>
  </sheetData>
  <pageMargins left="0.7" right="0.7" top="0.75" bottom="0.75" header="0.3" footer="0.3"/>
  <pageSetup paperSize="9" orientation="portrait" horizontalDpi="1200" verticalDpi="1200" r:id="rId1"/>
  <legacyDrawing r:id="rId2"/>
  <tableParts count="1">
    <tablePart r:id="rId3"/>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N72"/>
  <sheetViews>
    <sheetView tabSelected="1" workbookViewId="0">
      <selection activeCell="A2" sqref="A2:V2"/>
    </sheetView>
  </sheetViews>
  <sheetFormatPr baseColWidth="10" defaultColWidth="11.54296875" defaultRowHeight="14.5" x14ac:dyDescent="0.35"/>
  <cols>
    <col min="1" max="1" width="14.453125" style="1" customWidth="1"/>
    <col min="2" max="2" width="16.54296875" style="1" customWidth="1"/>
    <col min="3" max="3" width="17" style="1" customWidth="1"/>
    <col min="4" max="4" width="11.54296875" style="4"/>
    <col min="5" max="16384" width="11.54296875" style="1"/>
  </cols>
  <sheetData>
    <row r="1" spans="1:40" x14ac:dyDescent="0.35">
      <c r="E1" s="71" t="s">
        <v>251</v>
      </c>
      <c r="F1" s="71"/>
      <c r="G1" s="71"/>
      <c r="H1" s="71"/>
      <c r="I1" s="71"/>
      <c r="J1" s="71"/>
      <c r="K1" s="71"/>
      <c r="L1" s="71"/>
      <c r="M1" s="71"/>
      <c r="N1" s="71"/>
      <c r="O1" s="71"/>
      <c r="P1" s="71"/>
      <c r="Q1" s="71"/>
      <c r="R1" s="71"/>
      <c r="S1" s="71"/>
      <c r="T1" s="71"/>
      <c r="U1" s="71"/>
    </row>
    <row r="2" spans="1:40" x14ac:dyDescent="0.35">
      <c r="A2" s="1" t="s">
        <v>4</v>
      </c>
      <c r="B2" s="1" t="s">
        <v>3</v>
      </c>
      <c r="C2" s="1" t="s">
        <v>205</v>
      </c>
      <c r="D2" s="5" t="s">
        <v>250</v>
      </c>
      <c r="E2" s="7" t="s">
        <v>229</v>
      </c>
      <c r="F2" s="6" t="s">
        <v>230</v>
      </c>
      <c r="G2" s="6" t="s">
        <v>231</v>
      </c>
      <c r="H2" s="6" t="s">
        <v>232</v>
      </c>
      <c r="I2" s="6" t="s">
        <v>233</v>
      </c>
      <c r="J2" s="6" t="s">
        <v>234</v>
      </c>
      <c r="K2" s="6" t="s">
        <v>235</v>
      </c>
      <c r="L2" s="6" t="s">
        <v>236</v>
      </c>
      <c r="M2" s="6" t="s">
        <v>237</v>
      </c>
      <c r="N2" s="6" t="s">
        <v>238</v>
      </c>
      <c r="O2" s="6" t="s">
        <v>239</v>
      </c>
      <c r="P2" s="6" t="s">
        <v>240</v>
      </c>
      <c r="Q2" s="6" t="s">
        <v>241</v>
      </c>
      <c r="R2" s="6" t="s">
        <v>242</v>
      </c>
      <c r="S2" s="6" t="s">
        <v>243</v>
      </c>
      <c r="T2" s="6" t="s">
        <v>244</v>
      </c>
      <c r="U2" s="6" t="s">
        <v>245</v>
      </c>
      <c r="V2" s="1" t="s">
        <v>246</v>
      </c>
      <c r="W2" s="36" t="s">
        <v>308</v>
      </c>
      <c r="X2" s="36" t="s">
        <v>309</v>
      </c>
      <c r="Y2" s="36" t="s">
        <v>310</v>
      </c>
      <c r="Z2" s="36" t="s">
        <v>311</v>
      </c>
      <c r="AA2" s="36" t="s">
        <v>312</v>
      </c>
      <c r="AB2" s="36" t="s">
        <v>313</v>
      </c>
      <c r="AC2" s="36" t="s">
        <v>314</v>
      </c>
      <c r="AD2" s="36" t="s">
        <v>315</v>
      </c>
      <c r="AE2" s="36" t="s">
        <v>316</v>
      </c>
      <c r="AF2" s="36" t="s">
        <v>317</v>
      </c>
      <c r="AG2" s="36" t="s">
        <v>318</v>
      </c>
      <c r="AH2" s="36" t="s">
        <v>319</v>
      </c>
      <c r="AI2" s="36" t="s">
        <v>320</v>
      </c>
      <c r="AJ2" s="36" t="s">
        <v>321</v>
      </c>
      <c r="AK2" s="36" t="s">
        <v>322</v>
      </c>
      <c r="AL2" s="36" t="s">
        <v>323</v>
      </c>
      <c r="AM2" s="36" t="s">
        <v>324</v>
      </c>
      <c r="AN2" s="36" t="s">
        <v>325</v>
      </c>
    </row>
    <row r="3" spans="1:40" x14ac:dyDescent="0.35">
      <c r="A3" s="1" t="s">
        <v>8</v>
      </c>
      <c r="B3" s="1" t="s">
        <v>7</v>
      </c>
      <c r="C3" s="1" t="s">
        <v>7</v>
      </c>
      <c r="D3" s="3" t="s">
        <v>248</v>
      </c>
      <c r="E3" s="2">
        <v>62595</v>
      </c>
      <c r="F3" s="2">
        <v>51417</v>
      </c>
      <c r="G3" s="2">
        <v>59533</v>
      </c>
      <c r="H3" s="2">
        <v>44850</v>
      </c>
      <c r="I3" s="2">
        <v>27264</v>
      </c>
      <c r="J3" s="2">
        <v>20064</v>
      </c>
      <c r="K3" s="2">
        <v>18803</v>
      </c>
      <c r="L3" s="2">
        <v>16410</v>
      </c>
      <c r="M3" s="2">
        <v>13177</v>
      </c>
      <c r="N3" s="2">
        <v>10619</v>
      </c>
      <c r="O3" s="2">
        <v>8148</v>
      </c>
      <c r="P3" s="2">
        <v>6116</v>
      </c>
      <c r="Q3" s="2">
        <v>4238</v>
      </c>
      <c r="R3" s="2">
        <v>2989</v>
      </c>
      <c r="S3" s="2">
        <v>2234</v>
      </c>
      <c r="T3" s="2">
        <v>1487</v>
      </c>
      <c r="U3" s="2">
        <v>1516</v>
      </c>
      <c r="V3" s="1">
        <f t="shared" ref="V3:V34" si="0">SUM(E3:U3)</f>
        <v>351460</v>
      </c>
      <c r="W3" s="35"/>
      <c r="X3" s="35"/>
      <c r="Y3" s="35"/>
      <c r="Z3" s="35"/>
      <c r="AA3" s="35"/>
      <c r="AB3" s="35"/>
      <c r="AC3" s="35"/>
      <c r="AD3" s="35"/>
      <c r="AE3" s="35"/>
      <c r="AF3" s="35"/>
      <c r="AG3" s="35"/>
      <c r="AH3" s="35"/>
      <c r="AI3" s="35"/>
      <c r="AJ3" s="35"/>
      <c r="AK3" s="35"/>
      <c r="AL3" s="35"/>
      <c r="AM3" s="35"/>
      <c r="AN3" s="35"/>
    </row>
    <row r="4" spans="1:40" x14ac:dyDescent="0.35">
      <c r="A4" s="1" t="s">
        <v>8</v>
      </c>
      <c r="B4" s="1" t="s">
        <v>7</v>
      </c>
      <c r="C4" s="1" t="s">
        <v>7</v>
      </c>
      <c r="D4" s="3" t="s">
        <v>247</v>
      </c>
      <c r="E4" s="2">
        <v>65394</v>
      </c>
      <c r="F4" s="2">
        <v>53631</v>
      </c>
      <c r="G4" s="2">
        <v>60960</v>
      </c>
      <c r="H4" s="2">
        <v>45487</v>
      </c>
      <c r="I4" s="2">
        <v>26913</v>
      </c>
      <c r="J4" s="2">
        <v>17988</v>
      </c>
      <c r="K4" s="2">
        <v>11992</v>
      </c>
      <c r="L4" s="2">
        <v>9300</v>
      </c>
      <c r="M4" s="2">
        <v>9782</v>
      </c>
      <c r="N4" s="2">
        <v>9151</v>
      </c>
      <c r="O4" s="2">
        <v>7758</v>
      </c>
      <c r="P4" s="2">
        <v>6300</v>
      </c>
      <c r="Q4" s="2">
        <v>4492</v>
      </c>
      <c r="R4" s="2">
        <v>3301</v>
      </c>
      <c r="S4" s="2">
        <v>2562</v>
      </c>
      <c r="T4" s="2">
        <v>1715</v>
      </c>
      <c r="U4" s="2">
        <v>1652</v>
      </c>
      <c r="V4" s="1">
        <f t="shared" si="0"/>
        <v>338378</v>
      </c>
      <c r="W4" s="35"/>
      <c r="X4" s="35"/>
      <c r="Y4" s="35"/>
      <c r="Z4" s="35"/>
      <c r="AA4" s="35"/>
      <c r="AB4" s="35"/>
      <c r="AC4" s="35"/>
      <c r="AD4" s="35"/>
      <c r="AE4" s="35"/>
      <c r="AF4" s="35"/>
      <c r="AG4" s="35"/>
      <c r="AH4" s="35"/>
      <c r="AI4" s="35"/>
      <c r="AJ4" s="35"/>
      <c r="AK4" s="35"/>
      <c r="AL4" s="35"/>
      <c r="AM4" s="35"/>
      <c r="AN4" s="35"/>
    </row>
    <row r="5" spans="1:40" x14ac:dyDescent="0.35">
      <c r="A5" s="1" t="s">
        <v>8</v>
      </c>
      <c r="B5" s="1" t="s">
        <v>7</v>
      </c>
      <c r="C5" s="1" t="s">
        <v>7</v>
      </c>
      <c r="D5" s="3" t="s">
        <v>246</v>
      </c>
      <c r="E5" s="2">
        <v>127989</v>
      </c>
      <c r="F5" s="2">
        <v>105049</v>
      </c>
      <c r="G5" s="2">
        <v>120493</v>
      </c>
      <c r="H5" s="2">
        <v>90336</v>
      </c>
      <c r="I5" s="2">
        <v>54176</v>
      </c>
      <c r="J5" s="2">
        <v>38052</v>
      </c>
      <c r="K5" s="2">
        <v>30795</v>
      </c>
      <c r="L5" s="2">
        <v>25710</v>
      </c>
      <c r="M5" s="2">
        <v>22959</v>
      </c>
      <c r="N5" s="2">
        <v>19770</v>
      </c>
      <c r="O5" s="2">
        <v>15906</v>
      </c>
      <c r="P5" s="2">
        <v>12416</v>
      </c>
      <c r="Q5" s="2">
        <v>8730</v>
      </c>
      <c r="R5" s="2">
        <v>6290</v>
      </c>
      <c r="S5" s="2">
        <v>4795</v>
      </c>
      <c r="T5" s="2">
        <v>3202</v>
      </c>
      <c r="U5" s="2">
        <v>3167</v>
      </c>
      <c r="V5" s="1">
        <f t="shared" si="0"/>
        <v>689835</v>
      </c>
      <c r="W5" s="35"/>
      <c r="X5" s="35"/>
      <c r="Y5" s="35"/>
      <c r="Z5" s="35"/>
      <c r="AA5" s="35"/>
      <c r="AB5" s="35"/>
      <c r="AC5" s="35"/>
      <c r="AD5" s="35"/>
      <c r="AE5" s="35"/>
      <c r="AF5" s="35"/>
      <c r="AG5" s="35"/>
      <c r="AH5" s="35"/>
      <c r="AI5" s="35"/>
      <c r="AJ5" s="35"/>
      <c r="AK5" s="35"/>
      <c r="AL5" s="35"/>
      <c r="AM5" s="35"/>
      <c r="AN5" s="35"/>
    </row>
    <row r="6" spans="1:40" x14ac:dyDescent="0.35">
      <c r="A6" s="1" t="s">
        <v>16</v>
      </c>
      <c r="B6" s="1" t="s">
        <v>14</v>
      </c>
      <c r="C6" s="1" t="s">
        <v>14</v>
      </c>
      <c r="D6" s="3" t="s">
        <v>248</v>
      </c>
      <c r="E6" s="2">
        <v>13121</v>
      </c>
      <c r="F6" s="2">
        <v>11116</v>
      </c>
      <c r="G6" s="2">
        <v>6700</v>
      </c>
      <c r="H6" s="2">
        <v>6454</v>
      </c>
      <c r="I6" s="2">
        <v>5599</v>
      </c>
      <c r="J6" s="2">
        <v>4623</v>
      </c>
      <c r="K6" s="2">
        <v>3980</v>
      </c>
      <c r="L6" s="2">
        <v>3396</v>
      </c>
      <c r="M6" s="2">
        <v>2888</v>
      </c>
      <c r="N6" s="2">
        <v>2404</v>
      </c>
      <c r="O6" s="2">
        <v>1886</v>
      </c>
      <c r="P6" s="2">
        <v>1409</v>
      </c>
      <c r="Q6" s="2">
        <v>907</v>
      </c>
      <c r="R6" s="2">
        <v>585</v>
      </c>
      <c r="S6" s="2">
        <v>392</v>
      </c>
      <c r="T6" s="2">
        <v>236</v>
      </c>
      <c r="U6" s="2">
        <v>174</v>
      </c>
      <c r="V6" s="1">
        <f t="shared" si="0"/>
        <v>65870</v>
      </c>
      <c r="W6" s="35"/>
      <c r="X6" s="35"/>
      <c r="Y6" s="35"/>
      <c r="Z6" s="35"/>
      <c r="AA6" s="35"/>
      <c r="AB6" s="35"/>
      <c r="AC6" s="35"/>
      <c r="AD6" s="35"/>
      <c r="AE6" s="35"/>
      <c r="AF6" s="35"/>
      <c r="AG6" s="35"/>
      <c r="AH6" s="35"/>
      <c r="AI6" s="35"/>
      <c r="AJ6" s="35"/>
      <c r="AK6" s="35"/>
      <c r="AL6" s="35"/>
      <c r="AM6" s="35"/>
      <c r="AN6" s="35"/>
    </row>
    <row r="7" spans="1:40" x14ac:dyDescent="0.35">
      <c r="A7" s="1" t="s">
        <v>16</v>
      </c>
      <c r="B7" s="1" t="s">
        <v>14</v>
      </c>
      <c r="C7" s="1" t="s">
        <v>14</v>
      </c>
      <c r="D7" s="3" t="s">
        <v>247</v>
      </c>
      <c r="E7" s="2">
        <v>13708</v>
      </c>
      <c r="F7" s="2">
        <v>11594</v>
      </c>
      <c r="G7" s="2">
        <v>8218</v>
      </c>
      <c r="H7" s="2">
        <v>7901</v>
      </c>
      <c r="I7" s="2">
        <v>6601</v>
      </c>
      <c r="J7" s="2">
        <v>5235</v>
      </c>
      <c r="K7" s="2">
        <v>4105</v>
      </c>
      <c r="L7" s="2">
        <v>3268</v>
      </c>
      <c r="M7" s="2">
        <v>2443</v>
      </c>
      <c r="N7" s="2">
        <v>2024</v>
      </c>
      <c r="O7" s="2">
        <v>2052</v>
      </c>
      <c r="P7" s="2">
        <v>1777</v>
      </c>
      <c r="Q7" s="2">
        <v>1215</v>
      </c>
      <c r="R7" s="2">
        <v>847</v>
      </c>
      <c r="S7" s="2">
        <v>613</v>
      </c>
      <c r="T7" s="2">
        <v>377</v>
      </c>
      <c r="U7" s="2">
        <v>256</v>
      </c>
      <c r="V7" s="1">
        <f t="shared" si="0"/>
        <v>72234</v>
      </c>
      <c r="W7" s="35"/>
      <c r="X7" s="35"/>
      <c r="Y7" s="35"/>
      <c r="Z7" s="35"/>
      <c r="AA7" s="35"/>
      <c r="AB7" s="35"/>
      <c r="AC7" s="35"/>
      <c r="AD7" s="35"/>
      <c r="AE7" s="35"/>
      <c r="AF7" s="35"/>
      <c r="AG7" s="35"/>
      <c r="AH7" s="35"/>
      <c r="AI7" s="35"/>
      <c r="AJ7" s="35"/>
      <c r="AK7" s="35"/>
      <c r="AL7" s="35"/>
      <c r="AM7" s="35"/>
      <c r="AN7" s="35"/>
    </row>
    <row r="8" spans="1:40" x14ac:dyDescent="0.35">
      <c r="A8" s="1" t="s">
        <v>16</v>
      </c>
      <c r="B8" s="1" t="s">
        <v>14</v>
      </c>
      <c r="C8" s="1" t="s">
        <v>14</v>
      </c>
      <c r="D8" s="3" t="s">
        <v>246</v>
      </c>
      <c r="E8" s="2">
        <v>26829</v>
      </c>
      <c r="F8" s="2">
        <v>22710</v>
      </c>
      <c r="G8" s="2">
        <v>14918</v>
      </c>
      <c r="H8" s="2">
        <v>14355</v>
      </c>
      <c r="I8" s="2">
        <v>12200</v>
      </c>
      <c r="J8" s="2">
        <v>9858</v>
      </c>
      <c r="K8" s="2">
        <v>8085</v>
      </c>
      <c r="L8" s="2">
        <v>6663</v>
      </c>
      <c r="M8" s="2">
        <v>5331</v>
      </c>
      <c r="N8" s="2">
        <v>4427</v>
      </c>
      <c r="O8" s="2">
        <v>3938</v>
      </c>
      <c r="P8" s="2">
        <v>3185</v>
      </c>
      <c r="Q8" s="2">
        <v>2122</v>
      </c>
      <c r="R8" s="2">
        <v>1432</v>
      </c>
      <c r="S8" s="2">
        <v>1005</v>
      </c>
      <c r="T8" s="2">
        <v>613</v>
      </c>
      <c r="U8" s="2">
        <v>430</v>
      </c>
      <c r="V8" s="1">
        <f t="shared" si="0"/>
        <v>138101</v>
      </c>
      <c r="W8" s="35"/>
      <c r="X8" s="35"/>
      <c r="Y8" s="35"/>
      <c r="Z8" s="35"/>
      <c r="AA8" s="35"/>
      <c r="AB8" s="35"/>
      <c r="AC8" s="35"/>
      <c r="AD8" s="35"/>
      <c r="AE8" s="35"/>
      <c r="AF8" s="35"/>
      <c r="AG8" s="35"/>
      <c r="AH8" s="35"/>
      <c r="AI8" s="35"/>
      <c r="AJ8" s="35"/>
      <c r="AK8" s="35"/>
      <c r="AL8" s="35"/>
      <c r="AM8" s="35"/>
      <c r="AN8" s="35"/>
    </row>
    <row r="9" spans="1:40" x14ac:dyDescent="0.35">
      <c r="A9" s="1" t="s">
        <v>20</v>
      </c>
      <c r="B9" s="1" t="s">
        <v>19</v>
      </c>
      <c r="C9" s="1" t="s">
        <v>19</v>
      </c>
      <c r="D9" s="3" t="s">
        <v>248</v>
      </c>
      <c r="E9" s="2">
        <v>81345</v>
      </c>
      <c r="F9" s="2">
        <v>66054</v>
      </c>
      <c r="G9" s="2">
        <v>56716</v>
      </c>
      <c r="H9" s="2">
        <v>50458</v>
      </c>
      <c r="I9" s="2">
        <v>36301</v>
      </c>
      <c r="J9" s="2">
        <v>27528</v>
      </c>
      <c r="K9" s="2">
        <v>24480</v>
      </c>
      <c r="L9" s="2">
        <v>20673</v>
      </c>
      <c r="M9" s="2">
        <v>16077</v>
      </c>
      <c r="N9" s="2">
        <v>12693</v>
      </c>
      <c r="O9" s="2">
        <v>9723</v>
      </c>
      <c r="P9" s="2">
        <v>7301</v>
      </c>
      <c r="Q9" s="2">
        <v>5195</v>
      </c>
      <c r="R9" s="2">
        <v>3646</v>
      </c>
      <c r="S9" s="2">
        <v>2516</v>
      </c>
      <c r="T9" s="2">
        <v>1569</v>
      </c>
      <c r="U9" s="2">
        <v>1384</v>
      </c>
      <c r="V9" s="1">
        <f t="shared" si="0"/>
        <v>423659</v>
      </c>
      <c r="W9" s="35"/>
      <c r="X9" s="35"/>
      <c r="Y9" s="35"/>
      <c r="Z9" s="35"/>
      <c r="AA9" s="35"/>
      <c r="AB9" s="35"/>
      <c r="AC9" s="35"/>
      <c r="AD9" s="35"/>
      <c r="AE9" s="35"/>
      <c r="AF9" s="35"/>
      <c r="AG9" s="35"/>
      <c r="AH9" s="35"/>
      <c r="AI9" s="35"/>
      <c r="AJ9" s="35"/>
      <c r="AK9" s="35"/>
      <c r="AL9" s="35"/>
      <c r="AM9" s="35"/>
      <c r="AN9" s="35"/>
    </row>
    <row r="10" spans="1:40" x14ac:dyDescent="0.35">
      <c r="A10" s="1" t="s">
        <v>20</v>
      </c>
      <c r="B10" s="1" t="s">
        <v>19</v>
      </c>
      <c r="C10" s="1" t="s">
        <v>19</v>
      </c>
      <c r="D10" s="3" t="s">
        <v>247</v>
      </c>
      <c r="E10" s="2">
        <v>84983</v>
      </c>
      <c r="F10" s="2">
        <v>68898</v>
      </c>
      <c r="G10" s="2">
        <v>57799</v>
      </c>
      <c r="H10" s="2">
        <v>51109</v>
      </c>
      <c r="I10" s="2">
        <v>35812</v>
      </c>
      <c r="J10" s="2">
        <v>25488</v>
      </c>
      <c r="K10" s="2">
        <v>18746</v>
      </c>
      <c r="L10" s="2">
        <v>14939</v>
      </c>
      <c r="M10" s="2">
        <v>13611</v>
      </c>
      <c r="N10" s="2">
        <v>12038</v>
      </c>
      <c r="O10" s="2">
        <v>10279</v>
      </c>
      <c r="P10" s="2">
        <v>8497</v>
      </c>
      <c r="Q10" s="2">
        <v>6600</v>
      </c>
      <c r="R10" s="2">
        <v>4976</v>
      </c>
      <c r="S10" s="2">
        <v>3479</v>
      </c>
      <c r="T10" s="2">
        <v>2195</v>
      </c>
      <c r="U10" s="2">
        <v>1981</v>
      </c>
      <c r="V10" s="1">
        <f t="shared" si="0"/>
        <v>421430</v>
      </c>
      <c r="W10" s="35"/>
      <c r="X10" s="35"/>
      <c r="Y10" s="35"/>
      <c r="Z10" s="35"/>
      <c r="AA10" s="35"/>
      <c r="AB10" s="35"/>
      <c r="AC10" s="35"/>
      <c r="AD10" s="35"/>
      <c r="AE10" s="35"/>
      <c r="AF10" s="35"/>
      <c r="AG10" s="35"/>
      <c r="AH10" s="35"/>
      <c r="AI10" s="35"/>
      <c r="AJ10" s="35"/>
      <c r="AK10" s="35"/>
      <c r="AL10" s="35"/>
      <c r="AM10" s="35"/>
      <c r="AN10" s="35"/>
    </row>
    <row r="11" spans="1:40" x14ac:dyDescent="0.35">
      <c r="A11" s="1" t="s">
        <v>20</v>
      </c>
      <c r="B11" s="1" t="s">
        <v>19</v>
      </c>
      <c r="C11" s="1" t="s">
        <v>19</v>
      </c>
      <c r="D11" s="3" t="s">
        <v>246</v>
      </c>
      <c r="E11" s="2">
        <v>166328</v>
      </c>
      <c r="F11" s="2">
        <v>134952</v>
      </c>
      <c r="G11" s="2">
        <v>114515</v>
      </c>
      <c r="H11" s="2">
        <v>101566</v>
      </c>
      <c r="I11" s="2">
        <v>72113</v>
      </c>
      <c r="J11" s="2">
        <v>53017</v>
      </c>
      <c r="K11" s="2">
        <v>43226</v>
      </c>
      <c r="L11" s="2">
        <v>35612</v>
      </c>
      <c r="M11" s="2">
        <v>29688</v>
      </c>
      <c r="N11" s="2">
        <v>24731</v>
      </c>
      <c r="O11" s="2">
        <v>20002</v>
      </c>
      <c r="P11" s="2">
        <v>15798</v>
      </c>
      <c r="Q11" s="2">
        <v>11795</v>
      </c>
      <c r="R11" s="2">
        <v>8622</v>
      </c>
      <c r="S11" s="2">
        <v>5995</v>
      </c>
      <c r="T11" s="2">
        <v>3764</v>
      </c>
      <c r="U11" s="2">
        <v>3365</v>
      </c>
      <c r="V11" s="1">
        <f t="shared" si="0"/>
        <v>845089</v>
      </c>
      <c r="W11" s="35"/>
      <c r="X11" s="35"/>
      <c r="Y11" s="35"/>
      <c r="Z11" s="35"/>
      <c r="AA11" s="35"/>
      <c r="AB11" s="35"/>
      <c r="AC11" s="35"/>
      <c r="AD11" s="35"/>
      <c r="AE11" s="35"/>
      <c r="AF11" s="35"/>
      <c r="AG11" s="35"/>
      <c r="AH11" s="35"/>
      <c r="AI11" s="35"/>
      <c r="AJ11" s="35"/>
      <c r="AK11" s="35"/>
      <c r="AL11" s="35"/>
      <c r="AM11" s="35"/>
      <c r="AN11" s="35"/>
    </row>
    <row r="12" spans="1:40" x14ac:dyDescent="0.35">
      <c r="A12" s="1" t="s">
        <v>27</v>
      </c>
      <c r="B12" s="1" t="s">
        <v>188</v>
      </c>
      <c r="C12" s="1" t="s">
        <v>26</v>
      </c>
      <c r="D12" s="3" t="s">
        <v>248</v>
      </c>
      <c r="E12" s="2">
        <v>38027</v>
      </c>
      <c r="F12" s="2">
        <v>32578</v>
      </c>
      <c r="G12" s="2">
        <v>124851</v>
      </c>
      <c r="H12" s="2">
        <v>47343</v>
      </c>
      <c r="I12" s="2">
        <v>13305</v>
      </c>
      <c r="J12" s="2">
        <v>13812</v>
      </c>
      <c r="K12" s="2">
        <v>11580</v>
      </c>
      <c r="L12" s="2">
        <v>9877</v>
      </c>
      <c r="M12" s="2">
        <v>8403</v>
      </c>
      <c r="N12" s="2">
        <v>6991</v>
      </c>
      <c r="O12" s="2">
        <v>5486</v>
      </c>
      <c r="P12" s="2">
        <v>4098</v>
      </c>
      <c r="Q12" s="2">
        <v>2640</v>
      </c>
      <c r="R12" s="2">
        <v>1701</v>
      </c>
      <c r="S12" s="2">
        <v>1138</v>
      </c>
      <c r="T12" s="2">
        <v>686</v>
      </c>
      <c r="U12" s="2">
        <v>1812</v>
      </c>
      <c r="V12" s="1">
        <f t="shared" si="0"/>
        <v>324328</v>
      </c>
      <c r="W12" s="35"/>
      <c r="X12" s="35"/>
      <c r="Y12" s="35"/>
      <c r="Z12" s="35"/>
      <c r="AA12" s="35"/>
      <c r="AB12" s="35"/>
      <c r="AC12" s="35"/>
      <c r="AD12" s="35"/>
      <c r="AE12" s="35"/>
      <c r="AF12" s="35"/>
      <c r="AG12" s="35"/>
      <c r="AH12" s="35"/>
      <c r="AI12" s="35"/>
      <c r="AJ12" s="35"/>
      <c r="AK12" s="35"/>
      <c r="AL12" s="35"/>
      <c r="AM12" s="35"/>
      <c r="AN12" s="35"/>
    </row>
    <row r="13" spans="1:40" x14ac:dyDescent="0.35">
      <c r="A13" s="1" t="s">
        <v>27</v>
      </c>
      <c r="B13" s="1" t="s">
        <v>188</v>
      </c>
      <c r="C13" s="1" t="s">
        <v>26</v>
      </c>
      <c r="D13" s="3" t="s">
        <v>247</v>
      </c>
      <c r="E13" s="2">
        <v>39728</v>
      </c>
      <c r="F13" s="2">
        <v>33981</v>
      </c>
      <c r="G13" s="2">
        <v>114145</v>
      </c>
      <c r="H13" s="2">
        <v>45421</v>
      </c>
      <c r="I13" s="2">
        <v>14390</v>
      </c>
      <c r="J13" s="2">
        <v>13796</v>
      </c>
      <c r="K13" s="2">
        <v>10571</v>
      </c>
      <c r="L13" s="2">
        <v>8414</v>
      </c>
      <c r="M13" s="2">
        <v>6292</v>
      </c>
      <c r="N13" s="2">
        <v>5210</v>
      </c>
      <c r="O13" s="2">
        <v>5284</v>
      </c>
      <c r="P13" s="2">
        <v>4574</v>
      </c>
      <c r="Q13" s="2">
        <v>3127</v>
      </c>
      <c r="R13" s="2">
        <v>2181</v>
      </c>
      <c r="S13" s="2">
        <v>1580</v>
      </c>
      <c r="T13" s="2">
        <v>972</v>
      </c>
      <c r="U13" s="2">
        <v>1827</v>
      </c>
      <c r="V13" s="1">
        <f t="shared" si="0"/>
        <v>311493</v>
      </c>
      <c r="W13" s="35"/>
      <c r="X13" s="35"/>
      <c r="Y13" s="35"/>
      <c r="Z13" s="35"/>
      <c r="AA13" s="35"/>
      <c r="AB13" s="35"/>
      <c r="AC13" s="35"/>
      <c r="AD13" s="35"/>
      <c r="AE13" s="35"/>
      <c r="AF13" s="35"/>
      <c r="AG13" s="35"/>
      <c r="AH13" s="35"/>
      <c r="AI13" s="35"/>
      <c r="AJ13" s="35"/>
      <c r="AK13" s="35"/>
      <c r="AL13" s="35"/>
      <c r="AM13" s="35"/>
      <c r="AN13" s="35"/>
    </row>
    <row r="14" spans="1:40" x14ac:dyDescent="0.35">
      <c r="A14" s="1" t="s">
        <v>27</v>
      </c>
      <c r="B14" s="1" t="s">
        <v>188</v>
      </c>
      <c r="C14" s="1" t="s">
        <v>26</v>
      </c>
      <c r="D14" s="3" t="s">
        <v>246</v>
      </c>
      <c r="E14" s="2">
        <v>77755</v>
      </c>
      <c r="F14" s="2">
        <v>66559</v>
      </c>
      <c r="G14" s="2">
        <v>238996</v>
      </c>
      <c r="H14" s="2">
        <v>92764</v>
      </c>
      <c r="I14" s="2">
        <v>27695</v>
      </c>
      <c r="J14" s="2">
        <v>27609</v>
      </c>
      <c r="K14" s="2">
        <v>22151</v>
      </c>
      <c r="L14" s="2">
        <v>18291</v>
      </c>
      <c r="M14" s="2">
        <v>14694</v>
      </c>
      <c r="N14" s="2">
        <v>12200</v>
      </c>
      <c r="O14" s="2">
        <v>10771</v>
      </c>
      <c r="P14" s="2">
        <v>8673</v>
      </c>
      <c r="Q14" s="2">
        <v>5767</v>
      </c>
      <c r="R14" s="2">
        <v>3882</v>
      </c>
      <c r="S14" s="2">
        <v>2718</v>
      </c>
      <c r="T14" s="2">
        <v>1658</v>
      </c>
      <c r="U14" s="2">
        <v>3639</v>
      </c>
      <c r="V14" s="1">
        <f t="shared" si="0"/>
        <v>635822</v>
      </c>
      <c r="W14" s="35"/>
      <c r="X14" s="35"/>
      <c r="Y14" s="35"/>
      <c r="Z14" s="35"/>
      <c r="AA14" s="35"/>
      <c r="AB14" s="35"/>
      <c r="AC14" s="35"/>
      <c r="AD14" s="35"/>
      <c r="AE14" s="35"/>
      <c r="AF14" s="35"/>
      <c r="AG14" s="35"/>
      <c r="AH14" s="35"/>
      <c r="AI14" s="35"/>
      <c r="AJ14" s="35"/>
      <c r="AK14" s="35"/>
      <c r="AL14" s="35"/>
      <c r="AM14" s="35"/>
      <c r="AN14" s="35"/>
    </row>
    <row r="15" spans="1:40" x14ac:dyDescent="0.35">
      <c r="A15" s="1" t="s">
        <v>36</v>
      </c>
      <c r="B15" s="1" t="s">
        <v>206</v>
      </c>
      <c r="C15" s="1" t="s">
        <v>206</v>
      </c>
      <c r="D15" s="3" t="s">
        <v>248</v>
      </c>
      <c r="E15" s="2">
        <v>78117</v>
      </c>
      <c r="F15" s="2">
        <v>63858</v>
      </c>
      <c r="G15" s="2">
        <v>54517</v>
      </c>
      <c r="H15" s="2">
        <v>49513</v>
      </c>
      <c r="I15" s="2">
        <v>35278</v>
      </c>
      <c r="J15" s="2">
        <v>26365</v>
      </c>
      <c r="K15" s="2">
        <v>23652</v>
      </c>
      <c r="L15" s="2">
        <v>20060</v>
      </c>
      <c r="M15" s="2">
        <v>15655</v>
      </c>
      <c r="N15" s="2">
        <v>12363</v>
      </c>
      <c r="O15" s="2">
        <v>9373</v>
      </c>
      <c r="P15" s="2">
        <v>7005</v>
      </c>
      <c r="Q15" s="2">
        <v>4999</v>
      </c>
      <c r="R15" s="2">
        <v>3542</v>
      </c>
      <c r="S15" s="2">
        <v>2500</v>
      </c>
      <c r="T15" s="2">
        <v>1606</v>
      </c>
      <c r="U15" s="2">
        <v>1529</v>
      </c>
      <c r="V15" s="1">
        <f t="shared" si="0"/>
        <v>409932</v>
      </c>
      <c r="W15" s="35"/>
      <c r="X15" s="35"/>
      <c r="Y15" s="35"/>
      <c r="Z15" s="35"/>
      <c r="AA15" s="35"/>
      <c r="AB15" s="35"/>
      <c r="AC15" s="35"/>
      <c r="AD15" s="35"/>
      <c r="AE15" s="35"/>
      <c r="AF15" s="35"/>
      <c r="AG15" s="35"/>
      <c r="AH15" s="35"/>
      <c r="AI15" s="35"/>
      <c r="AJ15" s="35"/>
      <c r="AK15" s="35"/>
      <c r="AL15" s="35"/>
      <c r="AM15" s="35"/>
      <c r="AN15" s="35"/>
    </row>
    <row r="16" spans="1:40" x14ac:dyDescent="0.35">
      <c r="A16" s="1" t="s">
        <v>36</v>
      </c>
      <c r="B16" s="1" t="s">
        <v>206</v>
      </c>
      <c r="C16" s="1" t="s">
        <v>206</v>
      </c>
      <c r="D16" s="3" t="s">
        <v>247</v>
      </c>
      <c r="E16" s="2">
        <v>81610</v>
      </c>
      <c r="F16" s="2">
        <v>66608</v>
      </c>
      <c r="G16" s="2">
        <v>56172</v>
      </c>
      <c r="H16" s="2">
        <v>51203</v>
      </c>
      <c r="I16" s="2">
        <v>36276</v>
      </c>
      <c r="J16" s="2">
        <v>25575</v>
      </c>
      <c r="K16" s="2">
        <v>18040</v>
      </c>
      <c r="L16" s="2">
        <v>14114</v>
      </c>
      <c r="M16" s="2">
        <v>13340</v>
      </c>
      <c r="N16" s="2">
        <v>11984</v>
      </c>
      <c r="O16" s="2">
        <v>10249</v>
      </c>
      <c r="P16" s="2">
        <v>8432</v>
      </c>
      <c r="Q16" s="2">
        <v>6357</v>
      </c>
      <c r="R16" s="2">
        <v>4744</v>
      </c>
      <c r="S16" s="2">
        <v>3438</v>
      </c>
      <c r="T16" s="2">
        <v>2200</v>
      </c>
      <c r="U16" s="2">
        <v>1948</v>
      </c>
      <c r="V16" s="1">
        <f t="shared" si="0"/>
        <v>412290</v>
      </c>
      <c r="W16" s="35"/>
      <c r="X16" s="35"/>
      <c r="Y16" s="35"/>
      <c r="Z16" s="35"/>
      <c r="AA16" s="35"/>
      <c r="AB16" s="35"/>
      <c r="AC16" s="35"/>
      <c r="AD16" s="35"/>
      <c r="AE16" s="35"/>
      <c r="AF16" s="35"/>
      <c r="AG16" s="35"/>
      <c r="AH16" s="35"/>
      <c r="AI16" s="35"/>
      <c r="AJ16" s="35"/>
      <c r="AK16" s="35"/>
      <c r="AL16" s="35"/>
      <c r="AM16" s="35"/>
      <c r="AN16" s="35"/>
    </row>
    <row r="17" spans="1:40" x14ac:dyDescent="0.35">
      <c r="A17" s="1" t="s">
        <v>36</v>
      </c>
      <c r="B17" s="1" t="s">
        <v>206</v>
      </c>
      <c r="C17" s="1" t="s">
        <v>206</v>
      </c>
      <c r="D17" s="3" t="s">
        <v>246</v>
      </c>
      <c r="E17" s="2">
        <v>159727</v>
      </c>
      <c r="F17" s="2">
        <v>130465</v>
      </c>
      <c r="G17" s="2">
        <v>110689</v>
      </c>
      <c r="H17" s="2">
        <v>100715</v>
      </c>
      <c r="I17" s="2">
        <v>71554</v>
      </c>
      <c r="J17" s="2">
        <v>51940</v>
      </c>
      <c r="K17" s="2">
        <v>41692</v>
      </c>
      <c r="L17" s="2">
        <v>34174</v>
      </c>
      <c r="M17" s="2">
        <v>28995</v>
      </c>
      <c r="N17" s="2">
        <v>24347</v>
      </c>
      <c r="O17" s="2">
        <v>19622</v>
      </c>
      <c r="P17" s="2">
        <v>15437</v>
      </c>
      <c r="Q17" s="2">
        <v>11356</v>
      </c>
      <c r="R17" s="2">
        <v>8287</v>
      </c>
      <c r="S17" s="2">
        <v>5938</v>
      </c>
      <c r="T17" s="2">
        <v>3806</v>
      </c>
      <c r="U17" s="2">
        <v>3477</v>
      </c>
      <c r="V17" s="1">
        <f t="shared" si="0"/>
        <v>822221</v>
      </c>
      <c r="W17" s="35"/>
      <c r="X17" s="35"/>
      <c r="Y17" s="35"/>
      <c r="Z17" s="35"/>
      <c r="AA17" s="35"/>
      <c r="AB17" s="35"/>
      <c r="AC17" s="35"/>
      <c r="AD17" s="35"/>
      <c r="AE17" s="35"/>
      <c r="AF17" s="35"/>
      <c r="AG17" s="35"/>
      <c r="AH17" s="35"/>
      <c r="AI17" s="35"/>
      <c r="AJ17" s="35"/>
      <c r="AK17" s="35"/>
      <c r="AL17" s="35"/>
      <c r="AM17" s="35"/>
      <c r="AN17" s="35"/>
    </row>
    <row r="18" spans="1:40" x14ac:dyDescent="0.35">
      <c r="A18" s="1" t="s">
        <v>44</v>
      </c>
      <c r="B18" s="1" t="s">
        <v>42</v>
      </c>
      <c r="C18" s="1" t="s">
        <v>42</v>
      </c>
      <c r="D18" s="3" t="s">
        <v>248</v>
      </c>
      <c r="E18" s="2">
        <v>49391</v>
      </c>
      <c r="F18" s="2">
        <v>40846</v>
      </c>
      <c r="G18" s="2">
        <v>27596</v>
      </c>
      <c r="H18" s="2">
        <v>26377</v>
      </c>
      <c r="I18" s="2">
        <v>22086</v>
      </c>
      <c r="J18" s="2">
        <v>17726</v>
      </c>
      <c r="K18" s="2">
        <v>14248</v>
      </c>
      <c r="L18" s="2">
        <v>11870</v>
      </c>
      <c r="M18" s="2">
        <v>10664</v>
      </c>
      <c r="N18" s="2">
        <v>9082</v>
      </c>
      <c r="O18" s="2">
        <v>6917</v>
      </c>
      <c r="P18" s="2">
        <v>5190</v>
      </c>
      <c r="Q18" s="2">
        <v>3691</v>
      </c>
      <c r="R18" s="2">
        <v>2568</v>
      </c>
      <c r="S18" s="2">
        <v>1728</v>
      </c>
      <c r="T18" s="2">
        <v>1052</v>
      </c>
      <c r="U18" s="2">
        <v>839</v>
      </c>
      <c r="V18" s="1">
        <f t="shared" si="0"/>
        <v>251871</v>
      </c>
      <c r="W18" s="35"/>
      <c r="X18" s="35"/>
      <c r="Y18" s="35"/>
      <c r="Z18" s="35"/>
      <c r="AA18" s="35"/>
      <c r="AB18" s="35"/>
      <c r="AC18" s="35"/>
      <c r="AD18" s="35"/>
      <c r="AE18" s="35"/>
      <c r="AF18" s="35"/>
      <c r="AG18" s="35"/>
      <c r="AH18" s="35"/>
      <c r="AI18" s="35"/>
      <c r="AJ18" s="35"/>
      <c r="AK18" s="35"/>
      <c r="AL18" s="35"/>
      <c r="AM18" s="35"/>
      <c r="AN18" s="35"/>
    </row>
    <row r="19" spans="1:40" x14ac:dyDescent="0.35">
      <c r="A19" s="1" t="s">
        <v>44</v>
      </c>
      <c r="B19" s="1" t="s">
        <v>42</v>
      </c>
      <c r="C19" s="1" t="s">
        <v>42</v>
      </c>
      <c r="D19" s="3" t="s">
        <v>247</v>
      </c>
      <c r="E19" s="2">
        <v>51600</v>
      </c>
      <c r="F19" s="2">
        <v>42606</v>
      </c>
      <c r="G19" s="2">
        <v>29805</v>
      </c>
      <c r="H19" s="2">
        <v>28661</v>
      </c>
      <c r="I19" s="2">
        <v>22963</v>
      </c>
      <c r="J19" s="2">
        <v>16795</v>
      </c>
      <c r="K19" s="2">
        <v>10177</v>
      </c>
      <c r="L19" s="2">
        <v>7103</v>
      </c>
      <c r="M19" s="2">
        <v>6728</v>
      </c>
      <c r="N19" s="2">
        <v>6263</v>
      </c>
      <c r="O19" s="2">
        <v>6067</v>
      </c>
      <c r="P19" s="2">
        <v>5331</v>
      </c>
      <c r="Q19" s="2">
        <v>4034</v>
      </c>
      <c r="R19" s="2">
        <v>3081</v>
      </c>
      <c r="S19" s="2">
        <v>2419</v>
      </c>
      <c r="T19" s="2">
        <v>1581</v>
      </c>
      <c r="U19" s="2">
        <v>1183</v>
      </c>
      <c r="V19" s="1">
        <f t="shared" si="0"/>
        <v>246397</v>
      </c>
      <c r="W19" s="35"/>
      <c r="X19" s="35"/>
      <c r="Y19" s="35"/>
      <c r="Z19" s="35"/>
      <c r="AA19" s="35"/>
      <c r="AB19" s="35"/>
      <c r="AC19" s="35"/>
      <c r="AD19" s="35"/>
      <c r="AE19" s="35"/>
      <c r="AF19" s="35"/>
      <c r="AG19" s="35"/>
      <c r="AH19" s="35"/>
      <c r="AI19" s="35"/>
      <c r="AJ19" s="35"/>
      <c r="AK19" s="35"/>
      <c r="AL19" s="35"/>
      <c r="AM19" s="35"/>
      <c r="AN19" s="35"/>
    </row>
    <row r="20" spans="1:40" x14ac:dyDescent="0.35">
      <c r="A20" s="1" t="s">
        <v>44</v>
      </c>
      <c r="B20" s="1" t="s">
        <v>42</v>
      </c>
      <c r="C20" s="1" t="s">
        <v>42</v>
      </c>
      <c r="D20" s="3" t="s">
        <v>246</v>
      </c>
      <c r="E20" s="2">
        <v>100991</v>
      </c>
      <c r="F20" s="2">
        <v>83452</v>
      </c>
      <c r="G20" s="2">
        <v>57401</v>
      </c>
      <c r="H20" s="2">
        <v>55037</v>
      </c>
      <c r="I20" s="2">
        <v>45049</v>
      </c>
      <c r="J20" s="2">
        <v>34521</v>
      </c>
      <c r="K20" s="2">
        <v>24425</v>
      </c>
      <c r="L20" s="2">
        <v>18973</v>
      </c>
      <c r="M20" s="2">
        <v>17391</v>
      </c>
      <c r="N20" s="2">
        <v>15345</v>
      </c>
      <c r="O20" s="2">
        <v>12984</v>
      </c>
      <c r="P20" s="2">
        <v>10521</v>
      </c>
      <c r="Q20" s="2">
        <v>7725</v>
      </c>
      <c r="R20" s="2">
        <v>5650</v>
      </c>
      <c r="S20" s="2">
        <v>4147</v>
      </c>
      <c r="T20" s="2">
        <v>2633</v>
      </c>
      <c r="U20" s="2">
        <v>2023</v>
      </c>
      <c r="V20" s="1">
        <f t="shared" si="0"/>
        <v>498268</v>
      </c>
      <c r="W20" s="35"/>
      <c r="X20" s="35"/>
      <c r="Y20" s="35"/>
      <c r="Z20" s="35"/>
      <c r="AA20" s="35"/>
      <c r="AB20" s="35"/>
      <c r="AC20" s="35"/>
      <c r="AD20" s="35"/>
      <c r="AE20" s="35"/>
      <c r="AF20" s="35"/>
      <c r="AG20" s="35"/>
      <c r="AH20" s="35"/>
      <c r="AI20" s="35"/>
      <c r="AJ20" s="35"/>
      <c r="AK20" s="35"/>
      <c r="AL20" s="35"/>
      <c r="AM20" s="35"/>
      <c r="AN20" s="35"/>
    </row>
    <row r="21" spans="1:40" x14ac:dyDescent="0.35">
      <c r="A21" s="1" t="s">
        <v>53</v>
      </c>
      <c r="B21" s="1" t="s">
        <v>52</v>
      </c>
      <c r="C21" s="1" t="s">
        <v>52</v>
      </c>
      <c r="D21" s="3" t="s">
        <v>248</v>
      </c>
      <c r="E21" s="2">
        <v>61585</v>
      </c>
      <c r="F21" s="2">
        <v>50566</v>
      </c>
      <c r="G21" s="2">
        <v>39733</v>
      </c>
      <c r="H21" s="2">
        <v>36401</v>
      </c>
      <c r="I21" s="2">
        <v>27122</v>
      </c>
      <c r="J21" s="2">
        <v>20850</v>
      </c>
      <c r="K21" s="2">
        <v>18657</v>
      </c>
      <c r="L21" s="2">
        <v>15870</v>
      </c>
      <c r="M21" s="2">
        <v>12582</v>
      </c>
      <c r="N21" s="2">
        <v>9994</v>
      </c>
      <c r="O21" s="2">
        <v>7487</v>
      </c>
      <c r="P21" s="2">
        <v>5525</v>
      </c>
      <c r="Q21" s="2">
        <v>3930</v>
      </c>
      <c r="R21" s="2">
        <v>2702</v>
      </c>
      <c r="S21" s="2">
        <v>1718</v>
      </c>
      <c r="T21" s="2">
        <v>1014</v>
      </c>
      <c r="U21" s="2">
        <v>886</v>
      </c>
      <c r="V21" s="1">
        <f t="shared" si="0"/>
        <v>316622</v>
      </c>
      <c r="W21" s="35"/>
      <c r="X21" s="35"/>
      <c r="Y21" s="35"/>
      <c r="Z21" s="35"/>
      <c r="AA21" s="35"/>
      <c r="AB21" s="35"/>
      <c r="AC21" s="35"/>
      <c r="AD21" s="35"/>
      <c r="AE21" s="35"/>
      <c r="AF21" s="35"/>
      <c r="AG21" s="35"/>
      <c r="AH21" s="35"/>
      <c r="AI21" s="35"/>
      <c r="AJ21" s="35"/>
      <c r="AK21" s="35"/>
      <c r="AL21" s="35"/>
      <c r="AM21" s="35"/>
      <c r="AN21" s="35"/>
    </row>
    <row r="22" spans="1:40" x14ac:dyDescent="0.35">
      <c r="A22" s="1" t="s">
        <v>53</v>
      </c>
      <c r="B22" s="1" t="s">
        <v>52</v>
      </c>
      <c r="C22" s="1" t="s">
        <v>52</v>
      </c>
      <c r="D22" s="3" t="s">
        <v>247</v>
      </c>
      <c r="E22" s="2">
        <v>64339</v>
      </c>
      <c r="F22" s="2">
        <v>52744</v>
      </c>
      <c r="G22" s="2">
        <v>42948</v>
      </c>
      <c r="H22" s="2">
        <v>39408</v>
      </c>
      <c r="I22" s="2">
        <v>28228</v>
      </c>
      <c r="J22" s="2">
        <v>19866</v>
      </c>
      <c r="K22" s="2">
        <v>13568</v>
      </c>
      <c r="L22" s="2">
        <v>10524</v>
      </c>
      <c r="M22" s="2">
        <v>10301</v>
      </c>
      <c r="N22" s="2">
        <v>9519</v>
      </c>
      <c r="O22" s="2">
        <v>8570</v>
      </c>
      <c r="P22" s="2">
        <v>7179</v>
      </c>
      <c r="Q22" s="2">
        <v>5255</v>
      </c>
      <c r="R22" s="2">
        <v>3826</v>
      </c>
      <c r="S22" s="2">
        <v>2730</v>
      </c>
      <c r="T22" s="2">
        <v>1698</v>
      </c>
      <c r="U22" s="2">
        <v>1335</v>
      </c>
      <c r="V22" s="1">
        <f t="shared" si="0"/>
        <v>322038</v>
      </c>
      <c r="W22" s="35"/>
      <c r="X22" s="35"/>
      <c r="Y22" s="35"/>
      <c r="Z22" s="35"/>
      <c r="AA22" s="35"/>
      <c r="AB22" s="35"/>
      <c r="AC22" s="35"/>
      <c r="AD22" s="35"/>
      <c r="AE22" s="35"/>
      <c r="AF22" s="35"/>
      <c r="AG22" s="35"/>
      <c r="AH22" s="35"/>
      <c r="AI22" s="35"/>
      <c r="AJ22" s="35"/>
      <c r="AK22" s="35"/>
      <c r="AL22" s="35"/>
      <c r="AM22" s="35"/>
      <c r="AN22" s="35"/>
    </row>
    <row r="23" spans="1:40" x14ac:dyDescent="0.35">
      <c r="A23" s="1" t="s">
        <v>53</v>
      </c>
      <c r="B23" s="1" t="s">
        <v>52</v>
      </c>
      <c r="C23" s="1" t="s">
        <v>52</v>
      </c>
      <c r="D23" s="3" t="s">
        <v>246</v>
      </c>
      <c r="E23" s="2">
        <v>125924</v>
      </c>
      <c r="F23" s="2">
        <v>103310</v>
      </c>
      <c r="G23" s="2">
        <v>82681</v>
      </c>
      <c r="H23" s="2">
        <v>75809</v>
      </c>
      <c r="I23" s="2">
        <v>55350</v>
      </c>
      <c r="J23" s="2">
        <v>40716</v>
      </c>
      <c r="K23" s="2">
        <v>32225</v>
      </c>
      <c r="L23" s="2">
        <v>26394</v>
      </c>
      <c r="M23" s="2">
        <v>22883</v>
      </c>
      <c r="N23" s="2">
        <v>19513</v>
      </c>
      <c r="O23" s="2">
        <v>16058</v>
      </c>
      <c r="P23" s="2">
        <v>12705</v>
      </c>
      <c r="Q23" s="2">
        <v>9185</v>
      </c>
      <c r="R23" s="2">
        <v>6528</v>
      </c>
      <c r="S23" s="2">
        <v>4448</v>
      </c>
      <c r="T23" s="2">
        <v>2712</v>
      </c>
      <c r="U23" s="2">
        <v>2221</v>
      </c>
      <c r="V23" s="1">
        <f t="shared" si="0"/>
        <v>638662</v>
      </c>
      <c r="W23" s="35"/>
      <c r="X23" s="35"/>
      <c r="Y23" s="35"/>
      <c r="Z23" s="35"/>
      <c r="AA23" s="35"/>
      <c r="AB23" s="35"/>
      <c r="AC23" s="35"/>
      <c r="AD23" s="35"/>
      <c r="AE23" s="35"/>
      <c r="AF23" s="35"/>
      <c r="AG23" s="35"/>
      <c r="AH23" s="35"/>
      <c r="AI23" s="35"/>
      <c r="AJ23" s="35"/>
      <c r="AK23" s="35"/>
      <c r="AL23" s="35"/>
      <c r="AM23" s="35"/>
      <c r="AN23" s="35"/>
    </row>
    <row r="24" spans="1:40" x14ac:dyDescent="0.35">
      <c r="A24" s="1" t="s">
        <v>59</v>
      </c>
      <c r="B24" s="1" t="s">
        <v>58</v>
      </c>
      <c r="C24" s="1" t="s">
        <v>58</v>
      </c>
      <c r="D24" s="3" t="s">
        <v>248</v>
      </c>
      <c r="E24" s="2">
        <v>100840</v>
      </c>
      <c r="F24" s="2">
        <v>82634</v>
      </c>
      <c r="G24" s="2">
        <v>69610</v>
      </c>
      <c r="H24" s="2">
        <v>59108</v>
      </c>
      <c r="I24" s="2">
        <v>43977</v>
      </c>
      <c r="J24" s="2">
        <v>34832</v>
      </c>
      <c r="K24" s="2">
        <v>31153</v>
      </c>
      <c r="L24" s="2">
        <v>26165</v>
      </c>
      <c r="M24" s="2">
        <v>19387</v>
      </c>
      <c r="N24" s="2">
        <v>15001</v>
      </c>
      <c r="O24" s="2">
        <v>11983</v>
      </c>
      <c r="P24" s="2">
        <v>9256</v>
      </c>
      <c r="Q24" s="2">
        <v>6779</v>
      </c>
      <c r="R24" s="2">
        <v>4766</v>
      </c>
      <c r="S24" s="2">
        <v>3073</v>
      </c>
      <c r="T24" s="2">
        <v>1794</v>
      </c>
      <c r="U24" s="2">
        <v>1276</v>
      </c>
      <c r="V24" s="1">
        <f t="shared" si="0"/>
        <v>521634</v>
      </c>
      <c r="W24" s="35"/>
      <c r="X24" s="35"/>
      <c r="Y24" s="35"/>
      <c r="Z24" s="35"/>
      <c r="AA24" s="35"/>
      <c r="AB24" s="35"/>
      <c r="AC24" s="35"/>
      <c r="AD24" s="35"/>
      <c r="AE24" s="35"/>
      <c r="AF24" s="35"/>
      <c r="AG24" s="35"/>
      <c r="AH24" s="35"/>
      <c r="AI24" s="35"/>
      <c r="AJ24" s="35"/>
      <c r="AK24" s="35"/>
      <c r="AL24" s="35"/>
      <c r="AM24" s="35"/>
      <c r="AN24" s="35"/>
    </row>
    <row r="25" spans="1:40" x14ac:dyDescent="0.35">
      <c r="A25" s="1" t="s">
        <v>59</v>
      </c>
      <c r="B25" s="1" t="s">
        <v>58</v>
      </c>
      <c r="C25" s="1" t="s">
        <v>58</v>
      </c>
      <c r="D25" s="3" t="s">
        <v>247</v>
      </c>
      <c r="E25" s="2">
        <v>105350</v>
      </c>
      <c r="F25" s="2">
        <v>86193</v>
      </c>
      <c r="G25" s="2">
        <v>68940</v>
      </c>
      <c r="H25" s="2">
        <v>58022</v>
      </c>
      <c r="I25" s="2">
        <v>43713</v>
      </c>
      <c r="J25" s="2">
        <v>33953</v>
      </c>
      <c r="K25" s="2">
        <v>27049</v>
      </c>
      <c r="L25" s="2">
        <v>21680</v>
      </c>
      <c r="M25" s="2">
        <v>16833</v>
      </c>
      <c r="N25" s="2">
        <v>13405</v>
      </c>
      <c r="O25" s="2">
        <v>10826</v>
      </c>
      <c r="P25" s="2">
        <v>8542</v>
      </c>
      <c r="Q25" s="2">
        <v>6585</v>
      </c>
      <c r="R25" s="2">
        <v>4693</v>
      </c>
      <c r="S25" s="2">
        <v>2634</v>
      </c>
      <c r="T25" s="2">
        <v>1397</v>
      </c>
      <c r="U25" s="2">
        <v>1093</v>
      </c>
      <c r="V25" s="1">
        <f t="shared" si="0"/>
        <v>510908</v>
      </c>
      <c r="W25" s="35"/>
      <c r="X25" s="35"/>
      <c r="Y25" s="35"/>
      <c r="Z25" s="35"/>
      <c r="AA25" s="35"/>
      <c r="AB25" s="35"/>
      <c r="AC25" s="35"/>
      <c r="AD25" s="35"/>
      <c r="AE25" s="35"/>
      <c r="AF25" s="35"/>
      <c r="AG25" s="35"/>
      <c r="AH25" s="35"/>
      <c r="AI25" s="35"/>
      <c r="AJ25" s="35"/>
      <c r="AK25" s="35"/>
      <c r="AL25" s="35"/>
      <c r="AM25" s="35"/>
      <c r="AN25" s="35"/>
    </row>
    <row r="26" spans="1:40" x14ac:dyDescent="0.35">
      <c r="A26" s="1" t="s">
        <v>59</v>
      </c>
      <c r="B26" s="1" t="s">
        <v>58</v>
      </c>
      <c r="C26" s="1" t="s">
        <v>58</v>
      </c>
      <c r="D26" s="3" t="s">
        <v>246</v>
      </c>
      <c r="E26" s="2">
        <v>206190</v>
      </c>
      <c r="F26" s="2">
        <v>168827</v>
      </c>
      <c r="G26" s="2">
        <v>138550</v>
      </c>
      <c r="H26" s="2">
        <v>117130</v>
      </c>
      <c r="I26" s="2">
        <v>87691</v>
      </c>
      <c r="J26" s="2">
        <v>68785</v>
      </c>
      <c r="K26" s="2">
        <v>58202</v>
      </c>
      <c r="L26" s="2">
        <v>47845</v>
      </c>
      <c r="M26" s="2">
        <v>36219</v>
      </c>
      <c r="N26" s="2">
        <v>28406</v>
      </c>
      <c r="O26" s="2">
        <v>22809</v>
      </c>
      <c r="P26" s="2">
        <v>17798</v>
      </c>
      <c r="Q26" s="2">
        <v>13364</v>
      </c>
      <c r="R26" s="2">
        <v>9460</v>
      </c>
      <c r="S26" s="2">
        <v>5707</v>
      </c>
      <c r="T26" s="2">
        <v>3191</v>
      </c>
      <c r="U26" s="2">
        <v>2369</v>
      </c>
      <c r="V26" s="1">
        <f t="shared" si="0"/>
        <v>1032543</v>
      </c>
      <c r="W26" s="35"/>
      <c r="X26" s="35"/>
      <c r="Y26" s="35"/>
      <c r="Z26" s="35"/>
      <c r="AA26" s="35"/>
      <c r="AB26" s="35"/>
      <c r="AC26" s="35"/>
      <c r="AD26" s="35"/>
      <c r="AE26" s="35"/>
      <c r="AF26" s="35"/>
      <c r="AG26" s="35"/>
      <c r="AH26" s="35"/>
      <c r="AI26" s="35"/>
      <c r="AJ26" s="35"/>
      <c r="AK26" s="35"/>
      <c r="AL26" s="35"/>
      <c r="AM26" s="35"/>
      <c r="AN26" s="35"/>
    </row>
    <row r="27" spans="1:40" x14ac:dyDescent="0.35">
      <c r="A27" s="1" t="s">
        <v>69</v>
      </c>
      <c r="B27" s="1" t="s">
        <v>68</v>
      </c>
      <c r="C27" s="1" t="s">
        <v>68</v>
      </c>
      <c r="D27" s="3" t="s">
        <v>248</v>
      </c>
      <c r="E27" s="2">
        <v>111739</v>
      </c>
      <c r="F27" s="2">
        <v>92312</v>
      </c>
      <c r="G27" s="2">
        <v>81495</v>
      </c>
      <c r="H27" s="2">
        <v>69247</v>
      </c>
      <c r="I27" s="2">
        <v>48089</v>
      </c>
      <c r="J27" s="2">
        <v>36701</v>
      </c>
      <c r="K27" s="2">
        <v>34773</v>
      </c>
      <c r="L27" s="2">
        <v>30066</v>
      </c>
      <c r="M27" s="2">
        <v>22844</v>
      </c>
      <c r="N27" s="2">
        <v>17666</v>
      </c>
      <c r="O27" s="2">
        <v>13100</v>
      </c>
      <c r="P27" s="2">
        <v>9622</v>
      </c>
      <c r="Q27" s="2">
        <v>6924</v>
      </c>
      <c r="R27" s="2">
        <v>4834</v>
      </c>
      <c r="S27" s="2">
        <v>3215</v>
      </c>
      <c r="T27" s="2">
        <v>1921</v>
      </c>
      <c r="U27" s="2">
        <v>1421</v>
      </c>
      <c r="V27" s="1">
        <f t="shared" si="0"/>
        <v>585969</v>
      </c>
      <c r="W27" s="35"/>
      <c r="X27" s="35"/>
      <c r="Y27" s="35"/>
      <c r="Z27" s="35"/>
      <c r="AA27" s="35"/>
      <c r="AB27" s="35"/>
      <c r="AC27" s="35"/>
      <c r="AD27" s="35"/>
      <c r="AE27" s="35"/>
      <c r="AF27" s="35"/>
      <c r="AG27" s="35"/>
      <c r="AH27" s="35"/>
      <c r="AI27" s="35"/>
      <c r="AJ27" s="35"/>
      <c r="AK27" s="35"/>
      <c r="AL27" s="35"/>
      <c r="AM27" s="35"/>
      <c r="AN27" s="35"/>
    </row>
    <row r="28" spans="1:40" x14ac:dyDescent="0.35">
      <c r="A28" s="1" t="s">
        <v>69</v>
      </c>
      <c r="B28" s="1" t="s">
        <v>68</v>
      </c>
      <c r="C28" s="1" t="s">
        <v>68</v>
      </c>
      <c r="D28" s="3" t="s">
        <v>247</v>
      </c>
      <c r="E28" s="2">
        <v>116736</v>
      </c>
      <c r="F28" s="2">
        <v>96288</v>
      </c>
      <c r="G28" s="2">
        <v>81346</v>
      </c>
      <c r="H28" s="2">
        <v>68912</v>
      </c>
      <c r="I28" s="2">
        <v>48939</v>
      </c>
      <c r="J28" s="2">
        <v>36161</v>
      </c>
      <c r="K28" s="2">
        <v>27908</v>
      </c>
      <c r="L28" s="2">
        <v>22504</v>
      </c>
      <c r="M28" s="2">
        <v>19449</v>
      </c>
      <c r="N28" s="2">
        <v>16338</v>
      </c>
      <c r="O28" s="2">
        <v>12943</v>
      </c>
      <c r="P28" s="2">
        <v>9974</v>
      </c>
      <c r="Q28" s="2">
        <v>7197</v>
      </c>
      <c r="R28" s="2">
        <v>4930</v>
      </c>
      <c r="S28" s="2">
        <v>2817</v>
      </c>
      <c r="T28" s="2">
        <v>1512</v>
      </c>
      <c r="U28" s="2">
        <v>1230</v>
      </c>
      <c r="V28" s="1">
        <f t="shared" si="0"/>
        <v>575184</v>
      </c>
      <c r="W28" s="35"/>
      <c r="X28" s="35"/>
      <c r="Y28" s="35"/>
      <c r="Z28" s="35"/>
      <c r="AA28" s="35"/>
      <c r="AB28" s="35"/>
      <c r="AC28" s="35"/>
      <c r="AD28" s="35"/>
      <c r="AE28" s="35"/>
      <c r="AF28" s="35"/>
      <c r="AG28" s="35"/>
      <c r="AH28" s="35"/>
      <c r="AI28" s="35"/>
      <c r="AJ28" s="35"/>
      <c r="AK28" s="35"/>
      <c r="AL28" s="35"/>
      <c r="AM28" s="35"/>
      <c r="AN28" s="35"/>
    </row>
    <row r="29" spans="1:40" x14ac:dyDescent="0.35">
      <c r="A29" s="1" t="s">
        <v>69</v>
      </c>
      <c r="B29" s="1" t="s">
        <v>68</v>
      </c>
      <c r="C29" s="1" t="s">
        <v>68</v>
      </c>
      <c r="D29" s="3" t="s">
        <v>246</v>
      </c>
      <c r="E29" s="2">
        <v>228474</v>
      </c>
      <c r="F29" s="2">
        <v>188600</v>
      </c>
      <c r="G29" s="2">
        <v>162841</v>
      </c>
      <c r="H29" s="2">
        <v>138159</v>
      </c>
      <c r="I29" s="2">
        <v>97028</v>
      </c>
      <c r="J29" s="2">
        <v>72862</v>
      </c>
      <c r="K29" s="2">
        <v>62681</v>
      </c>
      <c r="L29" s="2">
        <v>52570</v>
      </c>
      <c r="M29" s="2">
        <v>42294</v>
      </c>
      <c r="N29" s="2">
        <v>34004</v>
      </c>
      <c r="O29" s="2">
        <v>26043</v>
      </c>
      <c r="P29" s="2">
        <v>19596</v>
      </c>
      <c r="Q29" s="2">
        <v>14121</v>
      </c>
      <c r="R29" s="2">
        <v>9764</v>
      </c>
      <c r="S29" s="2">
        <v>6032</v>
      </c>
      <c r="T29" s="2">
        <v>3433</v>
      </c>
      <c r="U29" s="2">
        <v>2651</v>
      </c>
      <c r="V29" s="1">
        <f t="shared" si="0"/>
        <v>1161153</v>
      </c>
      <c r="W29" s="35"/>
      <c r="X29" s="35"/>
      <c r="Y29" s="35"/>
      <c r="Z29" s="35"/>
      <c r="AA29" s="35"/>
      <c r="AB29" s="35"/>
      <c r="AC29" s="35"/>
      <c r="AD29" s="35"/>
      <c r="AE29" s="35"/>
      <c r="AF29" s="35"/>
      <c r="AG29" s="35"/>
      <c r="AH29" s="35"/>
      <c r="AI29" s="35"/>
      <c r="AJ29" s="35"/>
      <c r="AK29" s="35"/>
      <c r="AL29" s="35"/>
      <c r="AM29" s="35"/>
      <c r="AN29" s="35"/>
    </row>
    <row r="30" spans="1:40" x14ac:dyDescent="0.35">
      <c r="A30" s="1" t="s">
        <v>83</v>
      </c>
      <c r="B30" s="1" t="s">
        <v>82</v>
      </c>
      <c r="C30" s="1" t="s">
        <v>82</v>
      </c>
      <c r="D30" s="3" t="s">
        <v>248</v>
      </c>
      <c r="E30" s="2">
        <v>87831</v>
      </c>
      <c r="F30" s="2">
        <v>73581</v>
      </c>
      <c r="G30" s="2">
        <v>63019</v>
      </c>
      <c r="H30" s="2">
        <v>55465</v>
      </c>
      <c r="I30" s="2">
        <v>37409</v>
      </c>
      <c r="J30" s="2">
        <v>27649</v>
      </c>
      <c r="K30" s="2">
        <v>27218</v>
      </c>
      <c r="L30" s="2">
        <v>24223</v>
      </c>
      <c r="M30" s="2">
        <v>19365</v>
      </c>
      <c r="N30" s="2">
        <v>15510</v>
      </c>
      <c r="O30" s="2">
        <v>11632</v>
      </c>
      <c r="P30" s="2">
        <v>8642</v>
      </c>
      <c r="Q30" s="2">
        <v>6258</v>
      </c>
      <c r="R30" s="2">
        <v>4401</v>
      </c>
      <c r="S30" s="2">
        <v>2975</v>
      </c>
      <c r="T30" s="2">
        <v>1787</v>
      </c>
      <c r="U30" s="2">
        <v>1270</v>
      </c>
      <c r="V30" s="1">
        <f t="shared" si="0"/>
        <v>468235</v>
      </c>
      <c r="W30" s="35"/>
      <c r="X30" s="35"/>
      <c r="Y30" s="35"/>
      <c r="Z30" s="35"/>
      <c r="AA30" s="35"/>
      <c r="AB30" s="35"/>
      <c r="AC30" s="35"/>
      <c r="AD30" s="35"/>
      <c r="AE30" s="35"/>
      <c r="AF30" s="35"/>
      <c r="AG30" s="35"/>
      <c r="AH30" s="35"/>
      <c r="AI30" s="35"/>
      <c r="AJ30" s="35"/>
      <c r="AK30" s="35"/>
      <c r="AL30" s="35"/>
      <c r="AM30" s="35"/>
      <c r="AN30" s="35"/>
    </row>
    <row r="31" spans="1:40" x14ac:dyDescent="0.35">
      <c r="A31" s="1" t="s">
        <v>83</v>
      </c>
      <c r="B31" s="1" t="s">
        <v>82</v>
      </c>
      <c r="C31" s="1" t="s">
        <v>82</v>
      </c>
      <c r="D31" s="3" t="s">
        <v>247</v>
      </c>
      <c r="E31" s="2">
        <v>91759</v>
      </c>
      <c r="F31" s="2" t="s">
        <v>249</v>
      </c>
      <c r="G31" s="2">
        <v>64061</v>
      </c>
      <c r="H31" s="2">
        <v>57058</v>
      </c>
      <c r="I31" s="2">
        <v>40761</v>
      </c>
      <c r="J31" s="2">
        <v>29316</v>
      </c>
      <c r="K31" s="2">
        <v>21640</v>
      </c>
      <c r="L31" s="2">
        <v>17079</v>
      </c>
      <c r="M31" s="2">
        <v>15164</v>
      </c>
      <c r="N31" s="2">
        <v>12968</v>
      </c>
      <c r="O31" s="2">
        <v>10462</v>
      </c>
      <c r="P31" s="2">
        <v>8168</v>
      </c>
      <c r="Q31" s="2">
        <v>5904</v>
      </c>
      <c r="R31" s="2">
        <v>4087</v>
      </c>
      <c r="S31" s="2">
        <v>2434</v>
      </c>
      <c r="T31" s="2">
        <v>1356</v>
      </c>
      <c r="U31" s="2">
        <v>1105</v>
      </c>
      <c r="V31" s="1">
        <f t="shared" si="0"/>
        <v>383322</v>
      </c>
      <c r="W31" s="35"/>
      <c r="X31" s="35"/>
      <c r="Y31" s="35"/>
      <c r="Z31" s="35"/>
      <c r="AA31" s="35"/>
      <c r="AB31" s="35"/>
      <c r="AC31" s="35"/>
      <c r="AD31" s="35"/>
      <c r="AE31" s="35"/>
      <c r="AF31" s="35"/>
      <c r="AG31" s="35"/>
      <c r="AH31" s="35"/>
      <c r="AI31" s="35"/>
      <c r="AJ31" s="35"/>
      <c r="AK31" s="35"/>
      <c r="AL31" s="35"/>
      <c r="AM31" s="35"/>
      <c r="AN31" s="35"/>
    </row>
    <row r="32" spans="1:40" x14ac:dyDescent="0.35">
      <c r="A32" s="1" t="s">
        <v>83</v>
      </c>
      <c r="B32" s="1" t="s">
        <v>82</v>
      </c>
      <c r="C32" s="1" t="s">
        <v>82</v>
      </c>
      <c r="D32" s="3" t="s">
        <v>246</v>
      </c>
      <c r="E32" s="2">
        <v>179589</v>
      </c>
      <c r="F32" s="2">
        <v>150331</v>
      </c>
      <c r="G32" s="2">
        <v>127080</v>
      </c>
      <c r="H32" s="2">
        <v>112523</v>
      </c>
      <c r="I32" s="2">
        <v>78169</v>
      </c>
      <c r="J32" s="2">
        <v>56966</v>
      </c>
      <c r="K32" s="2">
        <v>48858</v>
      </c>
      <c r="L32" s="2">
        <v>41302</v>
      </c>
      <c r="M32" s="2">
        <v>34529</v>
      </c>
      <c r="N32" s="2">
        <v>28479</v>
      </c>
      <c r="O32" s="2">
        <v>22093</v>
      </c>
      <c r="P32" s="2">
        <v>16810</v>
      </c>
      <c r="Q32" s="2">
        <v>12162</v>
      </c>
      <c r="R32" s="2">
        <v>8488</v>
      </c>
      <c r="S32" s="2">
        <v>5409</v>
      </c>
      <c r="T32" s="2">
        <v>3143</v>
      </c>
      <c r="U32" s="2">
        <v>2375</v>
      </c>
      <c r="V32" s="1">
        <f t="shared" si="0"/>
        <v>928306</v>
      </c>
      <c r="W32" s="35"/>
      <c r="X32" s="35"/>
      <c r="Y32" s="35"/>
      <c r="Z32" s="35"/>
      <c r="AA32" s="35"/>
      <c r="AB32" s="35"/>
      <c r="AC32" s="35"/>
      <c r="AD32" s="35"/>
      <c r="AE32" s="35"/>
      <c r="AF32" s="35"/>
      <c r="AG32" s="35"/>
      <c r="AH32" s="35"/>
      <c r="AI32" s="35"/>
      <c r="AJ32" s="35"/>
      <c r="AK32" s="35"/>
      <c r="AL32" s="35"/>
      <c r="AM32" s="35"/>
      <c r="AN32" s="35"/>
    </row>
    <row r="33" spans="1:40" x14ac:dyDescent="0.35">
      <c r="A33" s="1" t="s">
        <v>91</v>
      </c>
      <c r="B33" s="1" t="s">
        <v>90</v>
      </c>
      <c r="C33" s="1" t="s">
        <v>90</v>
      </c>
      <c r="D33" s="3" t="s">
        <v>248</v>
      </c>
      <c r="E33" s="2">
        <v>113082</v>
      </c>
      <c r="F33" s="2">
        <v>91270</v>
      </c>
      <c r="G33" s="2">
        <v>73403</v>
      </c>
      <c r="H33" s="2">
        <v>66940</v>
      </c>
      <c r="I33" s="2">
        <v>51196</v>
      </c>
      <c r="J33" s="2">
        <v>39743</v>
      </c>
      <c r="K33" s="2">
        <v>33532</v>
      </c>
      <c r="L33" s="2">
        <v>27680</v>
      </c>
      <c r="M33" s="2">
        <v>21651</v>
      </c>
      <c r="N33" s="2">
        <v>17360</v>
      </c>
      <c r="O33" s="2">
        <v>13794</v>
      </c>
      <c r="P33" s="2">
        <v>10861</v>
      </c>
      <c r="Q33" s="2">
        <v>8502</v>
      </c>
      <c r="R33" s="2">
        <v>6378</v>
      </c>
      <c r="S33" s="2">
        <v>4487</v>
      </c>
      <c r="T33" s="2">
        <v>2819</v>
      </c>
      <c r="U33" s="2">
        <v>2242</v>
      </c>
      <c r="V33" s="1">
        <f t="shared" si="0"/>
        <v>584940</v>
      </c>
      <c r="W33" s="35"/>
      <c r="X33" s="35"/>
      <c r="Y33" s="35"/>
      <c r="Z33" s="35"/>
      <c r="AA33" s="35"/>
      <c r="AB33" s="35"/>
      <c r="AC33" s="35"/>
      <c r="AD33" s="35"/>
      <c r="AE33" s="35"/>
      <c r="AF33" s="35"/>
      <c r="AG33" s="35"/>
      <c r="AH33" s="35"/>
      <c r="AI33" s="35"/>
      <c r="AJ33" s="35"/>
      <c r="AK33" s="35"/>
      <c r="AL33" s="35"/>
      <c r="AM33" s="35"/>
      <c r="AN33" s="35"/>
    </row>
    <row r="34" spans="1:40" x14ac:dyDescent="0.35">
      <c r="A34" s="1" t="s">
        <v>91</v>
      </c>
      <c r="B34" s="1" t="s">
        <v>90</v>
      </c>
      <c r="C34" s="1" t="s">
        <v>90</v>
      </c>
      <c r="D34" s="3" t="s">
        <v>247</v>
      </c>
      <c r="E34" s="2">
        <v>118139</v>
      </c>
      <c r="F34" s="2">
        <v>95200</v>
      </c>
      <c r="G34" s="2">
        <v>73672</v>
      </c>
      <c r="H34" s="2">
        <v>66353</v>
      </c>
      <c r="I34" s="2">
        <v>50232</v>
      </c>
      <c r="J34" s="2">
        <v>37297</v>
      </c>
      <c r="K34" s="2">
        <v>26730</v>
      </c>
      <c r="L34" s="2">
        <v>20339</v>
      </c>
      <c r="M34" s="2">
        <v>16822</v>
      </c>
      <c r="N34" s="2">
        <v>14020</v>
      </c>
      <c r="O34" s="2">
        <v>11708</v>
      </c>
      <c r="P34" s="2">
        <v>9531</v>
      </c>
      <c r="Q34" s="2">
        <v>7363</v>
      </c>
      <c r="R34" s="2">
        <v>5541</v>
      </c>
      <c r="S34" s="2">
        <v>3802</v>
      </c>
      <c r="T34" s="2">
        <v>2461</v>
      </c>
      <c r="U34" s="2">
        <v>2529</v>
      </c>
      <c r="V34" s="1">
        <f t="shared" si="0"/>
        <v>561739</v>
      </c>
      <c r="W34" s="35"/>
      <c r="X34" s="35"/>
      <c r="Y34" s="35"/>
      <c r="Z34" s="35"/>
      <c r="AA34" s="35"/>
      <c r="AB34" s="35"/>
      <c r="AC34" s="35"/>
      <c r="AD34" s="35"/>
      <c r="AE34" s="35"/>
      <c r="AF34" s="35"/>
      <c r="AG34" s="35"/>
      <c r="AH34" s="35"/>
      <c r="AI34" s="35"/>
      <c r="AJ34" s="35"/>
      <c r="AK34" s="35"/>
      <c r="AL34" s="35"/>
      <c r="AM34" s="35"/>
      <c r="AN34" s="35"/>
    </row>
    <row r="35" spans="1:40" x14ac:dyDescent="0.35">
      <c r="A35" s="1" t="s">
        <v>91</v>
      </c>
      <c r="B35" s="1" t="s">
        <v>90</v>
      </c>
      <c r="C35" s="1" t="s">
        <v>90</v>
      </c>
      <c r="D35" s="3" t="s">
        <v>246</v>
      </c>
      <c r="E35" s="2">
        <v>231222</v>
      </c>
      <c r="F35" s="2">
        <v>186470</v>
      </c>
      <c r="G35" s="2">
        <v>147075</v>
      </c>
      <c r="H35" s="2">
        <v>133293</v>
      </c>
      <c r="I35" s="2">
        <v>101428</v>
      </c>
      <c r="J35" s="2">
        <v>77040</v>
      </c>
      <c r="K35" s="2">
        <v>60262</v>
      </c>
      <c r="L35" s="2">
        <v>48019</v>
      </c>
      <c r="M35" s="2">
        <v>38472</v>
      </c>
      <c r="N35" s="2">
        <v>31380</v>
      </c>
      <c r="O35" s="2">
        <v>25502</v>
      </c>
      <c r="P35" s="2">
        <v>20392</v>
      </c>
      <c r="Q35" s="2">
        <v>15864</v>
      </c>
      <c r="R35" s="2">
        <v>11918</v>
      </c>
      <c r="S35" s="2">
        <v>8289</v>
      </c>
      <c r="T35" s="2">
        <v>5281</v>
      </c>
      <c r="U35" s="2">
        <v>4772</v>
      </c>
      <c r="V35" s="1">
        <f t="shared" ref="V35:V65" si="1">SUM(E35:U35)</f>
        <v>1146679</v>
      </c>
      <c r="W35" s="35"/>
      <c r="X35" s="35"/>
      <c r="Y35" s="35"/>
      <c r="Z35" s="35"/>
      <c r="AA35" s="35"/>
      <c r="AB35" s="35"/>
      <c r="AC35" s="35"/>
      <c r="AD35" s="35"/>
      <c r="AE35" s="35"/>
      <c r="AF35" s="35"/>
      <c r="AG35" s="35"/>
      <c r="AH35" s="35"/>
      <c r="AI35" s="35"/>
      <c r="AJ35" s="35"/>
      <c r="AK35" s="35"/>
      <c r="AL35" s="35"/>
      <c r="AM35" s="35"/>
      <c r="AN35" s="35"/>
    </row>
    <row r="36" spans="1:40" x14ac:dyDescent="0.35">
      <c r="A36" s="1" t="s">
        <v>101</v>
      </c>
      <c r="B36" s="1" t="s">
        <v>100</v>
      </c>
      <c r="C36" s="1" t="s">
        <v>100</v>
      </c>
      <c r="D36" s="3" t="s">
        <v>248</v>
      </c>
      <c r="E36" s="2">
        <v>84203</v>
      </c>
      <c r="F36" s="2">
        <v>67833</v>
      </c>
      <c r="G36" s="2">
        <v>55242</v>
      </c>
      <c r="H36" s="2">
        <v>49151</v>
      </c>
      <c r="I36" s="2">
        <v>37641</v>
      </c>
      <c r="J36" s="2">
        <v>29655</v>
      </c>
      <c r="K36" s="2">
        <v>25715</v>
      </c>
      <c r="L36" s="2">
        <v>21135</v>
      </c>
      <c r="M36" s="2">
        <v>15319</v>
      </c>
      <c r="N36" s="2">
        <v>11614</v>
      </c>
      <c r="O36" s="2">
        <v>9106</v>
      </c>
      <c r="P36" s="2">
        <v>6962</v>
      </c>
      <c r="Q36" s="2">
        <v>5048</v>
      </c>
      <c r="R36" s="2">
        <v>3620</v>
      </c>
      <c r="S36" s="2">
        <v>2556</v>
      </c>
      <c r="T36" s="2">
        <v>1637</v>
      </c>
      <c r="U36" s="2">
        <v>1497</v>
      </c>
      <c r="V36" s="1">
        <f t="shared" si="1"/>
        <v>427934</v>
      </c>
      <c r="W36" s="35"/>
      <c r="X36" s="35"/>
      <c r="Y36" s="35"/>
      <c r="Z36" s="35"/>
      <c r="AA36" s="35"/>
      <c r="AB36" s="35"/>
      <c r="AC36" s="35"/>
      <c r="AD36" s="35"/>
      <c r="AE36" s="35"/>
      <c r="AF36" s="35"/>
      <c r="AG36" s="35"/>
      <c r="AH36" s="35"/>
      <c r="AI36" s="35"/>
      <c r="AJ36" s="35"/>
      <c r="AK36" s="35"/>
      <c r="AL36" s="35"/>
      <c r="AM36" s="35"/>
      <c r="AN36" s="35"/>
    </row>
    <row r="37" spans="1:40" x14ac:dyDescent="0.35">
      <c r="A37" s="1" t="s">
        <v>101</v>
      </c>
      <c r="B37" s="1" t="s">
        <v>100</v>
      </c>
      <c r="C37" s="1" t="s">
        <v>100</v>
      </c>
      <c r="D37" s="3" t="s">
        <v>247</v>
      </c>
      <c r="E37" s="2">
        <v>87969</v>
      </c>
      <c r="F37" s="2">
        <v>70755</v>
      </c>
      <c r="G37" s="2">
        <v>54988</v>
      </c>
      <c r="H37" s="2">
        <v>48347</v>
      </c>
      <c r="I37" s="2">
        <v>37704</v>
      </c>
      <c r="J37" s="2">
        <v>28953</v>
      </c>
      <c r="K37" s="2">
        <v>21036</v>
      </c>
      <c r="L37" s="2">
        <v>15970</v>
      </c>
      <c r="M37" s="2">
        <v>12567</v>
      </c>
      <c r="N37" s="2">
        <v>10150</v>
      </c>
      <c r="O37" s="2">
        <v>8529</v>
      </c>
      <c r="P37" s="2">
        <v>6833</v>
      </c>
      <c r="Q37" s="2">
        <v>4971</v>
      </c>
      <c r="R37" s="2">
        <v>3544</v>
      </c>
      <c r="S37" s="2">
        <v>2285</v>
      </c>
      <c r="T37" s="2">
        <v>1408</v>
      </c>
      <c r="U37" s="2">
        <v>1445</v>
      </c>
      <c r="V37" s="1">
        <f t="shared" si="1"/>
        <v>417454</v>
      </c>
      <c r="W37" s="35"/>
      <c r="X37" s="35"/>
      <c r="Y37" s="35"/>
      <c r="Z37" s="35"/>
      <c r="AA37" s="35"/>
      <c r="AB37" s="35"/>
      <c r="AC37" s="35"/>
      <c r="AD37" s="35"/>
      <c r="AE37" s="35"/>
      <c r="AF37" s="35"/>
      <c r="AG37" s="35"/>
      <c r="AH37" s="35"/>
      <c r="AI37" s="35"/>
      <c r="AJ37" s="35"/>
      <c r="AK37" s="35"/>
      <c r="AL37" s="35"/>
      <c r="AM37" s="35"/>
      <c r="AN37" s="35"/>
    </row>
    <row r="38" spans="1:40" x14ac:dyDescent="0.35">
      <c r="A38" s="1" t="s">
        <v>101</v>
      </c>
      <c r="B38" s="1" t="s">
        <v>100</v>
      </c>
      <c r="C38" s="1" t="s">
        <v>100</v>
      </c>
      <c r="D38" s="3" t="s">
        <v>246</v>
      </c>
      <c r="E38" s="2">
        <v>172172</v>
      </c>
      <c r="F38" s="2">
        <v>138588</v>
      </c>
      <c r="G38" s="2">
        <v>110230</v>
      </c>
      <c r="H38" s="2">
        <v>97498</v>
      </c>
      <c r="I38" s="2">
        <v>75345</v>
      </c>
      <c r="J38" s="2">
        <v>58609</v>
      </c>
      <c r="K38" s="2">
        <v>46751</v>
      </c>
      <c r="L38" s="2">
        <v>37105</v>
      </c>
      <c r="M38" s="2">
        <v>27886</v>
      </c>
      <c r="N38" s="2">
        <v>21764</v>
      </c>
      <c r="O38" s="2">
        <v>17635</v>
      </c>
      <c r="P38" s="2">
        <v>13795</v>
      </c>
      <c r="Q38" s="2">
        <v>10019</v>
      </c>
      <c r="R38" s="2">
        <v>7164</v>
      </c>
      <c r="S38" s="2">
        <v>4841</v>
      </c>
      <c r="T38" s="2">
        <v>3045</v>
      </c>
      <c r="U38" s="2">
        <v>2943</v>
      </c>
      <c r="V38" s="8">
        <f t="shared" si="1"/>
        <v>845390</v>
      </c>
      <c r="W38" s="35"/>
      <c r="X38" s="35"/>
      <c r="Y38" s="35"/>
      <c r="Z38" s="35"/>
      <c r="AA38" s="35"/>
      <c r="AB38" s="35"/>
      <c r="AC38" s="35"/>
      <c r="AD38" s="35"/>
      <c r="AE38" s="35"/>
      <c r="AF38" s="35"/>
      <c r="AG38" s="35"/>
      <c r="AH38" s="35"/>
      <c r="AI38" s="35"/>
      <c r="AJ38" s="35"/>
      <c r="AK38" s="35"/>
      <c r="AL38" s="35"/>
      <c r="AM38" s="35"/>
      <c r="AN38" s="35"/>
    </row>
    <row r="39" spans="1:40" x14ac:dyDescent="0.35">
      <c r="A39" s="1" t="s">
        <v>107</v>
      </c>
      <c r="B39" s="1" t="s">
        <v>106</v>
      </c>
      <c r="C39" s="1" t="s">
        <v>106</v>
      </c>
      <c r="D39" s="3" t="s">
        <v>248</v>
      </c>
      <c r="E39" s="2">
        <v>85236</v>
      </c>
      <c r="F39" s="2">
        <v>70391</v>
      </c>
      <c r="G39" s="2">
        <v>55759</v>
      </c>
      <c r="H39" s="2">
        <v>49183</v>
      </c>
      <c r="I39" s="2">
        <v>37093</v>
      </c>
      <c r="J39" s="2">
        <v>29175</v>
      </c>
      <c r="K39" s="2">
        <v>26022</v>
      </c>
      <c r="L39" s="2">
        <v>22096</v>
      </c>
      <c r="M39" s="2">
        <v>17484</v>
      </c>
      <c r="N39" s="2">
        <v>13831</v>
      </c>
      <c r="O39" s="2">
        <v>10246</v>
      </c>
      <c r="P39" s="2">
        <v>7497</v>
      </c>
      <c r="Q39" s="2">
        <v>5266</v>
      </c>
      <c r="R39" s="2">
        <v>3635</v>
      </c>
      <c r="S39" s="2">
        <v>2474</v>
      </c>
      <c r="T39" s="2">
        <v>1506</v>
      </c>
      <c r="U39" s="2">
        <v>1162</v>
      </c>
      <c r="V39" s="1">
        <f t="shared" si="1"/>
        <v>438056</v>
      </c>
      <c r="W39" s="35"/>
      <c r="X39" s="35"/>
      <c r="Y39" s="35"/>
      <c r="Z39" s="35"/>
      <c r="AA39" s="35"/>
      <c r="AB39" s="35"/>
      <c r="AC39" s="35"/>
      <c r="AD39" s="35"/>
      <c r="AE39" s="35"/>
      <c r="AF39" s="35"/>
      <c r="AG39" s="35"/>
      <c r="AH39" s="35"/>
      <c r="AI39" s="35"/>
      <c r="AJ39" s="35"/>
      <c r="AK39" s="35"/>
      <c r="AL39" s="35"/>
      <c r="AM39" s="35"/>
      <c r="AN39" s="35"/>
    </row>
    <row r="40" spans="1:40" x14ac:dyDescent="0.35">
      <c r="A40" s="1" t="s">
        <v>107</v>
      </c>
      <c r="B40" s="1" t="s">
        <v>106</v>
      </c>
      <c r="C40" s="1" t="s">
        <v>106</v>
      </c>
      <c r="D40" s="3" t="s">
        <v>247</v>
      </c>
      <c r="E40" s="2">
        <v>89048</v>
      </c>
      <c r="F40" s="2">
        <v>73423</v>
      </c>
      <c r="G40" s="2">
        <v>57172</v>
      </c>
      <c r="H40" s="2">
        <v>50599</v>
      </c>
      <c r="I40" s="2">
        <v>38339</v>
      </c>
      <c r="J40" s="2">
        <v>29070</v>
      </c>
      <c r="K40" s="2">
        <v>22116</v>
      </c>
      <c r="L40" s="2">
        <v>17615</v>
      </c>
      <c r="M40" s="2">
        <v>14723</v>
      </c>
      <c r="N40" s="2">
        <v>12440</v>
      </c>
      <c r="O40" s="2">
        <v>10821</v>
      </c>
      <c r="P40" s="2">
        <v>8757</v>
      </c>
      <c r="Q40" s="2">
        <v>6192</v>
      </c>
      <c r="R40" s="2">
        <v>4246</v>
      </c>
      <c r="S40" s="2">
        <v>2583</v>
      </c>
      <c r="T40" s="2">
        <v>1447</v>
      </c>
      <c r="U40" s="2">
        <v>1131</v>
      </c>
      <c r="V40" s="1">
        <f t="shared" si="1"/>
        <v>439722</v>
      </c>
      <c r="W40" s="35"/>
      <c r="X40" s="35"/>
      <c r="Y40" s="35"/>
      <c r="Z40" s="35"/>
      <c r="AA40" s="35"/>
      <c r="AB40" s="35"/>
      <c r="AC40" s="35"/>
      <c r="AD40" s="35"/>
      <c r="AE40" s="35"/>
      <c r="AF40" s="35"/>
      <c r="AG40" s="35"/>
      <c r="AH40" s="35"/>
      <c r="AI40" s="35"/>
      <c r="AJ40" s="35"/>
      <c r="AK40" s="35"/>
      <c r="AL40" s="35"/>
      <c r="AM40" s="35"/>
      <c r="AN40" s="35"/>
    </row>
    <row r="41" spans="1:40" x14ac:dyDescent="0.35">
      <c r="A41" s="1" t="s">
        <v>107</v>
      </c>
      <c r="B41" s="1" t="s">
        <v>106</v>
      </c>
      <c r="C41" s="1" t="s">
        <v>106</v>
      </c>
      <c r="D41" s="3" t="s">
        <v>246</v>
      </c>
      <c r="E41" s="2">
        <v>174285</v>
      </c>
      <c r="F41" s="2">
        <v>143813</v>
      </c>
      <c r="G41" s="2">
        <v>112931</v>
      </c>
      <c r="H41" s="2">
        <v>99782</v>
      </c>
      <c r="I41" s="2">
        <v>75432</v>
      </c>
      <c r="J41" s="2">
        <v>58245</v>
      </c>
      <c r="K41" s="2">
        <v>48138</v>
      </c>
      <c r="L41" s="2">
        <v>39711</v>
      </c>
      <c r="M41" s="2">
        <v>32207</v>
      </c>
      <c r="N41" s="2">
        <v>26271</v>
      </c>
      <c r="O41" s="2">
        <v>21067</v>
      </c>
      <c r="P41" s="2">
        <v>16254</v>
      </c>
      <c r="Q41" s="2">
        <v>11458</v>
      </c>
      <c r="R41" s="2">
        <v>7881</v>
      </c>
      <c r="S41" s="2">
        <v>5057</v>
      </c>
      <c r="T41" s="2">
        <v>2952</v>
      </c>
      <c r="U41" s="2">
        <v>2293</v>
      </c>
      <c r="V41" s="1">
        <f t="shared" si="1"/>
        <v>877777</v>
      </c>
      <c r="W41" s="35"/>
      <c r="X41" s="35"/>
      <c r="Y41" s="35"/>
      <c r="Z41" s="35"/>
      <c r="AA41" s="35"/>
      <c r="AB41" s="35"/>
      <c r="AC41" s="35"/>
      <c r="AD41" s="35"/>
      <c r="AE41" s="35"/>
      <c r="AF41" s="35"/>
      <c r="AG41" s="35"/>
      <c r="AH41" s="35"/>
      <c r="AI41" s="35"/>
      <c r="AJ41" s="35"/>
      <c r="AK41" s="35"/>
      <c r="AL41" s="35"/>
      <c r="AM41" s="35"/>
      <c r="AN41" s="35"/>
    </row>
    <row r="42" spans="1:40" x14ac:dyDescent="0.35">
      <c r="A42" s="1" t="s">
        <v>112</v>
      </c>
      <c r="B42" s="1" t="s">
        <v>207</v>
      </c>
      <c r="C42" s="1" t="s">
        <v>204</v>
      </c>
      <c r="D42" s="3" t="s">
        <v>248</v>
      </c>
      <c r="E42" s="2">
        <v>104055</v>
      </c>
      <c r="F42" s="2">
        <v>86783</v>
      </c>
      <c r="G42" s="2">
        <v>68080</v>
      </c>
      <c r="H42" s="2">
        <v>62018</v>
      </c>
      <c r="I42" s="2">
        <v>44788</v>
      </c>
      <c r="J42" s="2">
        <v>34033</v>
      </c>
      <c r="K42" s="2">
        <v>31932</v>
      </c>
      <c r="L42" s="2">
        <v>27888</v>
      </c>
      <c r="M42" s="2">
        <v>22542</v>
      </c>
      <c r="N42" s="2">
        <v>18037</v>
      </c>
      <c r="O42" s="2">
        <v>13307</v>
      </c>
      <c r="P42" s="2">
        <v>9644</v>
      </c>
      <c r="Q42" s="2">
        <v>6350</v>
      </c>
      <c r="R42" s="2">
        <v>4375</v>
      </c>
      <c r="S42" s="2">
        <v>3479</v>
      </c>
      <c r="T42" s="2">
        <v>2389</v>
      </c>
      <c r="U42" s="2">
        <v>2368</v>
      </c>
      <c r="V42" s="1">
        <f t="shared" si="1"/>
        <v>542068</v>
      </c>
      <c r="W42" s="35"/>
      <c r="X42" s="35"/>
      <c r="Y42" s="35"/>
      <c r="Z42" s="35"/>
      <c r="AA42" s="35"/>
      <c r="AB42" s="35"/>
      <c r="AC42" s="35"/>
      <c r="AD42" s="35"/>
      <c r="AE42" s="35"/>
      <c r="AF42" s="35"/>
      <c r="AG42" s="35"/>
      <c r="AH42" s="35"/>
      <c r="AI42" s="35"/>
      <c r="AJ42" s="35"/>
      <c r="AK42" s="35"/>
      <c r="AL42" s="35"/>
      <c r="AM42" s="35"/>
      <c r="AN42" s="35"/>
    </row>
    <row r="43" spans="1:40" x14ac:dyDescent="0.35">
      <c r="A43" s="1" t="s">
        <v>112</v>
      </c>
      <c r="B43" s="1" t="s">
        <v>207</v>
      </c>
      <c r="C43" s="1" t="s">
        <v>204</v>
      </c>
      <c r="D43" s="3" t="s">
        <v>247</v>
      </c>
      <c r="E43" s="2">
        <v>108708</v>
      </c>
      <c r="F43" s="2">
        <v>90521</v>
      </c>
      <c r="G43" s="2">
        <v>69501</v>
      </c>
      <c r="H43" s="2">
        <v>63537</v>
      </c>
      <c r="I43" s="2">
        <v>45913</v>
      </c>
      <c r="J43" s="2">
        <v>32448</v>
      </c>
      <c r="K43" s="2">
        <v>22527</v>
      </c>
      <c r="L43" s="2">
        <v>17521</v>
      </c>
      <c r="M43" s="2">
        <v>16888</v>
      </c>
      <c r="N43" s="2">
        <v>15234</v>
      </c>
      <c r="O43" s="2">
        <v>13107</v>
      </c>
      <c r="P43" s="2">
        <v>10536</v>
      </c>
      <c r="Q43" s="2">
        <v>7043</v>
      </c>
      <c r="R43" s="2">
        <v>4910</v>
      </c>
      <c r="S43" s="2">
        <v>3730</v>
      </c>
      <c r="T43" s="2">
        <v>2456</v>
      </c>
      <c r="U43" s="2">
        <v>2294</v>
      </c>
      <c r="V43" s="1">
        <f t="shared" si="1"/>
        <v>526874</v>
      </c>
      <c r="W43" s="35"/>
      <c r="X43" s="35"/>
      <c r="Y43" s="35"/>
      <c r="Z43" s="35"/>
      <c r="AA43" s="35"/>
      <c r="AB43" s="35"/>
      <c r="AC43" s="35"/>
      <c r="AD43" s="35"/>
      <c r="AE43" s="35"/>
      <c r="AF43" s="35"/>
      <c r="AG43" s="35"/>
      <c r="AH43" s="35"/>
      <c r="AI43" s="35"/>
      <c r="AJ43" s="35"/>
      <c r="AK43" s="35"/>
      <c r="AL43" s="35"/>
      <c r="AM43" s="35"/>
      <c r="AN43" s="35"/>
    </row>
    <row r="44" spans="1:40" x14ac:dyDescent="0.35">
      <c r="A44" s="1" t="s">
        <v>112</v>
      </c>
      <c r="B44" s="1" t="s">
        <v>207</v>
      </c>
      <c r="C44" s="1" t="s">
        <v>204</v>
      </c>
      <c r="D44" s="3" t="s">
        <v>246</v>
      </c>
      <c r="E44" s="2">
        <v>212763</v>
      </c>
      <c r="F44" s="2">
        <v>177304</v>
      </c>
      <c r="G44" s="2">
        <v>137582</v>
      </c>
      <c r="H44" s="2">
        <v>125554</v>
      </c>
      <c r="I44" s="2">
        <v>90701</v>
      </c>
      <c r="J44" s="2">
        <v>66482</v>
      </c>
      <c r="K44" s="2">
        <v>54459</v>
      </c>
      <c r="L44" s="2">
        <v>45409</v>
      </c>
      <c r="M44" s="2">
        <v>39430</v>
      </c>
      <c r="N44" s="2">
        <v>33271</v>
      </c>
      <c r="O44" s="2">
        <v>26414</v>
      </c>
      <c r="P44" s="2">
        <v>20180</v>
      </c>
      <c r="Q44" s="2">
        <v>13393</v>
      </c>
      <c r="R44" s="2">
        <v>9285</v>
      </c>
      <c r="S44" s="2">
        <v>7210</v>
      </c>
      <c r="T44" s="2">
        <v>4845</v>
      </c>
      <c r="U44" s="2">
        <v>4663</v>
      </c>
      <c r="V44" s="1">
        <f t="shared" si="1"/>
        <v>1068945</v>
      </c>
      <c r="W44" s="35"/>
      <c r="X44" s="35"/>
      <c r="Y44" s="35"/>
      <c r="Z44" s="35"/>
      <c r="AA44" s="35"/>
      <c r="AB44" s="35"/>
      <c r="AC44" s="35"/>
      <c r="AD44" s="35"/>
      <c r="AE44" s="35"/>
      <c r="AF44" s="35"/>
      <c r="AG44" s="35"/>
      <c r="AH44" s="35"/>
      <c r="AI44" s="35"/>
      <c r="AJ44" s="35"/>
      <c r="AK44" s="35"/>
      <c r="AL44" s="35"/>
      <c r="AM44" s="35"/>
      <c r="AN44" s="35"/>
    </row>
    <row r="45" spans="1:40" x14ac:dyDescent="0.35">
      <c r="A45" s="1" t="s">
        <v>120</v>
      </c>
      <c r="B45" s="1" t="s">
        <v>119</v>
      </c>
      <c r="C45" s="1" t="s">
        <v>119</v>
      </c>
      <c r="D45" s="3" t="s">
        <v>248</v>
      </c>
      <c r="E45" s="2">
        <v>44151</v>
      </c>
      <c r="F45" s="2">
        <v>36612</v>
      </c>
      <c r="G45" s="2">
        <v>29259</v>
      </c>
      <c r="H45" s="2">
        <v>26237</v>
      </c>
      <c r="I45" s="2">
        <v>18891</v>
      </c>
      <c r="J45" s="2">
        <v>14474</v>
      </c>
      <c r="K45" s="2">
        <v>13872</v>
      </c>
      <c r="L45" s="2">
        <v>12024</v>
      </c>
      <c r="M45" s="2">
        <v>9060</v>
      </c>
      <c r="N45" s="2">
        <v>6938</v>
      </c>
      <c r="O45" s="2">
        <v>5044</v>
      </c>
      <c r="P45" s="2">
        <v>3657</v>
      </c>
      <c r="Q45" s="2">
        <v>2577</v>
      </c>
      <c r="R45" s="2">
        <v>1841</v>
      </c>
      <c r="S45" s="2">
        <v>1400</v>
      </c>
      <c r="T45" s="2">
        <v>930</v>
      </c>
      <c r="U45" s="2">
        <v>878</v>
      </c>
      <c r="V45" s="1">
        <f t="shared" si="1"/>
        <v>227845</v>
      </c>
      <c r="W45" s="35"/>
      <c r="X45" s="35"/>
      <c r="Y45" s="35"/>
      <c r="Z45" s="35"/>
      <c r="AA45" s="35"/>
      <c r="AB45" s="35"/>
      <c r="AC45" s="35"/>
      <c r="AD45" s="35"/>
      <c r="AE45" s="35"/>
      <c r="AF45" s="35"/>
      <c r="AG45" s="35"/>
      <c r="AH45" s="35"/>
      <c r="AI45" s="35"/>
      <c r="AJ45" s="35"/>
      <c r="AK45" s="35"/>
      <c r="AL45" s="35"/>
      <c r="AM45" s="35"/>
      <c r="AN45" s="35"/>
    </row>
    <row r="46" spans="1:40" x14ac:dyDescent="0.35">
      <c r="A46" s="1" t="s">
        <v>120</v>
      </c>
      <c r="B46" s="1" t="s">
        <v>119</v>
      </c>
      <c r="C46" s="1" t="s">
        <v>119</v>
      </c>
      <c r="D46" s="3" t="s">
        <v>247</v>
      </c>
      <c r="E46" s="2">
        <v>46125</v>
      </c>
      <c r="F46" s="2">
        <v>38189</v>
      </c>
      <c r="G46" s="2">
        <v>30757</v>
      </c>
      <c r="H46" s="2">
        <v>27676</v>
      </c>
      <c r="I46" s="2">
        <v>19309</v>
      </c>
      <c r="J46" s="2">
        <v>13367</v>
      </c>
      <c r="K46" s="2">
        <v>9318</v>
      </c>
      <c r="L46" s="2">
        <v>7213</v>
      </c>
      <c r="M46" s="2">
        <v>6836</v>
      </c>
      <c r="N46" s="2">
        <v>6098</v>
      </c>
      <c r="O46" s="2">
        <v>5122</v>
      </c>
      <c r="P46" s="2">
        <v>4121</v>
      </c>
      <c r="Q46" s="2">
        <v>2954</v>
      </c>
      <c r="R46" s="2">
        <v>2134</v>
      </c>
      <c r="S46" s="2">
        <v>1544</v>
      </c>
      <c r="T46" s="2">
        <v>989</v>
      </c>
      <c r="U46" s="2">
        <v>909</v>
      </c>
      <c r="V46" s="1">
        <f t="shared" si="1"/>
        <v>222661</v>
      </c>
      <c r="W46" s="35"/>
      <c r="X46" s="35"/>
      <c r="Y46" s="35"/>
      <c r="Z46" s="35"/>
      <c r="AA46" s="35"/>
      <c r="AB46" s="35"/>
      <c r="AC46" s="35"/>
      <c r="AD46" s="35"/>
      <c r="AE46" s="35"/>
      <c r="AF46" s="35"/>
      <c r="AG46" s="35"/>
      <c r="AH46" s="35"/>
      <c r="AI46" s="35"/>
      <c r="AJ46" s="35"/>
      <c r="AK46" s="35"/>
      <c r="AL46" s="35"/>
      <c r="AM46" s="35"/>
      <c r="AN46" s="35"/>
    </row>
    <row r="47" spans="1:40" x14ac:dyDescent="0.35">
      <c r="A47" s="1" t="s">
        <v>120</v>
      </c>
      <c r="B47" s="1" t="s">
        <v>119</v>
      </c>
      <c r="C47" s="1" t="s">
        <v>119</v>
      </c>
      <c r="D47" s="3" t="s">
        <v>246</v>
      </c>
      <c r="E47" s="2">
        <v>90276</v>
      </c>
      <c r="F47" s="2">
        <v>74801</v>
      </c>
      <c r="G47" s="2">
        <v>60016</v>
      </c>
      <c r="H47" s="2">
        <v>53913</v>
      </c>
      <c r="I47" s="2">
        <v>38200</v>
      </c>
      <c r="J47" s="2">
        <v>27841</v>
      </c>
      <c r="K47" s="2">
        <v>23190</v>
      </c>
      <c r="L47" s="2">
        <v>19237</v>
      </c>
      <c r="M47" s="2">
        <v>15895</v>
      </c>
      <c r="N47" s="2">
        <v>13036</v>
      </c>
      <c r="O47" s="2">
        <v>10165</v>
      </c>
      <c r="P47" s="2">
        <v>7778</v>
      </c>
      <c r="Q47" s="2">
        <v>5531</v>
      </c>
      <c r="R47" s="2">
        <v>3975</v>
      </c>
      <c r="S47" s="2">
        <v>2944</v>
      </c>
      <c r="T47" s="2">
        <v>1919</v>
      </c>
      <c r="U47" s="2">
        <v>1787</v>
      </c>
      <c r="V47" s="1">
        <f t="shared" si="1"/>
        <v>450504</v>
      </c>
      <c r="W47" s="35"/>
      <c r="X47" s="35"/>
      <c r="Y47" s="35"/>
      <c r="Z47" s="35"/>
      <c r="AA47" s="35"/>
      <c r="AB47" s="35"/>
      <c r="AC47" s="35"/>
      <c r="AD47" s="35"/>
      <c r="AE47" s="35"/>
      <c r="AF47" s="35"/>
      <c r="AG47" s="35"/>
      <c r="AH47" s="35"/>
      <c r="AI47" s="35"/>
      <c r="AJ47" s="35"/>
      <c r="AK47" s="35"/>
      <c r="AL47" s="35"/>
      <c r="AM47" s="35"/>
      <c r="AN47" s="35"/>
    </row>
    <row r="48" spans="1:40" x14ac:dyDescent="0.35">
      <c r="A48" s="1" t="s">
        <v>127</v>
      </c>
      <c r="B48" s="1" t="s">
        <v>208</v>
      </c>
      <c r="C48" s="1" t="s">
        <v>203</v>
      </c>
      <c r="D48" s="3" t="s">
        <v>248</v>
      </c>
      <c r="E48" s="2">
        <v>98676</v>
      </c>
      <c r="F48" s="2">
        <v>80628</v>
      </c>
      <c r="G48" s="2">
        <v>64654</v>
      </c>
      <c r="H48" s="2">
        <v>57425</v>
      </c>
      <c r="I48" s="2">
        <v>43819</v>
      </c>
      <c r="J48" s="2">
        <v>34422</v>
      </c>
      <c r="K48" s="2">
        <v>29580</v>
      </c>
      <c r="L48" s="2">
        <v>24723</v>
      </c>
      <c r="M48" s="2">
        <v>19670</v>
      </c>
      <c r="N48" s="2">
        <v>15751</v>
      </c>
      <c r="O48" s="2">
        <v>12106</v>
      </c>
      <c r="P48" s="2">
        <v>9150</v>
      </c>
      <c r="Q48" s="2">
        <v>6610</v>
      </c>
      <c r="R48" s="2">
        <v>4689</v>
      </c>
      <c r="S48" s="2">
        <v>3295</v>
      </c>
      <c r="T48" s="2">
        <v>2031</v>
      </c>
      <c r="U48" s="2">
        <v>1460</v>
      </c>
      <c r="V48" s="1">
        <f t="shared" si="1"/>
        <v>508689</v>
      </c>
      <c r="W48" s="35"/>
      <c r="X48" s="35"/>
      <c r="Y48" s="35"/>
      <c r="Z48" s="35"/>
      <c r="AA48" s="35"/>
      <c r="AB48" s="35"/>
      <c r="AC48" s="35"/>
      <c r="AD48" s="35"/>
      <c r="AE48" s="35"/>
      <c r="AF48" s="35"/>
      <c r="AG48" s="35"/>
      <c r="AH48" s="35"/>
      <c r="AI48" s="35"/>
      <c r="AJ48" s="35"/>
      <c r="AK48" s="35"/>
      <c r="AL48" s="35"/>
      <c r="AM48" s="35"/>
      <c r="AN48" s="35"/>
    </row>
    <row r="49" spans="1:40" x14ac:dyDescent="0.35">
      <c r="A49" s="1" t="s">
        <v>127</v>
      </c>
      <c r="B49" s="1" t="s">
        <v>208</v>
      </c>
      <c r="C49" s="1" t="s">
        <v>203</v>
      </c>
      <c r="D49" s="3" t="s">
        <v>247</v>
      </c>
      <c r="E49" s="2">
        <v>103089</v>
      </c>
      <c r="F49" s="2">
        <v>84101</v>
      </c>
      <c r="G49" s="2">
        <v>64884</v>
      </c>
      <c r="H49" s="2">
        <v>57352</v>
      </c>
      <c r="I49" s="2">
        <v>44100</v>
      </c>
      <c r="J49" s="2">
        <v>33007</v>
      </c>
      <c r="K49" s="2">
        <v>22469</v>
      </c>
      <c r="L49" s="2">
        <v>16662</v>
      </c>
      <c r="M49" s="2">
        <v>14399</v>
      </c>
      <c r="N49" s="2">
        <v>12234</v>
      </c>
      <c r="O49" s="2">
        <v>10109</v>
      </c>
      <c r="P49" s="2">
        <v>8164</v>
      </c>
      <c r="Q49" s="2">
        <v>6377</v>
      </c>
      <c r="R49" s="2">
        <v>4671</v>
      </c>
      <c r="S49" s="2">
        <v>2876</v>
      </c>
      <c r="T49" s="2">
        <v>1648</v>
      </c>
      <c r="U49" s="2">
        <v>1370</v>
      </c>
      <c r="V49" s="1">
        <f t="shared" si="1"/>
        <v>487512</v>
      </c>
      <c r="W49" s="35"/>
      <c r="X49" s="35"/>
      <c r="Y49" s="35"/>
      <c r="Z49" s="35"/>
      <c r="AA49" s="35"/>
      <c r="AB49" s="35"/>
      <c r="AC49" s="35"/>
      <c r="AD49" s="35"/>
      <c r="AE49" s="35"/>
      <c r="AF49" s="35"/>
      <c r="AG49" s="35"/>
      <c r="AH49" s="35"/>
      <c r="AI49" s="35"/>
      <c r="AJ49" s="35"/>
      <c r="AK49" s="35"/>
      <c r="AL49" s="35"/>
      <c r="AM49" s="35"/>
      <c r="AN49" s="35"/>
    </row>
    <row r="50" spans="1:40" x14ac:dyDescent="0.35">
      <c r="A50" s="1" t="s">
        <v>127</v>
      </c>
      <c r="B50" s="1" t="s">
        <v>208</v>
      </c>
      <c r="C50" s="1" t="s">
        <v>203</v>
      </c>
      <c r="D50" s="3" t="s">
        <v>246</v>
      </c>
      <c r="E50" s="2">
        <v>201765</v>
      </c>
      <c r="F50" s="2">
        <v>164729</v>
      </c>
      <c r="G50" s="2">
        <v>129538</v>
      </c>
      <c r="H50" s="2">
        <v>114777</v>
      </c>
      <c r="I50" s="2">
        <v>87919</v>
      </c>
      <c r="J50" s="2">
        <v>67429</v>
      </c>
      <c r="K50" s="2">
        <v>52048</v>
      </c>
      <c r="L50" s="2">
        <v>41385</v>
      </c>
      <c r="M50" s="2">
        <v>34069</v>
      </c>
      <c r="N50" s="2">
        <v>27986</v>
      </c>
      <c r="O50" s="2">
        <v>22215</v>
      </c>
      <c r="P50" s="2">
        <v>17314</v>
      </c>
      <c r="Q50" s="2">
        <v>12987</v>
      </c>
      <c r="R50" s="2">
        <v>9360</v>
      </c>
      <c r="S50" s="2">
        <v>6172</v>
      </c>
      <c r="T50" s="2">
        <v>3679</v>
      </c>
      <c r="U50" s="2">
        <v>2831</v>
      </c>
      <c r="V50" s="1">
        <f t="shared" si="1"/>
        <v>996203</v>
      </c>
      <c r="W50" s="35"/>
      <c r="X50" s="35"/>
      <c r="Y50" s="35"/>
      <c r="Z50" s="35"/>
      <c r="AA50" s="35"/>
      <c r="AB50" s="35"/>
      <c r="AC50" s="35"/>
      <c r="AD50" s="35"/>
      <c r="AE50" s="35"/>
      <c r="AF50" s="35"/>
      <c r="AG50" s="35"/>
      <c r="AH50" s="35"/>
      <c r="AI50" s="35"/>
      <c r="AJ50" s="35"/>
      <c r="AK50" s="35"/>
      <c r="AL50" s="35"/>
      <c r="AM50" s="35"/>
      <c r="AN50" s="35"/>
    </row>
    <row r="51" spans="1:40" x14ac:dyDescent="0.35">
      <c r="A51" s="1" t="s">
        <v>131</v>
      </c>
      <c r="B51" s="1" t="s">
        <v>130</v>
      </c>
      <c r="C51" s="1" t="s">
        <v>130</v>
      </c>
      <c r="D51" s="3" t="s">
        <v>248</v>
      </c>
      <c r="E51" s="2">
        <v>74915</v>
      </c>
      <c r="F51" s="2">
        <v>60971</v>
      </c>
      <c r="G51" s="2">
        <v>46318</v>
      </c>
      <c r="H51" s="2">
        <v>44397</v>
      </c>
      <c r="I51" s="2">
        <v>33789</v>
      </c>
      <c r="J51" s="2">
        <v>25722</v>
      </c>
      <c r="K51" s="2">
        <v>22028</v>
      </c>
      <c r="L51" s="2">
        <v>18531</v>
      </c>
      <c r="M51" s="2">
        <v>15412</v>
      </c>
      <c r="N51" s="2">
        <v>12517</v>
      </c>
      <c r="O51" s="2">
        <v>9275</v>
      </c>
      <c r="P51" s="2">
        <v>6742</v>
      </c>
      <c r="Q51" s="2">
        <v>4401</v>
      </c>
      <c r="R51" s="2">
        <v>3023</v>
      </c>
      <c r="S51" s="2">
        <v>2440</v>
      </c>
      <c r="T51" s="2">
        <v>1684</v>
      </c>
      <c r="U51" s="2">
        <v>1693</v>
      </c>
      <c r="V51" s="1">
        <f t="shared" si="1"/>
        <v>383858</v>
      </c>
      <c r="W51" s="35"/>
      <c r="X51" s="35"/>
      <c r="Y51" s="35"/>
      <c r="Z51" s="35"/>
      <c r="AA51" s="35"/>
      <c r="AB51" s="35"/>
      <c r="AC51" s="35"/>
      <c r="AD51" s="35"/>
      <c r="AE51" s="35"/>
      <c r="AF51" s="35"/>
      <c r="AG51" s="35"/>
      <c r="AH51" s="35"/>
      <c r="AI51" s="35"/>
      <c r="AJ51" s="35"/>
      <c r="AK51" s="35"/>
      <c r="AL51" s="35"/>
      <c r="AM51" s="35"/>
      <c r="AN51" s="35"/>
    </row>
    <row r="52" spans="1:40" x14ac:dyDescent="0.35">
      <c r="A52" s="1" t="s">
        <v>131</v>
      </c>
      <c r="B52" s="1" t="s">
        <v>130</v>
      </c>
      <c r="C52" s="1" t="s">
        <v>130</v>
      </c>
      <c r="D52" s="3" t="s">
        <v>247</v>
      </c>
      <c r="E52" s="2">
        <v>78265</v>
      </c>
      <c r="F52" s="2">
        <v>63597</v>
      </c>
      <c r="G52" s="2">
        <v>48634</v>
      </c>
      <c r="H52" s="2">
        <v>46418</v>
      </c>
      <c r="I52" s="2">
        <v>34422</v>
      </c>
      <c r="J52" s="2">
        <v>23963</v>
      </c>
      <c r="K52" s="2">
        <v>14806</v>
      </c>
      <c r="L52" s="2">
        <v>10509</v>
      </c>
      <c r="M52" s="2">
        <v>10292</v>
      </c>
      <c r="N52" s="2">
        <v>9398</v>
      </c>
      <c r="O52" s="2">
        <v>8158</v>
      </c>
      <c r="P52" s="2">
        <v>6777</v>
      </c>
      <c r="Q52" s="2">
        <v>5066</v>
      </c>
      <c r="R52" s="2">
        <v>3825</v>
      </c>
      <c r="S52" s="2">
        <v>2903</v>
      </c>
      <c r="T52" s="2">
        <v>1939</v>
      </c>
      <c r="U52" s="2">
        <v>1910</v>
      </c>
      <c r="V52" s="1">
        <f t="shared" si="1"/>
        <v>370882</v>
      </c>
      <c r="W52" s="35"/>
      <c r="X52" s="35"/>
      <c r="Y52" s="35"/>
      <c r="Z52" s="35"/>
      <c r="AA52" s="35"/>
      <c r="AB52" s="35"/>
      <c r="AC52" s="35"/>
      <c r="AD52" s="35"/>
      <c r="AE52" s="35"/>
      <c r="AF52" s="35"/>
      <c r="AG52" s="35"/>
      <c r="AH52" s="35"/>
      <c r="AI52" s="35"/>
      <c r="AJ52" s="35"/>
      <c r="AK52" s="35"/>
      <c r="AL52" s="35"/>
      <c r="AM52" s="35"/>
      <c r="AN52" s="35"/>
    </row>
    <row r="53" spans="1:40" x14ac:dyDescent="0.35">
      <c r="A53" s="1" t="s">
        <v>131</v>
      </c>
      <c r="B53" s="1" t="s">
        <v>130</v>
      </c>
      <c r="C53" s="1" t="s">
        <v>130</v>
      </c>
      <c r="D53" s="3" t="s">
        <v>246</v>
      </c>
      <c r="E53" s="2">
        <v>153180</v>
      </c>
      <c r="F53" s="2">
        <v>124568</v>
      </c>
      <c r="G53" s="2">
        <v>94952</v>
      </c>
      <c r="H53" s="2">
        <v>90815</v>
      </c>
      <c r="I53" s="2">
        <v>68211</v>
      </c>
      <c r="J53" s="2">
        <v>49685</v>
      </c>
      <c r="K53" s="2">
        <v>36834</v>
      </c>
      <c r="L53" s="2">
        <v>29040</v>
      </c>
      <c r="M53" s="2">
        <v>25704</v>
      </c>
      <c r="N53" s="2">
        <v>21915</v>
      </c>
      <c r="O53" s="2">
        <v>17433</v>
      </c>
      <c r="P53" s="2">
        <v>13519</v>
      </c>
      <c r="Q53" s="2">
        <v>9466</v>
      </c>
      <c r="R53" s="2">
        <v>6848</v>
      </c>
      <c r="S53" s="2">
        <v>5344</v>
      </c>
      <c r="T53" s="2">
        <v>3624</v>
      </c>
      <c r="U53" s="2">
        <v>3603</v>
      </c>
      <c r="V53" s="1">
        <f t="shared" si="1"/>
        <v>754741</v>
      </c>
      <c r="W53" s="35"/>
      <c r="X53" s="35"/>
      <c r="Y53" s="35"/>
      <c r="Z53" s="35"/>
      <c r="AA53" s="35"/>
      <c r="AB53" s="35"/>
      <c r="AC53" s="35"/>
      <c r="AD53" s="35"/>
      <c r="AE53" s="35"/>
      <c r="AF53" s="35"/>
      <c r="AG53" s="35"/>
      <c r="AH53" s="35"/>
      <c r="AI53" s="35"/>
      <c r="AJ53" s="35"/>
      <c r="AK53" s="35"/>
      <c r="AL53" s="35"/>
      <c r="AM53" s="35"/>
      <c r="AN53" s="35"/>
    </row>
    <row r="54" spans="1:40" x14ac:dyDescent="0.35">
      <c r="A54" s="1" t="s">
        <v>139</v>
      </c>
      <c r="B54" s="1" t="s">
        <v>138</v>
      </c>
      <c r="C54" s="1" t="s">
        <v>137</v>
      </c>
      <c r="D54" s="3" t="s">
        <v>248</v>
      </c>
      <c r="E54" s="1">
        <v>153729</v>
      </c>
      <c r="F54" s="1">
        <v>126040</v>
      </c>
      <c r="G54" s="1">
        <v>103810</v>
      </c>
      <c r="H54" s="1">
        <v>92370</v>
      </c>
      <c r="I54" s="1">
        <v>67726</v>
      </c>
      <c r="J54" s="1">
        <v>52119</v>
      </c>
      <c r="K54" s="1">
        <v>46733</v>
      </c>
      <c r="L54" s="1">
        <v>39673</v>
      </c>
      <c r="M54" s="1">
        <v>30956</v>
      </c>
      <c r="N54" s="1">
        <v>24467</v>
      </c>
      <c r="O54" s="1">
        <v>18634</v>
      </c>
      <c r="P54" s="1">
        <v>13968</v>
      </c>
      <c r="Q54" s="1">
        <v>9997</v>
      </c>
      <c r="R54" s="1">
        <v>7070</v>
      </c>
      <c r="S54" s="1">
        <v>4975</v>
      </c>
      <c r="T54" s="1">
        <v>3126</v>
      </c>
      <c r="U54" s="1">
        <v>2608</v>
      </c>
      <c r="V54" s="1">
        <f t="shared" si="1"/>
        <v>798001</v>
      </c>
      <c r="W54" s="35"/>
      <c r="X54" s="35"/>
      <c r="Y54" s="35"/>
      <c r="Z54" s="35"/>
      <c r="AA54" s="35"/>
      <c r="AB54" s="35"/>
      <c r="AC54" s="35"/>
      <c r="AD54" s="35"/>
      <c r="AE54" s="35"/>
      <c r="AF54" s="35"/>
      <c r="AG54" s="35"/>
      <c r="AH54" s="35"/>
      <c r="AI54" s="35"/>
      <c r="AJ54" s="35"/>
      <c r="AK54" s="35"/>
      <c r="AL54" s="35"/>
      <c r="AM54" s="35"/>
      <c r="AN54" s="35"/>
    </row>
    <row r="55" spans="1:40" x14ac:dyDescent="0.35">
      <c r="A55" s="1" t="s">
        <v>139</v>
      </c>
      <c r="B55" s="1" t="s">
        <v>138</v>
      </c>
      <c r="C55" s="1" t="s">
        <v>137</v>
      </c>
      <c r="D55" s="3" t="s">
        <v>247</v>
      </c>
      <c r="E55" s="1">
        <v>165724</v>
      </c>
      <c r="F55" s="1">
        <v>123724</v>
      </c>
      <c r="G55" s="1">
        <v>108419</v>
      </c>
      <c r="H55" s="1">
        <v>96249</v>
      </c>
      <c r="I55" s="1">
        <v>70947</v>
      </c>
      <c r="J55" s="1">
        <v>52133</v>
      </c>
      <c r="K55" s="1">
        <v>37800</v>
      </c>
      <c r="L55" s="1">
        <v>29382</v>
      </c>
      <c r="M55" s="1">
        <v>25518</v>
      </c>
      <c r="N55" s="1">
        <v>21804</v>
      </c>
      <c r="O55" s="1">
        <v>18225</v>
      </c>
      <c r="P55" s="1">
        <v>14651</v>
      </c>
      <c r="Q55" s="1">
        <v>10832</v>
      </c>
      <c r="R55" s="1">
        <v>7802</v>
      </c>
      <c r="S55" s="1">
        <v>5129</v>
      </c>
      <c r="T55" s="1">
        <v>3113</v>
      </c>
      <c r="U55" s="1">
        <v>2805</v>
      </c>
      <c r="V55" s="1">
        <f t="shared" si="1"/>
        <v>794257</v>
      </c>
      <c r="W55" s="35"/>
      <c r="X55" s="35"/>
      <c r="Y55" s="35"/>
      <c r="Z55" s="35"/>
      <c r="AA55" s="35"/>
      <c r="AB55" s="35"/>
      <c r="AC55" s="35"/>
      <c r="AD55" s="35"/>
      <c r="AE55" s="35"/>
      <c r="AF55" s="35"/>
      <c r="AG55" s="35"/>
      <c r="AH55" s="35"/>
      <c r="AI55" s="35"/>
      <c r="AJ55" s="35"/>
      <c r="AK55" s="35"/>
      <c r="AL55" s="35"/>
      <c r="AM55" s="35"/>
      <c r="AN55" s="35"/>
    </row>
    <row r="56" spans="1:40" x14ac:dyDescent="0.35">
      <c r="A56" s="1" t="s">
        <v>139</v>
      </c>
      <c r="B56" s="1" t="s">
        <v>138</v>
      </c>
      <c r="C56" s="1" t="s">
        <v>137</v>
      </c>
      <c r="D56" s="3" t="s">
        <v>246</v>
      </c>
      <c r="E56" s="1">
        <v>316915</v>
      </c>
      <c r="F56" s="1">
        <v>259623</v>
      </c>
      <c r="G56" s="1">
        <v>210596</v>
      </c>
      <c r="H56" s="1">
        <v>187170</v>
      </c>
      <c r="I56" s="1">
        <v>137602</v>
      </c>
      <c r="J56" s="1">
        <v>103485</v>
      </c>
      <c r="K56" s="1">
        <v>84050</v>
      </c>
      <c r="L56" s="1">
        <v>68706</v>
      </c>
      <c r="M56" s="1">
        <v>56143</v>
      </c>
      <c r="N56" s="1">
        <v>45972</v>
      </c>
      <c r="O56" s="1">
        <v>36594</v>
      </c>
      <c r="P56" s="1">
        <v>28398</v>
      </c>
      <c r="Q56" s="1">
        <v>20662</v>
      </c>
      <c r="R56" s="1">
        <v>14751</v>
      </c>
      <c r="S56" s="1">
        <v>10028</v>
      </c>
      <c r="T56" s="1">
        <v>6194</v>
      </c>
      <c r="U56" s="1">
        <v>5370</v>
      </c>
      <c r="V56" s="1">
        <f t="shared" si="1"/>
        <v>1592259</v>
      </c>
      <c r="W56" s="35"/>
      <c r="X56" s="35"/>
      <c r="Y56" s="35"/>
      <c r="Z56" s="35"/>
      <c r="AA56" s="35"/>
      <c r="AB56" s="35"/>
      <c r="AC56" s="35"/>
      <c r="AD56" s="35"/>
      <c r="AE56" s="35"/>
      <c r="AF56" s="35"/>
      <c r="AG56" s="35"/>
      <c r="AH56" s="35"/>
      <c r="AI56" s="35"/>
      <c r="AJ56" s="35"/>
      <c r="AK56" s="35"/>
      <c r="AL56" s="35"/>
      <c r="AM56" s="35"/>
      <c r="AN56" s="35"/>
    </row>
    <row r="57" spans="1:40" x14ac:dyDescent="0.35">
      <c r="A57" s="1" t="s">
        <v>143</v>
      </c>
      <c r="B57" s="1" t="s">
        <v>142</v>
      </c>
      <c r="C57" s="1" t="s">
        <v>142</v>
      </c>
      <c r="D57" s="3" t="s">
        <v>248</v>
      </c>
      <c r="E57" s="2">
        <v>35378</v>
      </c>
      <c r="F57" s="2">
        <v>28721</v>
      </c>
      <c r="G57" s="2">
        <v>19757</v>
      </c>
      <c r="H57" s="2">
        <v>19079</v>
      </c>
      <c r="I57" s="2">
        <v>16305</v>
      </c>
      <c r="J57" s="2">
        <v>13093</v>
      </c>
      <c r="K57" s="2">
        <v>9957</v>
      </c>
      <c r="L57" s="2">
        <v>8034</v>
      </c>
      <c r="M57" s="2">
        <v>7204</v>
      </c>
      <c r="N57" s="2">
        <v>6178</v>
      </c>
      <c r="O57" s="2">
        <v>4967</v>
      </c>
      <c r="P57" s="2">
        <v>3763</v>
      </c>
      <c r="Q57" s="2">
        <v>2414</v>
      </c>
      <c r="R57" s="2">
        <v>1533</v>
      </c>
      <c r="S57" s="2">
        <v>985</v>
      </c>
      <c r="T57" s="2">
        <v>565</v>
      </c>
      <c r="U57" s="2">
        <v>402</v>
      </c>
      <c r="V57" s="1">
        <f t="shared" si="1"/>
        <v>178335</v>
      </c>
      <c r="W57" s="35"/>
      <c r="X57" s="35"/>
      <c r="Y57" s="35"/>
      <c r="Z57" s="35"/>
      <c r="AA57" s="35"/>
      <c r="AB57" s="35"/>
      <c r="AC57" s="35"/>
      <c r="AD57" s="35"/>
      <c r="AE57" s="35"/>
      <c r="AF57" s="35"/>
      <c r="AG57" s="35"/>
      <c r="AH57" s="35"/>
      <c r="AI57" s="35"/>
      <c r="AJ57" s="35"/>
      <c r="AK57" s="35"/>
      <c r="AL57" s="35"/>
      <c r="AM57" s="35"/>
      <c r="AN57" s="35"/>
    </row>
    <row r="58" spans="1:40" x14ac:dyDescent="0.35">
      <c r="A58" s="1" t="s">
        <v>143</v>
      </c>
      <c r="B58" s="1" t="s">
        <v>142</v>
      </c>
      <c r="C58" s="1" t="s">
        <v>142</v>
      </c>
      <c r="D58" s="3" t="s">
        <v>247</v>
      </c>
      <c r="E58" s="2">
        <v>36960</v>
      </c>
      <c r="F58" s="2">
        <v>29958</v>
      </c>
      <c r="G58" s="2">
        <v>23865</v>
      </c>
      <c r="H58" s="2">
        <v>23807</v>
      </c>
      <c r="I58" s="2">
        <v>20315</v>
      </c>
      <c r="J58" s="2">
        <v>15552</v>
      </c>
      <c r="K58" s="2">
        <v>9457</v>
      </c>
      <c r="L58" s="2">
        <v>6386</v>
      </c>
      <c r="M58" s="2">
        <v>5245</v>
      </c>
      <c r="N58" s="2">
        <v>4663</v>
      </c>
      <c r="O58" s="2">
        <v>4939</v>
      </c>
      <c r="P58" s="2">
        <v>4452</v>
      </c>
      <c r="Q58" s="2">
        <v>3302</v>
      </c>
      <c r="R58" s="2">
        <v>2446</v>
      </c>
      <c r="S58" s="2">
        <v>1773</v>
      </c>
      <c r="T58" s="2">
        <v>1119</v>
      </c>
      <c r="U58" s="2">
        <v>871</v>
      </c>
      <c r="V58" s="1">
        <f t="shared" si="1"/>
        <v>195110</v>
      </c>
      <c r="W58" s="35"/>
      <c r="X58" s="35"/>
      <c r="Y58" s="35"/>
      <c r="Z58" s="35"/>
      <c r="AA58" s="35"/>
      <c r="AB58" s="35"/>
      <c r="AC58" s="35"/>
      <c r="AD58" s="35"/>
      <c r="AE58" s="35"/>
      <c r="AF58" s="35"/>
      <c r="AG58" s="35"/>
      <c r="AH58" s="35"/>
      <c r="AI58" s="35"/>
      <c r="AJ58" s="35"/>
      <c r="AK58" s="35"/>
      <c r="AL58" s="35"/>
      <c r="AM58" s="35"/>
      <c r="AN58" s="35"/>
    </row>
    <row r="59" spans="1:40" x14ac:dyDescent="0.35">
      <c r="A59" s="1" t="s">
        <v>143</v>
      </c>
      <c r="B59" s="1" t="s">
        <v>142</v>
      </c>
      <c r="C59" s="1" t="s">
        <v>142</v>
      </c>
      <c r="D59" s="3" t="s">
        <v>246</v>
      </c>
      <c r="E59" s="2">
        <v>72337</v>
      </c>
      <c r="F59" s="2">
        <v>58679</v>
      </c>
      <c r="G59" s="2">
        <v>43623</v>
      </c>
      <c r="H59" s="2">
        <v>42886</v>
      </c>
      <c r="I59" s="2">
        <v>36620</v>
      </c>
      <c r="J59" s="2">
        <v>28645</v>
      </c>
      <c r="K59" s="2">
        <v>19414</v>
      </c>
      <c r="L59" s="2">
        <v>14421</v>
      </c>
      <c r="M59" s="2">
        <v>12449</v>
      </c>
      <c r="N59" s="2">
        <v>10841</v>
      </c>
      <c r="O59" s="2">
        <v>9905</v>
      </c>
      <c r="P59" s="2">
        <v>8215</v>
      </c>
      <c r="Q59" s="2">
        <v>5716</v>
      </c>
      <c r="R59" s="2">
        <v>3979</v>
      </c>
      <c r="S59" s="2">
        <v>2757</v>
      </c>
      <c r="T59" s="2">
        <v>1684</v>
      </c>
      <c r="U59" s="2">
        <v>1273</v>
      </c>
      <c r="V59" s="1">
        <f t="shared" si="1"/>
        <v>373444</v>
      </c>
      <c r="W59" s="35"/>
      <c r="X59" s="35"/>
      <c r="Y59" s="35"/>
      <c r="Z59" s="35"/>
      <c r="AA59" s="35"/>
      <c r="AB59" s="35"/>
      <c r="AC59" s="35"/>
      <c r="AD59" s="35"/>
      <c r="AE59" s="35"/>
      <c r="AF59" s="35"/>
      <c r="AG59" s="35"/>
      <c r="AH59" s="35"/>
      <c r="AI59" s="35"/>
      <c r="AJ59" s="35"/>
      <c r="AK59" s="35"/>
      <c r="AL59" s="35"/>
      <c r="AM59" s="35"/>
      <c r="AN59" s="35"/>
    </row>
    <row r="60" spans="1:40" x14ac:dyDescent="0.35">
      <c r="A60" s="1" t="s">
        <v>155</v>
      </c>
      <c r="B60" s="1" t="s">
        <v>154</v>
      </c>
      <c r="C60" s="1" t="s">
        <v>154</v>
      </c>
      <c r="D60" s="3" t="s">
        <v>248</v>
      </c>
      <c r="E60" s="2">
        <v>52906</v>
      </c>
      <c r="F60" s="2">
        <v>43467</v>
      </c>
      <c r="G60" s="2">
        <v>37297</v>
      </c>
      <c r="H60" s="2">
        <v>35635</v>
      </c>
      <c r="I60" s="2">
        <v>24985</v>
      </c>
      <c r="J60" s="2">
        <v>17909</v>
      </c>
      <c r="K60" s="2">
        <v>15314</v>
      </c>
      <c r="L60" s="2">
        <v>13040</v>
      </c>
      <c r="M60" s="2">
        <v>11584</v>
      </c>
      <c r="N60" s="2">
        <v>9615</v>
      </c>
      <c r="O60" s="2">
        <v>6735</v>
      </c>
      <c r="P60" s="2">
        <v>4672</v>
      </c>
      <c r="Q60" s="2">
        <v>2940</v>
      </c>
      <c r="R60" s="2">
        <v>1947</v>
      </c>
      <c r="S60" s="2">
        <v>1593</v>
      </c>
      <c r="T60" s="2">
        <v>1076</v>
      </c>
      <c r="U60" s="2">
        <v>934</v>
      </c>
      <c r="V60" s="1">
        <f t="shared" si="1"/>
        <v>281649</v>
      </c>
      <c r="W60" s="35"/>
      <c r="X60" s="35"/>
      <c r="Y60" s="35"/>
      <c r="Z60" s="35"/>
      <c r="AA60" s="35"/>
      <c r="AB60" s="35"/>
      <c r="AC60" s="35"/>
      <c r="AD60" s="35"/>
      <c r="AE60" s="35"/>
      <c r="AF60" s="35"/>
      <c r="AG60" s="35"/>
      <c r="AH60" s="35"/>
      <c r="AI60" s="35"/>
      <c r="AJ60" s="35"/>
      <c r="AK60" s="35"/>
      <c r="AL60" s="35"/>
      <c r="AM60" s="35"/>
      <c r="AN60" s="35"/>
    </row>
    <row r="61" spans="1:40" x14ac:dyDescent="0.35">
      <c r="A61" s="1" t="s">
        <v>155</v>
      </c>
      <c r="B61" s="1" t="s">
        <v>154</v>
      </c>
      <c r="C61" s="1" t="s">
        <v>154</v>
      </c>
      <c r="D61" s="3" t="s">
        <v>247</v>
      </c>
      <c r="E61" s="2">
        <v>55272</v>
      </c>
      <c r="F61" s="2">
        <v>45339</v>
      </c>
      <c r="G61" s="2">
        <v>42952</v>
      </c>
      <c r="H61" s="2">
        <v>39107</v>
      </c>
      <c r="I61" s="2">
        <v>26151</v>
      </c>
      <c r="J61" s="2">
        <v>17108</v>
      </c>
      <c r="K61" s="2">
        <v>10116</v>
      </c>
      <c r="L61" s="2">
        <v>7230</v>
      </c>
      <c r="M61" s="2">
        <v>8128</v>
      </c>
      <c r="N61" s="2">
        <v>7854</v>
      </c>
      <c r="O61" s="2">
        <v>7034</v>
      </c>
      <c r="P61" s="2">
        <v>5733</v>
      </c>
      <c r="Q61" s="2">
        <v>3722</v>
      </c>
      <c r="R61" s="2">
        <v>2490</v>
      </c>
      <c r="S61" s="2">
        <v>1775</v>
      </c>
      <c r="T61" s="2">
        <v>1112</v>
      </c>
      <c r="U61" s="2">
        <v>944</v>
      </c>
      <c r="V61" s="1">
        <f t="shared" si="1"/>
        <v>282067</v>
      </c>
      <c r="W61" s="35"/>
      <c r="X61" s="35"/>
      <c r="Y61" s="35"/>
      <c r="Z61" s="35"/>
      <c r="AA61" s="35"/>
      <c r="AB61" s="35"/>
      <c r="AC61" s="35"/>
      <c r="AD61" s="35"/>
      <c r="AE61" s="35"/>
      <c r="AF61" s="35"/>
      <c r="AG61" s="35"/>
      <c r="AH61" s="35"/>
      <c r="AI61" s="35"/>
      <c r="AJ61" s="35"/>
      <c r="AK61" s="35"/>
      <c r="AL61" s="35"/>
      <c r="AM61" s="35"/>
      <c r="AN61" s="35"/>
    </row>
    <row r="62" spans="1:40" x14ac:dyDescent="0.35">
      <c r="A62" s="1" t="s">
        <v>155</v>
      </c>
      <c r="B62" s="1" t="s">
        <v>154</v>
      </c>
      <c r="C62" s="1" t="s">
        <v>154</v>
      </c>
      <c r="D62" s="3" t="s">
        <v>246</v>
      </c>
      <c r="E62" s="2">
        <v>108177</v>
      </c>
      <c r="F62" s="2">
        <v>88806</v>
      </c>
      <c r="G62" s="2">
        <v>80249</v>
      </c>
      <c r="H62" s="2">
        <v>74742</v>
      </c>
      <c r="I62" s="2">
        <v>51136</v>
      </c>
      <c r="J62" s="2">
        <v>35017</v>
      </c>
      <c r="K62" s="2">
        <v>25430</v>
      </c>
      <c r="L62" s="2">
        <v>20270</v>
      </c>
      <c r="M62" s="2">
        <v>19712</v>
      </c>
      <c r="N62" s="2">
        <v>17469</v>
      </c>
      <c r="O62" s="2">
        <v>13769</v>
      </c>
      <c r="P62" s="2">
        <v>10405</v>
      </c>
      <c r="Q62" s="2">
        <v>6663</v>
      </c>
      <c r="R62" s="2">
        <v>4437</v>
      </c>
      <c r="S62" s="2">
        <v>3368</v>
      </c>
      <c r="T62" s="2">
        <v>2189</v>
      </c>
      <c r="U62" s="2">
        <v>1878</v>
      </c>
      <c r="V62" s="1">
        <f t="shared" si="1"/>
        <v>563717</v>
      </c>
      <c r="W62" s="35"/>
      <c r="X62" s="35"/>
      <c r="Y62" s="35"/>
      <c r="Z62" s="35"/>
      <c r="AA62" s="35"/>
      <c r="AB62" s="35"/>
      <c r="AC62" s="35"/>
      <c r="AD62" s="35"/>
      <c r="AE62" s="35"/>
      <c r="AF62" s="35"/>
      <c r="AG62" s="35"/>
      <c r="AH62" s="35"/>
      <c r="AI62" s="35"/>
      <c r="AJ62" s="35"/>
      <c r="AK62" s="35"/>
      <c r="AL62" s="35"/>
      <c r="AM62" s="35"/>
      <c r="AN62" s="35"/>
    </row>
    <row r="63" spans="1:40" x14ac:dyDescent="0.35">
      <c r="A63" s="1" t="s">
        <v>161</v>
      </c>
      <c r="B63" s="1" t="s">
        <v>160</v>
      </c>
      <c r="C63" s="1" t="s">
        <v>160</v>
      </c>
      <c r="D63" s="3" t="s">
        <v>248</v>
      </c>
      <c r="E63" s="2">
        <v>3679</v>
      </c>
      <c r="F63" s="2">
        <v>3094</v>
      </c>
      <c r="G63" s="2">
        <v>1698</v>
      </c>
      <c r="H63" s="2">
        <v>1594</v>
      </c>
      <c r="I63" s="2">
        <v>1585</v>
      </c>
      <c r="J63" s="2">
        <v>1395</v>
      </c>
      <c r="K63" s="2">
        <v>1108</v>
      </c>
      <c r="L63" s="2">
        <v>904</v>
      </c>
      <c r="M63" s="2">
        <v>759</v>
      </c>
      <c r="N63" s="2">
        <v>631</v>
      </c>
      <c r="O63" s="2">
        <v>500</v>
      </c>
      <c r="P63" s="2">
        <v>383</v>
      </c>
      <c r="Q63" s="2">
        <v>280</v>
      </c>
      <c r="R63" s="2">
        <v>190</v>
      </c>
      <c r="S63" s="2">
        <v>103</v>
      </c>
      <c r="T63" s="2">
        <v>57</v>
      </c>
      <c r="U63" s="2">
        <v>55</v>
      </c>
      <c r="V63" s="1">
        <f t="shared" si="1"/>
        <v>18015</v>
      </c>
      <c r="W63" s="35"/>
      <c r="X63" s="35"/>
      <c r="Y63" s="35"/>
      <c r="Z63" s="35"/>
      <c r="AA63" s="35"/>
      <c r="AB63" s="35"/>
      <c r="AC63" s="35"/>
      <c r="AD63" s="35"/>
      <c r="AE63" s="35"/>
      <c r="AF63" s="35"/>
      <c r="AG63" s="35"/>
      <c r="AH63" s="35"/>
      <c r="AI63" s="35"/>
      <c r="AJ63" s="35"/>
      <c r="AK63" s="35"/>
      <c r="AL63" s="35"/>
      <c r="AM63" s="35"/>
      <c r="AN63" s="35"/>
    </row>
    <row r="64" spans="1:40" x14ac:dyDescent="0.35">
      <c r="A64" s="1" t="s">
        <v>161</v>
      </c>
      <c r="B64" s="1" t="s">
        <v>160</v>
      </c>
      <c r="C64" s="1" t="s">
        <v>160</v>
      </c>
      <c r="D64" s="3" t="s">
        <v>247</v>
      </c>
      <c r="E64" s="2">
        <v>3844</v>
      </c>
      <c r="F64" s="2">
        <v>3227</v>
      </c>
      <c r="G64" s="2">
        <v>2101</v>
      </c>
      <c r="H64" s="2">
        <v>1950</v>
      </c>
      <c r="I64" s="2">
        <v>1766</v>
      </c>
      <c r="J64" s="2">
        <v>1477</v>
      </c>
      <c r="K64" s="2">
        <v>1123</v>
      </c>
      <c r="L64" s="2">
        <v>891</v>
      </c>
      <c r="M64" s="2">
        <v>699</v>
      </c>
      <c r="N64" s="2">
        <v>596</v>
      </c>
      <c r="O64" s="2">
        <v>606</v>
      </c>
      <c r="P64" s="2">
        <v>524</v>
      </c>
      <c r="Q64" s="2">
        <v>346</v>
      </c>
      <c r="R64" s="2">
        <v>238</v>
      </c>
      <c r="S64" s="2">
        <v>174</v>
      </c>
      <c r="T64" s="2">
        <v>111</v>
      </c>
      <c r="U64" s="2">
        <v>95</v>
      </c>
      <c r="V64" s="1">
        <f t="shared" si="1"/>
        <v>19768</v>
      </c>
      <c r="W64" s="35"/>
      <c r="X64" s="35"/>
      <c r="Y64" s="35"/>
      <c r="Z64" s="35"/>
      <c r="AA64" s="35"/>
      <c r="AB64" s="35"/>
      <c r="AC64" s="35"/>
      <c r="AD64" s="35"/>
      <c r="AE64" s="35"/>
      <c r="AF64" s="35"/>
      <c r="AG64" s="35"/>
      <c r="AH64" s="35"/>
      <c r="AI64" s="35"/>
      <c r="AJ64" s="35"/>
      <c r="AK64" s="35"/>
      <c r="AL64" s="35"/>
      <c r="AM64" s="35"/>
      <c r="AN64" s="35"/>
    </row>
    <row r="65" spans="1:40" x14ac:dyDescent="0.35">
      <c r="A65" s="1" t="s">
        <v>161</v>
      </c>
      <c r="B65" s="1" t="s">
        <v>160</v>
      </c>
      <c r="C65" s="1" t="s">
        <v>160</v>
      </c>
      <c r="D65" s="3" t="s">
        <v>246</v>
      </c>
      <c r="E65" s="2">
        <v>7524</v>
      </c>
      <c r="F65" s="2">
        <v>6321</v>
      </c>
      <c r="G65" s="2">
        <v>3799</v>
      </c>
      <c r="H65" s="2">
        <v>3544</v>
      </c>
      <c r="I65" s="2">
        <v>3352</v>
      </c>
      <c r="J65" s="2">
        <v>2872</v>
      </c>
      <c r="K65" s="2">
        <v>2231</v>
      </c>
      <c r="L65" s="2">
        <v>1795</v>
      </c>
      <c r="M65" s="2">
        <v>1458</v>
      </c>
      <c r="N65" s="2">
        <v>1227</v>
      </c>
      <c r="O65" s="2">
        <v>1106</v>
      </c>
      <c r="P65" s="2">
        <v>907</v>
      </c>
      <c r="Q65" s="2">
        <v>626</v>
      </c>
      <c r="R65" s="2">
        <v>428</v>
      </c>
      <c r="S65" s="2">
        <v>277</v>
      </c>
      <c r="T65" s="2">
        <v>167</v>
      </c>
      <c r="U65" s="2">
        <v>150</v>
      </c>
      <c r="V65" s="1">
        <f t="shared" si="1"/>
        <v>37784</v>
      </c>
      <c r="W65" s="35"/>
      <c r="X65" s="35"/>
      <c r="Y65" s="35"/>
      <c r="Z65" s="35"/>
      <c r="AA65" s="35"/>
      <c r="AB65" s="35"/>
      <c r="AC65" s="35"/>
      <c r="AD65" s="35"/>
      <c r="AE65" s="35"/>
      <c r="AF65" s="35"/>
      <c r="AG65" s="35"/>
      <c r="AH65" s="35"/>
      <c r="AI65" s="35"/>
      <c r="AJ65" s="35"/>
      <c r="AK65" s="35"/>
      <c r="AL65" s="35"/>
      <c r="AM65" s="35"/>
      <c r="AN65" s="35"/>
    </row>
    <row r="66" spans="1:40" x14ac:dyDescent="0.35">
      <c r="A66" s="1" t="s">
        <v>167</v>
      </c>
      <c r="B66" s="1" t="s">
        <v>166</v>
      </c>
      <c r="C66" s="1" t="s">
        <v>166</v>
      </c>
      <c r="D66" s="3" t="s">
        <v>248</v>
      </c>
      <c r="E66" s="2">
        <v>8459.7762234653128</v>
      </c>
      <c r="F66" s="2">
        <v>7099.208841931676</v>
      </c>
      <c r="G66" s="2">
        <v>4064.3746746317879</v>
      </c>
      <c r="H66" s="2">
        <v>3972.6834793785265</v>
      </c>
      <c r="I66" s="2">
        <v>3756.4510937222121</v>
      </c>
      <c r="J66" s="2">
        <v>3192.2253528527312</v>
      </c>
      <c r="K66" s="2">
        <v>2524.0347921685284</v>
      </c>
      <c r="L66" s="2">
        <v>2059.0810146637996</v>
      </c>
      <c r="M66" s="2">
        <v>1743.2156766850435</v>
      </c>
      <c r="N66" s="2">
        <v>1461.6442896868382</v>
      </c>
      <c r="O66" s="2">
        <v>1227.0014671883337</v>
      </c>
      <c r="P66" s="2">
        <v>933.15645562866791</v>
      </c>
      <c r="Q66" s="2">
        <v>537.8735469581103</v>
      </c>
      <c r="R66" s="2">
        <v>311.53347048647601</v>
      </c>
      <c r="S66" s="2">
        <v>207.568650671754</v>
      </c>
      <c r="T66" s="2">
        <v>120.57031186846231</v>
      </c>
      <c r="U66" s="2">
        <v>77.612625903351486</v>
      </c>
      <c r="V66" s="1">
        <f t="shared" ref="V66:V71" si="2">SUM(E66:U66)</f>
        <v>41748.011967891609</v>
      </c>
      <c r="W66" s="35"/>
      <c r="X66" s="35"/>
      <c r="Y66" s="35"/>
      <c r="Z66" s="35"/>
      <c r="AA66" s="35"/>
      <c r="AB66" s="35"/>
      <c r="AC66" s="35"/>
      <c r="AD66" s="35"/>
      <c r="AE66" s="35"/>
      <c r="AF66" s="35"/>
      <c r="AG66" s="35"/>
      <c r="AH66" s="35"/>
      <c r="AI66" s="35"/>
      <c r="AJ66" s="35"/>
      <c r="AK66" s="35"/>
      <c r="AL66" s="35"/>
      <c r="AM66" s="35"/>
      <c r="AN66" s="35"/>
    </row>
    <row r="67" spans="1:40" x14ac:dyDescent="0.35">
      <c r="A67" s="1" t="s">
        <v>167</v>
      </c>
      <c r="B67" s="1" t="s">
        <v>166</v>
      </c>
      <c r="C67" s="1" t="s">
        <v>166</v>
      </c>
      <c r="D67" s="3" t="s">
        <v>247</v>
      </c>
      <c r="E67" s="2">
        <v>8838.0926511244397</v>
      </c>
      <c r="F67" s="2">
        <v>7404.6055001374225</v>
      </c>
      <c r="G67" s="2">
        <v>5019.9124456372365</v>
      </c>
      <c r="H67" s="2">
        <v>5141.5657243787691</v>
      </c>
      <c r="I67" s="2">
        <v>4896.4542221072543</v>
      </c>
      <c r="J67" s="2">
        <v>4088.5609347970185</v>
      </c>
      <c r="K67" s="2">
        <v>3002.3451611077876</v>
      </c>
      <c r="L67" s="2">
        <v>2234.1606591434529</v>
      </c>
      <c r="M67" s="2">
        <v>1478.6107706982684</v>
      </c>
      <c r="N67" s="2">
        <v>1131.7003823581717</v>
      </c>
      <c r="O67" s="2">
        <v>1193.068505165473</v>
      </c>
      <c r="P67" s="2">
        <v>1054.0877564548202</v>
      </c>
      <c r="Q67" s="2">
        <v>740.38835222220428</v>
      </c>
      <c r="R67" s="2">
        <v>530.65376780431018</v>
      </c>
      <c r="S67" s="2">
        <v>394.92191971286758</v>
      </c>
      <c r="T67" s="2">
        <v>247.63842497534475</v>
      </c>
      <c r="U67" s="2">
        <v>168.22085428354325</v>
      </c>
      <c r="V67" s="1">
        <f t="shared" si="2"/>
        <v>47564.988032108384</v>
      </c>
      <c r="W67" s="35"/>
      <c r="X67" s="35"/>
      <c r="Y67" s="35"/>
      <c r="Z67" s="35"/>
      <c r="AA67" s="35"/>
      <c r="AB67" s="35"/>
      <c r="AC67" s="35"/>
      <c r="AD67" s="35"/>
      <c r="AE67" s="35"/>
      <c r="AF67" s="35"/>
      <c r="AG67" s="35"/>
      <c r="AH67" s="35"/>
      <c r="AI67" s="35"/>
      <c r="AJ67" s="35"/>
      <c r="AK67" s="35"/>
      <c r="AL67" s="35"/>
      <c r="AM67" s="35"/>
      <c r="AN67" s="35"/>
    </row>
    <row r="68" spans="1:40" x14ac:dyDescent="0.35">
      <c r="A68" s="1" t="s">
        <v>167</v>
      </c>
      <c r="B68" s="1" t="s">
        <v>166</v>
      </c>
      <c r="C68" s="1" t="s">
        <v>166</v>
      </c>
      <c r="D68" s="3" t="s">
        <v>246</v>
      </c>
      <c r="E68" s="1">
        <v>17297.868874589753</v>
      </c>
      <c r="F68" s="1">
        <v>14503.814342069098</v>
      </c>
      <c r="G68" s="1">
        <v>9084.2871202690239</v>
      </c>
      <c r="H68" s="1">
        <v>9114.2492037572956</v>
      </c>
      <c r="I68" s="1">
        <v>8652.9053158294664</v>
      </c>
      <c r="J68" s="1">
        <v>7280.7862876497493</v>
      </c>
      <c r="K68" s="1">
        <v>5526.379953276316</v>
      </c>
      <c r="L68" s="1">
        <v>4293.2416738072525</v>
      </c>
      <c r="M68" s="1">
        <v>3221.8264473833119</v>
      </c>
      <c r="N68" s="1">
        <v>2593.3446720450102</v>
      </c>
      <c r="O68" s="1">
        <v>2420.0699723538064</v>
      </c>
      <c r="P68" s="1">
        <v>1987.244212083488</v>
      </c>
      <c r="Q68" s="1">
        <v>1278.2618991803147</v>
      </c>
      <c r="R68" s="1">
        <v>842.18723829078613</v>
      </c>
      <c r="S68" s="1">
        <v>602.49057038462161</v>
      </c>
      <c r="T68" s="1">
        <v>368.20873684380706</v>
      </c>
      <c r="U68" s="1">
        <v>245.83348018689475</v>
      </c>
      <c r="V68" s="1">
        <f t="shared" si="2"/>
        <v>89313.000000000015</v>
      </c>
      <c r="W68" s="35"/>
      <c r="X68" s="35"/>
      <c r="Y68" s="35"/>
      <c r="Z68" s="35"/>
      <c r="AA68" s="35"/>
      <c r="AB68" s="35"/>
      <c r="AC68" s="35"/>
      <c r="AD68" s="35"/>
      <c r="AE68" s="35"/>
      <c r="AF68" s="35"/>
      <c r="AG68" s="35"/>
      <c r="AH68" s="35"/>
      <c r="AI68" s="35"/>
      <c r="AJ68" s="35"/>
      <c r="AK68" s="35"/>
      <c r="AL68" s="35"/>
      <c r="AM68" s="35"/>
      <c r="AN68" s="35"/>
    </row>
    <row r="69" spans="1:40" x14ac:dyDescent="0.35">
      <c r="A69" s="1" t="s">
        <v>149</v>
      </c>
      <c r="B69" s="1" t="s">
        <v>148</v>
      </c>
      <c r="C69" s="1" t="s">
        <v>148</v>
      </c>
      <c r="D69" s="3" t="s">
        <v>248</v>
      </c>
      <c r="E69" s="1">
        <v>14975.223776534687</v>
      </c>
      <c r="F69" s="1">
        <v>12566.791158068323</v>
      </c>
      <c r="G69" s="1">
        <v>7194.6253253682116</v>
      </c>
      <c r="H69" s="1">
        <v>7032.3165206214735</v>
      </c>
      <c r="I69" s="1">
        <v>6649.5489062777879</v>
      </c>
      <c r="J69" s="1">
        <v>5650.7746471472683</v>
      </c>
      <c r="K69" s="1">
        <v>4467.9652078314712</v>
      </c>
      <c r="L69" s="1">
        <v>3644.9189853362004</v>
      </c>
      <c r="M69" s="1">
        <v>3085.7843233149565</v>
      </c>
      <c r="N69" s="1">
        <v>2587.355710313162</v>
      </c>
      <c r="O69" s="1">
        <v>2171.9985328116663</v>
      </c>
      <c r="P69" s="1">
        <v>1651.843544371332</v>
      </c>
      <c r="Q69" s="1">
        <v>952.1264530418897</v>
      </c>
      <c r="R69" s="1">
        <v>551.46652951352405</v>
      </c>
      <c r="S69" s="1">
        <v>367.43134932824603</v>
      </c>
      <c r="T69" s="1">
        <v>213.42968813153769</v>
      </c>
      <c r="U69" s="1">
        <v>137.3873740966485</v>
      </c>
      <c r="V69" s="1">
        <f t="shared" si="2"/>
        <v>73900.988032108377</v>
      </c>
      <c r="W69" s="35"/>
      <c r="X69" s="35"/>
      <c r="Y69" s="35"/>
      <c r="Z69" s="35"/>
      <c r="AA69" s="35"/>
      <c r="AB69" s="35"/>
      <c r="AC69" s="35"/>
      <c r="AD69" s="35"/>
      <c r="AE69" s="35"/>
      <c r="AF69" s="35"/>
      <c r="AG69" s="35"/>
      <c r="AH69" s="35"/>
      <c r="AI69" s="35"/>
      <c r="AJ69" s="35"/>
      <c r="AK69" s="35"/>
      <c r="AL69" s="35"/>
      <c r="AM69" s="35"/>
      <c r="AN69" s="35"/>
    </row>
    <row r="70" spans="1:40" x14ac:dyDescent="0.35">
      <c r="A70" s="1" t="s">
        <v>149</v>
      </c>
      <c r="B70" s="1" t="s">
        <v>148</v>
      </c>
      <c r="C70" s="1" t="s">
        <v>148</v>
      </c>
      <c r="D70" s="3" t="s">
        <v>247</v>
      </c>
      <c r="E70" s="1">
        <v>15644.90734887556</v>
      </c>
      <c r="F70" s="1">
        <v>13107.394499862578</v>
      </c>
      <c r="G70" s="1">
        <v>8886.0875543627626</v>
      </c>
      <c r="H70" s="1">
        <v>9101.4342756212318</v>
      </c>
      <c r="I70" s="1">
        <v>8667.5457778927466</v>
      </c>
      <c r="J70" s="1">
        <v>7237.4390652029815</v>
      </c>
      <c r="K70" s="1">
        <v>5314.654838892212</v>
      </c>
      <c r="L70" s="1">
        <v>3954.8393408565471</v>
      </c>
      <c r="M70" s="1">
        <v>2617.3892293017316</v>
      </c>
      <c r="N70" s="1">
        <v>2003.2996176418283</v>
      </c>
      <c r="O70" s="1">
        <v>2111.9314948345273</v>
      </c>
      <c r="P70" s="1">
        <v>1865.9122435451798</v>
      </c>
      <c r="Q70" s="1">
        <v>1310.6116477777957</v>
      </c>
      <c r="R70" s="1">
        <v>939.34623219568982</v>
      </c>
      <c r="S70" s="1">
        <v>699.07808028713237</v>
      </c>
      <c r="T70" s="1">
        <v>438.36157502465522</v>
      </c>
      <c r="U70" s="1">
        <v>297.77914571645675</v>
      </c>
      <c r="V70" s="1">
        <f t="shared" si="2"/>
        <v>84198.011967891609</v>
      </c>
      <c r="W70" s="35"/>
      <c r="X70" s="35"/>
      <c r="Y70" s="35"/>
      <c r="Z70" s="35"/>
      <c r="AA70" s="35"/>
      <c r="AB70" s="35"/>
      <c r="AC70" s="35"/>
      <c r="AD70" s="35"/>
      <c r="AE70" s="35"/>
      <c r="AF70" s="35"/>
      <c r="AG70" s="35"/>
      <c r="AH70" s="35"/>
      <c r="AI70" s="35"/>
      <c r="AJ70" s="35"/>
      <c r="AK70" s="35"/>
      <c r="AL70" s="35"/>
      <c r="AM70" s="35"/>
      <c r="AN70" s="35"/>
    </row>
    <row r="71" spans="1:40" x14ac:dyDescent="0.35">
      <c r="A71" s="1" t="s">
        <v>149</v>
      </c>
      <c r="B71" s="1" t="s">
        <v>148</v>
      </c>
      <c r="C71" s="1" t="s">
        <v>148</v>
      </c>
      <c r="D71" s="3" t="s">
        <v>246</v>
      </c>
      <c r="E71" s="1">
        <v>30620.131125410247</v>
      </c>
      <c r="F71" s="1">
        <v>25674.185657930902</v>
      </c>
      <c r="G71" s="1">
        <v>16080.712879730974</v>
      </c>
      <c r="H71" s="1">
        <v>16133.750796242704</v>
      </c>
      <c r="I71" s="1">
        <v>15317.094684170534</v>
      </c>
      <c r="J71" s="1">
        <v>12888.213712350251</v>
      </c>
      <c r="K71" s="1">
        <v>9782.6200467236831</v>
      </c>
      <c r="L71" s="1">
        <v>7599.7583261927475</v>
      </c>
      <c r="M71" s="1">
        <v>5703.1735526166885</v>
      </c>
      <c r="N71" s="1">
        <v>4590.6553279549898</v>
      </c>
      <c r="O71" s="1">
        <v>4283.9300276461936</v>
      </c>
      <c r="P71" s="1">
        <v>3517.7557879165115</v>
      </c>
      <c r="Q71" s="1">
        <v>2262.7381008196853</v>
      </c>
      <c r="R71" s="1">
        <v>1490.8127617092139</v>
      </c>
      <c r="S71" s="1">
        <v>1066.5094296153784</v>
      </c>
      <c r="T71" s="1">
        <v>651.79126315619294</v>
      </c>
      <c r="U71" s="1">
        <v>435.16651981310525</v>
      </c>
      <c r="V71" s="1">
        <f t="shared" si="2"/>
        <v>158098.99999999997</v>
      </c>
      <c r="W71" s="35"/>
      <c r="X71" s="35"/>
      <c r="Y71" s="35"/>
      <c r="Z71" s="35"/>
      <c r="AA71" s="35"/>
      <c r="AB71" s="35"/>
      <c r="AC71" s="35"/>
      <c r="AD71" s="35"/>
      <c r="AE71" s="35"/>
      <c r="AF71" s="35"/>
      <c r="AG71" s="35"/>
      <c r="AH71" s="35"/>
      <c r="AI71" s="35"/>
      <c r="AJ71" s="35"/>
      <c r="AK71" s="35"/>
      <c r="AL71" s="35"/>
      <c r="AM71" s="35"/>
      <c r="AN71" s="35"/>
    </row>
    <row r="72" spans="1:40" x14ac:dyDescent="0.35">
      <c r="A72" s="1" t="s">
        <v>9</v>
      </c>
      <c r="D72" s="3" t="s">
        <v>246</v>
      </c>
      <c r="V72" s="1">
        <f>SUM(V5,V8,V11,V14,V17,V20,V23,V26,V29,V32,V35,V38,V41,V44,V47,V50,V53,V56,V59,V62,V65,V68,V71)</f>
        <v>16344855</v>
      </c>
      <c r="W72" s="35"/>
      <c r="X72" s="35"/>
      <c r="Y72" s="35"/>
      <c r="Z72" s="35"/>
      <c r="AA72" s="35"/>
      <c r="AB72" s="35"/>
      <c r="AC72" s="35"/>
      <c r="AD72" s="35"/>
      <c r="AE72" s="35"/>
      <c r="AF72" s="35"/>
      <c r="AG72" s="35"/>
      <c r="AH72" s="35"/>
      <c r="AI72" s="35"/>
      <c r="AJ72" s="35"/>
      <c r="AK72" s="35"/>
      <c r="AL72" s="35"/>
      <c r="AM72" s="35"/>
      <c r="AN72" s="35"/>
    </row>
  </sheetData>
  <mergeCells count="1">
    <mergeCell ref="E1:U1"/>
  </mergeCells>
  <pageMargins left="0.7" right="0.7" top="0.75" bottom="0.75" header="0.3" footer="0.3"/>
  <legacy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2:V43"/>
  <sheetViews>
    <sheetView workbookViewId="0">
      <selection activeCell="Y15" sqref="Y15"/>
    </sheetView>
  </sheetViews>
  <sheetFormatPr baseColWidth="10" defaultColWidth="8.7265625" defaultRowHeight="14.5" x14ac:dyDescent="0.35"/>
  <cols>
    <col min="1" max="1" width="14.7265625" bestFit="1" customWidth="1"/>
    <col min="2" max="2" width="14.54296875" customWidth="1"/>
    <col min="3" max="3" width="15.08984375" customWidth="1"/>
    <col min="4" max="4" width="8.453125" bestFit="1" customWidth="1"/>
    <col min="5" max="5" width="12" bestFit="1" customWidth="1"/>
  </cols>
  <sheetData>
    <row r="2" spans="1:22" x14ac:dyDescent="0.35">
      <c r="A2">
        <v>2020</v>
      </c>
    </row>
    <row r="3" spans="1:22" x14ac:dyDescent="0.35">
      <c r="A3" s="50" t="s">
        <v>4</v>
      </c>
      <c r="B3" s="51" t="s">
        <v>3</v>
      </c>
      <c r="C3" s="51" t="s">
        <v>205</v>
      </c>
      <c r="D3" s="52" t="s">
        <v>250</v>
      </c>
      <c r="E3" s="53" t="s">
        <v>229</v>
      </c>
      <c r="F3" s="53" t="s">
        <v>230</v>
      </c>
      <c r="G3" s="53" t="s">
        <v>231</v>
      </c>
      <c r="H3" s="53" t="s">
        <v>232</v>
      </c>
      <c r="I3" s="53" t="s">
        <v>233</v>
      </c>
      <c r="J3" s="53" t="s">
        <v>234</v>
      </c>
      <c r="K3" s="53" t="s">
        <v>235</v>
      </c>
      <c r="L3" s="53" t="s">
        <v>236</v>
      </c>
      <c r="M3" s="53" t="s">
        <v>237</v>
      </c>
      <c r="N3" s="53" t="s">
        <v>238</v>
      </c>
      <c r="O3" s="53" t="s">
        <v>239</v>
      </c>
      <c r="P3" s="53" t="s">
        <v>240</v>
      </c>
      <c r="Q3" s="53" t="s">
        <v>241</v>
      </c>
      <c r="R3" s="53" t="s">
        <v>242</v>
      </c>
      <c r="S3" s="53" t="s">
        <v>243</v>
      </c>
      <c r="T3" s="53" t="s">
        <v>244</v>
      </c>
      <c r="U3" s="53" t="s">
        <v>245</v>
      </c>
      <c r="V3" s="51" t="s">
        <v>246</v>
      </c>
    </row>
    <row r="4" spans="1:22" x14ac:dyDescent="0.35">
      <c r="A4" s="44" t="s">
        <v>139</v>
      </c>
      <c r="B4" s="45" t="s">
        <v>138</v>
      </c>
      <c r="C4" s="45" t="s">
        <v>137</v>
      </c>
      <c r="D4" s="46" t="s">
        <v>248</v>
      </c>
      <c r="E4" s="45">
        <v>153729</v>
      </c>
      <c r="F4" s="45">
        <v>126040</v>
      </c>
      <c r="G4" s="45">
        <v>103810</v>
      </c>
      <c r="H4" s="45">
        <v>92370</v>
      </c>
      <c r="I4" s="45">
        <v>67726</v>
      </c>
      <c r="J4" s="45">
        <v>52119</v>
      </c>
      <c r="K4" s="45">
        <v>46733</v>
      </c>
      <c r="L4" s="45">
        <v>39673</v>
      </c>
      <c r="M4" s="45">
        <v>30956</v>
      </c>
      <c r="N4" s="45">
        <v>24467</v>
      </c>
      <c r="O4" s="45">
        <v>18634</v>
      </c>
      <c r="P4" s="45">
        <v>13968</v>
      </c>
      <c r="Q4" s="45">
        <v>9997</v>
      </c>
      <c r="R4" s="45">
        <v>7070</v>
      </c>
      <c r="S4" s="45">
        <v>4975</v>
      </c>
      <c r="T4" s="45">
        <v>3126</v>
      </c>
      <c r="U4" s="45">
        <v>2608</v>
      </c>
      <c r="V4" s="45">
        <f t="shared" ref="V4:V6" si="0">SUM(E4:U4)</f>
        <v>798001</v>
      </c>
    </row>
    <row r="5" spans="1:22" x14ac:dyDescent="0.35">
      <c r="A5" s="47" t="s">
        <v>139</v>
      </c>
      <c r="B5" s="48" t="s">
        <v>138</v>
      </c>
      <c r="C5" s="48" t="s">
        <v>137</v>
      </c>
      <c r="D5" s="49" t="s">
        <v>247</v>
      </c>
      <c r="E5" s="48">
        <v>165724</v>
      </c>
      <c r="F5" s="48">
        <v>123724</v>
      </c>
      <c r="G5" s="48">
        <v>108419</v>
      </c>
      <c r="H5" s="48">
        <v>96249</v>
      </c>
      <c r="I5" s="48">
        <v>70947</v>
      </c>
      <c r="J5" s="48">
        <v>52133</v>
      </c>
      <c r="K5" s="48">
        <v>37800</v>
      </c>
      <c r="L5" s="48">
        <v>29382</v>
      </c>
      <c r="M5" s="48">
        <v>25518</v>
      </c>
      <c r="N5" s="48">
        <v>21804</v>
      </c>
      <c r="O5" s="48">
        <v>18225</v>
      </c>
      <c r="P5" s="48">
        <v>14651</v>
      </c>
      <c r="Q5" s="48">
        <v>10832</v>
      </c>
      <c r="R5" s="48">
        <v>7802</v>
      </c>
      <c r="S5" s="48">
        <v>5129</v>
      </c>
      <c r="T5" s="48">
        <v>3113</v>
      </c>
      <c r="U5" s="48">
        <v>2805</v>
      </c>
      <c r="V5" s="48">
        <f t="shared" si="0"/>
        <v>794257</v>
      </c>
    </row>
    <row r="6" spans="1:22" x14ac:dyDescent="0.35">
      <c r="A6" s="44" t="s">
        <v>139</v>
      </c>
      <c r="B6" s="45" t="s">
        <v>138</v>
      </c>
      <c r="C6" s="45" t="s">
        <v>137</v>
      </c>
      <c r="D6" s="46" t="s">
        <v>246</v>
      </c>
      <c r="E6" s="45">
        <v>316915</v>
      </c>
      <c r="F6" s="45">
        <v>259623</v>
      </c>
      <c r="G6" s="45">
        <v>210596</v>
      </c>
      <c r="H6" s="45">
        <v>187170</v>
      </c>
      <c r="I6" s="45">
        <v>137602</v>
      </c>
      <c r="J6" s="45">
        <v>103485</v>
      </c>
      <c r="K6" s="45">
        <v>84050</v>
      </c>
      <c r="L6" s="45">
        <v>68706</v>
      </c>
      <c r="M6" s="45">
        <v>56143</v>
      </c>
      <c r="N6" s="45">
        <v>45972</v>
      </c>
      <c r="O6" s="45">
        <v>36594</v>
      </c>
      <c r="P6" s="45">
        <v>28398</v>
      </c>
      <c r="Q6" s="45">
        <v>20662</v>
      </c>
      <c r="R6" s="45">
        <v>14751</v>
      </c>
      <c r="S6" s="45">
        <v>10028</v>
      </c>
      <c r="T6" s="45">
        <v>6194</v>
      </c>
      <c r="U6" s="45">
        <v>5370</v>
      </c>
      <c r="V6" s="45">
        <f t="shared" si="0"/>
        <v>1592259</v>
      </c>
    </row>
    <row r="8" spans="1:22" x14ac:dyDescent="0.35">
      <c r="A8" t="s">
        <v>253</v>
      </c>
    </row>
    <row r="9" spans="1:22" x14ac:dyDescent="0.35">
      <c r="A9" s="50" t="s">
        <v>4</v>
      </c>
      <c r="B9" s="51" t="s">
        <v>3</v>
      </c>
      <c r="C9" s="51" t="s">
        <v>205</v>
      </c>
      <c r="D9" s="52" t="s">
        <v>250</v>
      </c>
      <c r="E9" s="53" t="s">
        <v>229</v>
      </c>
      <c r="F9" s="53" t="s">
        <v>230</v>
      </c>
      <c r="G9" s="53" t="s">
        <v>231</v>
      </c>
      <c r="H9" s="53" t="s">
        <v>232</v>
      </c>
      <c r="I9" s="53" t="s">
        <v>233</v>
      </c>
      <c r="J9" s="53" t="s">
        <v>234</v>
      </c>
      <c r="K9" s="53" t="s">
        <v>235</v>
      </c>
      <c r="L9" s="53" t="s">
        <v>236</v>
      </c>
      <c r="M9" s="53" t="s">
        <v>237</v>
      </c>
      <c r="N9" s="53" t="s">
        <v>238</v>
      </c>
      <c r="O9" s="53" t="s">
        <v>239</v>
      </c>
      <c r="P9" s="53" t="s">
        <v>240</v>
      </c>
      <c r="Q9" s="53" t="s">
        <v>241</v>
      </c>
      <c r="R9" s="53" t="s">
        <v>242</v>
      </c>
      <c r="S9" s="53" t="s">
        <v>243</v>
      </c>
      <c r="T9" s="53" t="s">
        <v>244</v>
      </c>
      <c r="U9" s="53" t="s">
        <v>245</v>
      </c>
      <c r="V9" s="51" t="s">
        <v>246</v>
      </c>
    </row>
    <row r="10" spans="1:22" x14ac:dyDescent="0.35">
      <c r="A10" s="44" t="s">
        <v>139</v>
      </c>
      <c r="B10" s="45" t="s">
        <v>138</v>
      </c>
      <c r="C10" s="45" t="s">
        <v>137</v>
      </c>
      <c r="D10" s="46" t="s">
        <v>248</v>
      </c>
      <c r="E10" s="56">
        <f>E4/$V$6</f>
        <v>9.6547735010447416E-2</v>
      </c>
      <c r="F10" s="56">
        <f t="shared" ref="F10:V10" si="1">F4/$V$6</f>
        <v>7.915797618352291E-2</v>
      </c>
      <c r="G10" s="56">
        <f t="shared" si="1"/>
        <v>6.5196679685905368E-2</v>
      </c>
      <c r="H10" s="56">
        <f t="shared" si="1"/>
        <v>5.8011918915201612E-2</v>
      </c>
      <c r="I10" s="56">
        <f t="shared" si="1"/>
        <v>4.2534537408800956E-2</v>
      </c>
      <c r="J10" s="56">
        <f t="shared" si="1"/>
        <v>3.273274008813893E-2</v>
      </c>
      <c r="K10" s="56">
        <f t="shared" si="1"/>
        <v>2.9350124571442208E-2</v>
      </c>
      <c r="L10" s="56">
        <f t="shared" si="1"/>
        <v>2.4916172557354049E-2</v>
      </c>
      <c r="M10" s="56">
        <f t="shared" si="1"/>
        <v>1.9441560700865876E-2</v>
      </c>
      <c r="N10" s="56">
        <f t="shared" si="1"/>
        <v>1.5366218686783997E-2</v>
      </c>
      <c r="O10" s="56">
        <f t="shared" si="1"/>
        <v>1.170286994766555E-2</v>
      </c>
      <c r="P10" s="56">
        <f t="shared" si="1"/>
        <v>8.7724421717823541E-3</v>
      </c>
      <c r="Q10" s="56">
        <f t="shared" si="1"/>
        <v>6.2785011734899912E-3</v>
      </c>
      <c r="R10" s="56">
        <f t="shared" si="1"/>
        <v>4.4402323993772367E-3</v>
      </c>
      <c r="S10" s="56">
        <f t="shared" si="1"/>
        <v>3.1244916813156654E-3</v>
      </c>
      <c r="T10" s="56">
        <f t="shared" si="1"/>
        <v>1.9632484413653808E-3</v>
      </c>
      <c r="U10" s="56">
        <f t="shared" si="1"/>
        <v>1.6379244833912071E-3</v>
      </c>
      <c r="V10" s="56">
        <f t="shared" si="1"/>
        <v>0.50117537410685076</v>
      </c>
    </row>
    <row r="11" spans="1:22" x14ac:dyDescent="0.35">
      <c r="A11" s="47" t="s">
        <v>139</v>
      </c>
      <c r="B11" s="48" t="s">
        <v>138</v>
      </c>
      <c r="C11" s="48" t="s">
        <v>137</v>
      </c>
      <c r="D11" s="49" t="s">
        <v>247</v>
      </c>
      <c r="E11" s="56">
        <f t="shared" ref="E11:V11" si="2">E5/$V$6</f>
        <v>0.10408105716469494</v>
      </c>
      <c r="F11" s="56">
        <f t="shared" si="2"/>
        <v>7.7703438950572745E-2</v>
      </c>
      <c r="G11" s="56">
        <f t="shared" si="2"/>
        <v>6.8091309265640831E-2</v>
      </c>
      <c r="H11" s="56">
        <f t="shared" si="2"/>
        <v>6.0448080368834464E-2</v>
      </c>
      <c r="I11" s="56">
        <f t="shared" si="2"/>
        <v>4.4557449510412565E-2</v>
      </c>
      <c r="J11" s="56">
        <f t="shared" si="2"/>
        <v>3.2741532627543632E-2</v>
      </c>
      <c r="K11" s="56">
        <f t="shared" si="2"/>
        <v>2.3739856392709979E-2</v>
      </c>
      <c r="L11" s="56">
        <f t="shared" si="2"/>
        <v>1.84530280563652E-2</v>
      </c>
      <c r="M11" s="56">
        <f t="shared" si="2"/>
        <v>1.6026287180665958E-2</v>
      </c>
      <c r="N11" s="56">
        <f t="shared" si="2"/>
        <v>1.3693752084302869E-2</v>
      </c>
      <c r="O11" s="56">
        <f t="shared" si="2"/>
        <v>1.1446002189342311E-2</v>
      </c>
      <c r="P11" s="56">
        <f t="shared" si="2"/>
        <v>9.2013924870262935E-3</v>
      </c>
      <c r="Q11" s="56">
        <f t="shared" si="2"/>
        <v>6.8029133451278966E-3</v>
      </c>
      <c r="R11" s="56">
        <f t="shared" si="2"/>
        <v>4.8999566025376522E-3</v>
      </c>
      <c r="S11" s="56">
        <f t="shared" si="2"/>
        <v>3.2212096147674466E-3</v>
      </c>
      <c r="T11" s="56">
        <f t="shared" si="2"/>
        <v>1.955083940489581E-3</v>
      </c>
      <c r="U11" s="56">
        <f t="shared" si="2"/>
        <v>1.7616480735860183E-3</v>
      </c>
      <c r="V11" s="56">
        <f t="shared" si="2"/>
        <v>0.49882399785462039</v>
      </c>
    </row>
    <row r="12" spans="1:22" x14ac:dyDescent="0.35">
      <c r="A12" s="44" t="s">
        <v>139</v>
      </c>
      <c r="B12" s="45" t="s">
        <v>138</v>
      </c>
      <c r="C12" s="45" t="s">
        <v>137</v>
      </c>
      <c r="D12" s="46" t="s">
        <v>246</v>
      </c>
      <c r="E12" s="56">
        <f t="shared" ref="E12:V12" si="3">E6/$V$6</f>
        <v>0.1990348303887747</v>
      </c>
      <c r="F12" s="56">
        <f t="shared" si="3"/>
        <v>0.16305324699059637</v>
      </c>
      <c r="G12" s="56">
        <f t="shared" si="3"/>
        <v>0.13226240203383996</v>
      </c>
      <c r="H12" s="56">
        <f t="shared" si="3"/>
        <v>0.11754997145564886</v>
      </c>
      <c r="I12" s="56">
        <f t="shared" si="3"/>
        <v>8.6419357654753406E-2</v>
      </c>
      <c r="J12" s="56">
        <f t="shared" si="3"/>
        <v>6.4992567164010376E-2</v>
      </c>
      <c r="K12" s="56">
        <f t="shared" si="3"/>
        <v>5.2786638354689781E-2</v>
      </c>
      <c r="L12" s="56">
        <f t="shared" si="3"/>
        <v>4.3150015167130476E-2</v>
      </c>
      <c r="M12" s="56">
        <f t="shared" si="3"/>
        <v>3.5259967128463396E-2</v>
      </c>
      <c r="N12" s="56">
        <f t="shared" si="3"/>
        <v>2.8872187250943471E-2</v>
      </c>
      <c r="O12" s="56">
        <f t="shared" si="3"/>
        <v>2.2982441926847327E-2</v>
      </c>
      <c r="P12" s="56">
        <f t="shared" si="3"/>
        <v>1.7835038143920054E-2</v>
      </c>
      <c r="Q12" s="56">
        <f t="shared" si="3"/>
        <v>1.2976532084290306E-2</v>
      </c>
      <c r="R12" s="56">
        <f t="shared" si="3"/>
        <v>9.2641963399170621E-3</v>
      </c>
      <c r="S12" s="56">
        <f t="shared" si="3"/>
        <v>6.2979703678861295E-3</v>
      </c>
      <c r="T12" s="56">
        <f t="shared" si="3"/>
        <v>3.8900706480541167E-3</v>
      </c>
      <c r="U12" s="56">
        <f t="shared" si="3"/>
        <v>3.3725669002341954E-3</v>
      </c>
      <c r="V12" s="56">
        <f t="shared" si="3"/>
        <v>1</v>
      </c>
    </row>
    <row r="13" spans="1:22" x14ac:dyDescent="0.35">
      <c r="A13" s="1"/>
      <c r="B13" s="1"/>
      <c r="C13" s="1"/>
      <c r="D13" s="3"/>
      <c r="E13" s="57"/>
      <c r="F13" s="57"/>
      <c r="G13" s="57"/>
      <c r="H13" s="57"/>
      <c r="I13" s="57"/>
      <c r="J13" s="57"/>
      <c r="K13" s="57"/>
      <c r="L13" s="57"/>
      <c r="M13" s="57"/>
      <c r="N13" s="57"/>
      <c r="O13" s="57"/>
      <c r="P13" s="57"/>
      <c r="Q13" s="57"/>
      <c r="R13" s="57"/>
      <c r="S13" s="57"/>
      <c r="T13" s="57"/>
      <c r="U13" s="57"/>
      <c r="V13" s="57"/>
    </row>
    <row r="14" spans="1:22" x14ac:dyDescent="0.35">
      <c r="A14" s="1" t="s">
        <v>300</v>
      </c>
    </row>
    <row r="15" spans="1:22" x14ac:dyDescent="0.35">
      <c r="A15" s="50" t="s">
        <v>4</v>
      </c>
      <c r="B15" s="51" t="s">
        <v>3</v>
      </c>
      <c r="C15" s="51" t="s">
        <v>205</v>
      </c>
      <c r="D15" s="52" t="s">
        <v>250</v>
      </c>
      <c r="E15" s="53" t="s">
        <v>229</v>
      </c>
      <c r="F15" s="53" t="s">
        <v>230</v>
      </c>
      <c r="G15" s="53" t="s">
        <v>231</v>
      </c>
      <c r="H15" s="53" t="s">
        <v>232</v>
      </c>
      <c r="I15" s="53" t="s">
        <v>233</v>
      </c>
      <c r="J15" s="53" t="s">
        <v>234</v>
      </c>
      <c r="K15" s="53" t="s">
        <v>235</v>
      </c>
      <c r="L15" s="53" t="s">
        <v>236</v>
      </c>
      <c r="M15" s="53" t="s">
        <v>237</v>
      </c>
      <c r="N15" s="53" t="s">
        <v>238</v>
      </c>
      <c r="O15" s="53" t="s">
        <v>239</v>
      </c>
      <c r="P15" s="53" t="s">
        <v>240</v>
      </c>
      <c r="Q15" s="53" t="s">
        <v>241</v>
      </c>
      <c r="R15" s="53" t="s">
        <v>242</v>
      </c>
      <c r="S15" s="53" t="s">
        <v>243</v>
      </c>
      <c r="T15" s="53" t="s">
        <v>244</v>
      </c>
      <c r="U15" s="53" t="s">
        <v>245</v>
      </c>
      <c r="V15" s="51" t="s">
        <v>246</v>
      </c>
    </row>
    <row r="16" spans="1:22" x14ac:dyDescent="0.35">
      <c r="A16" s="44" t="s">
        <v>139</v>
      </c>
      <c r="B16" s="45" t="s">
        <v>138</v>
      </c>
      <c r="C16" s="45" t="s">
        <v>137</v>
      </c>
      <c r="D16" s="46" t="s">
        <v>248</v>
      </c>
      <c r="E16" s="45">
        <f>E10*$V$20</f>
        <v>158182.7179419703</v>
      </c>
      <c r="F16" s="45">
        <f t="shared" ref="F16:V16" si="4">F10*$V$20</f>
        <v>129691.53360397802</v>
      </c>
      <c r="G16" s="45">
        <f t="shared" si="4"/>
        <v>106817.503200801</v>
      </c>
      <c r="H16" s="45">
        <f t="shared" si="4"/>
        <v>95046.072350043236</v>
      </c>
      <c r="I16" s="45">
        <f t="shared" si="4"/>
        <v>69688.105401959823</v>
      </c>
      <c r="J16" s="45">
        <f t="shared" si="4"/>
        <v>53628.951443238104</v>
      </c>
      <c r="K16" s="45">
        <f t="shared" si="4"/>
        <v>48086.912408082389</v>
      </c>
      <c r="L16" s="45">
        <f t="shared" si="4"/>
        <v>40822.375536897969</v>
      </c>
      <c r="M16" s="45">
        <f t="shared" si="4"/>
        <v>31852.833340564452</v>
      </c>
      <c r="N16" s="45">
        <f t="shared" si="4"/>
        <v>25175.839040689705</v>
      </c>
      <c r="O16" s="45">
        <f t="shared" si="4"/>
        <v>19173.849866522742</v>
      </c>
      <c r="P16" s="45">
        <f t="shared" si="4"/>
        <v>14372.670115680457</v>
      </c>
      <c r="Q16" s="45">
        <f t="shared" si="4"/>
        <v>10286.625368446274</v>
      </c>
      <c r="R16" s="45">
        <f t="shared" si="4"/>
        <v>7274.8265834665544</v>
      </c>
      <c r="S16" s="45">
        <f t="shared" si="4"/>
        <v>5119.1318603601294</v>
      </c>
      <c r="T16" s="45">
        <f t="shared" si="4"/>
        <v>3216.564059394123</v>
      </c>
      <c r="U16" s="45">
        <f t="shared" si="4"/>
        <v>2683.5569631797421</v>
      </c>
      <c r="V16" s="45">
        <f t="shared" si="4"/>
        <v>821120.06908527506</v>
      </c>
    </row>
    <row r="17" spans="1:22" x14ac:dyDescent="0.35">
      <c r="A17" s="47" t="s">
        <v>139</v>
      </c>
      <c r="B17" s="48" t="s">
        <v>138</v>
      </c>
      <c r="C17" s="48" t="s">
        <v>137</v>
      </c>
      <c r="D17" s="49" t="s">
        <v>247</v>
      </c>
      <c r="E17" s="45">
        <f t="shared" ref="E17:V17" si="5">E11*$V$20</f>
        <v>170525.22782438633</v>
      </c>
      <c r="F17" s="45">
        <f t="shared" si="5"/>
        <v>127308.43623943652</v>
      </c>
      <c r="G17" s="45">
        <f t="shared" si="5"/>
        <v>111560.03159163514</v>
      </c>
      <c r="H17" s="45">
        <f t="shared" si="5"/>
        <v>99037.451744281818</v>
      </c>
      <c r="I17" s="45">
        <f t="shared" si="5"/>
        <v>73002.421728034184</v>
      </c>
      <c r="J17" s="45">
        <f t="shared" si="5"/>
        <v>53643.357040433082</v>
      </c>
      <c r="K17" s="45">
        <f t="shared" si="5"/>
        <v>38895.112426454849</v>
      </c>
      <c r="L17" s="45">
        <f t="shared" si="5"/>
        <v>30233.232627357043</v>
      </c>
      <c r="M17" s="45">
        <f t="shared" si="5"/>
        <v>26257.287801541661</v>
      </c>
      <c r="N17" s="45">
        <f t="shared" si="5"/>
        <v>22435.688659958243</v>
      </c>
      <c r="O17" s="45">
        <f t="shared" si="5"/>
        <v>18753.000634183587</v>
      </c>
      <c r="P17" s="45">
        <f t="shared" si="5"/>
        <v>15075.45746455</v>
      </c>
      <c r="Q17" s="45">
        <f t="shared" si="5"/>
        <v>11145.816344004204</v>
      </c>
      <c r="R17" s="45">
        <f t="shared" si="5"/>
        <v>8028.0335225185372</v>
      </c>
      <c r="S17" s="45">
        <f t="shared" si="5"/>
        <v>5277.5934295049447</v>
      </c>
      <c r="T17" s="45">
        <f t="shared" si="5"/>
        <v>3203.187433427353</v>
      </c>
      <c r="U17" s="45">
        <f t="shared" si="5"/>
        <v>2886.2642951377211</v>
      </c>
      <c r="V17" s="45">
        <f t="shared" si="5"/>
        <v>817267.60080684524</v>
      </c>
    </row>
    <row r="18" spans="1:22" x14ac:dyDescent="0.35">
      <c r="A18" s="44" t="s">
        <v>139</v>
      </c>
      <c r="B18" s="45" t="s">
        <v>138</v>
      </c>
      <c r="C18" s="45" t="s">
        <v>137</v>
      </c>
      <c r="D18" s="46" t="s">
        <v>246</v>
      </c>
      <c r="E18" s="45">
        <f t="shared" ref="E18:V18" si="6">E12*$V$20</f>
        <v>326096.41678915184</v>
      </c>
      <c r="F18" s="45">
        <f t="shared" si="6"/>
        <v>267144.59718236735</v>
      </c>
      <c r="G18" s="45">
        <f t="shared" si="6"/>
        <v>216697.22477676414</v>
      </c>
      <c r="H18" s="45">
        <f t="shared" si="6"/>
        <v>192592.54478464427</v>
      </c>
      <c r="I18" s="45">
        <f t="shared" si="6"/>
        <v>141588.49894457779</v>
      </c>
      <c r="J18" s="45">
        <f t="shared" si="6"/>
        <v>106483.08755163175</v>
      </c>
      <c r="K18" s="45">
        <f t="shared" si="6"/>
        <v>86485.031731310315</v>
      </c>
      <c r="L18" s="45">
        <f t="shared" si="6"/>
        <v>70696.497205608655</v>
      </c>
      <c r="M18" s="45">
        <f t="shared" si="6"/>
        <v>57769.531665567578</v>
      </c>
      <c r="N18" s="45">
        <f t="shared" si="6"/>
        <v>47303.865303412233</v>
      </c>
      <c r="O18" s="45">
        <f t="shared" si="6"/>
        <v>37654.173125229863</v>
      </c>
      <c r="P18" s="45">
        <f t="shared" si="6"/>
        <v>29220.724938795367</v>
      </c>
      <c r="Q18" s="45">
        <f t="shared" si="6"/>
        <v>21260.603517338892</v>
      </c>
      <c r="R18" s="45">
        <f t="shared" si="6"/>
        <v>15178.35458737131</v>
      </c>
      <c r="S18" s="45">
        <f t="shared" si="6"/>
        <v>10318.523476520879</v>
      </c>
      <c r="T18" s="45">
        <f t="shared" si="6"/>
        <v>6373.4477875518869</v>
      </c>
      <c r="U18" s="45">
        <f t="shared" si="6"/>
        <v>5525.5754955042994</v>
      </c>
      <c r="V18" s="45">
        <f t="shared" si="6"/>
        <v>1638388.6988633485</v>
      </c>
    </row>
    <row r="19" spans="1:22" x14ac:dyDescent="0.35">
      <c r="A19" s="1"/>
      <c r="B19" s="1"/>
      <c r="C19" s="1"/>
      <c r="D19" s="3"/>
      <c r="E19" s="1"/>
      <c r="F19" s="1"/>
      <c r="G19" s="1"/>
      <c r="H19" s="1"/>
      <c r="I19" s="1"/>
      <c r="J19" s="1"/>
      <c r="K19" s="1"/>
      <c r="L19" s="1"/>
      <c r="M19" s="1"/>
      <c r="N19" s="1"/>
      <c r="O19" s="1"/>
      <c r="P19" s="1"/>
      <c r="Q19" s="1"/>
      <c r="R19" s="1"/>
      <c r="S19" s="1"/>
      <c r="T19" s="1"/>
      <c r="U19" s="1"/>
      <c r="V19" s="45"/>
    </row>
    <row r="20" spans="1:22" x14ac:dyDescent="0.35">
      <c r="A20" s="1" t="s">
        <v>294</v>
      </c>
      <c r="V20" s="45">
        <v>1638388.6988633485</v>
      </c>
    </row>
    <row r="21" spans="1:22" x14ac:dyDescent="0.35">
      <c r="A21" s="50" t="s">
        <v>4</v>
      </c>
      <c r="B21" s="51" t="s">
        <v>3</v>
      </c>
      <c r="C21" s="51" t="s">
        <v>205</v>
      </c>
      <c r="D21" s="52" t="s">
        <v>250</v>
      </c>
      <c r="E21" s="53" t="s">
        <v>229</v>
      </c>
      <c r="F21" s="53" t="s">
        <v>230</v>
      </c>
      <c r="G21" s="53" t="s">
        <v>231</v>
      </c>
      <c r="H21" s="53" t="s">
        <v>232</v>
      </c>
      <c r="I21" s="53" t="s">
        <v>233</v>
      </c>
      <c r="J21" s="53" t="s">
        <v>234</v>
      </c>
      <c r="K21" s="53" t="s">
        <v>235</v>
      </c>
      <c r="L21" s="53" t="s">
        <v>236</v>
      </c>
      <c r="M21" s="53" t="s">
        <v>237</v>
      </c>
      <c r="N21" s="53" t="s">
        <v>238</v>
      </c>
      <c r="O21" s="53" t="s">
        <v>239</v>
      </c>
      <c r="P21" s="53" t="s">
        <v>240</v>
      </c>
      <c r="Q21" s="53" t="s">
        <v>241</v>
      </c>
      <c r="R21" s="53" t="s">
        <v>242</v>
      </c>
      <c r="S21" s="53" t="s">
        <v>243</v>
      </c>
      <c r="T21" s="53" t="s">
        <v>244</v>
      </c>
      <c r="U21" s="53" t="s">
        <v>245</v>
      </c>
      <c r="V21" s="51" t="s">
        <v>246</v>
      </c>
    </row>
    <row r="22" spans="1:22" x14ac:dyDescent="0.35">
      <c r="A22" s="44" t="s">
        <v>139</v>
      </c>
      <c r="B22" s="45" t="s">
        <v>138</v>
      </c>
      <c r="C22" s="45" t="s">
        <v>137</v>
      </c>
      <c r="D22" s="46" t="s">
        <v>248</v>
      </c>
      <c r="E22" s="56">
        <f>E16/$V$18</f>
        <v>9.6547735010447416E-2</v>
      </c>
      <c r="F22" s="56">
        <f t="shared" ref="F22:V22" si="7">F16/$V$18</f>
        <v>7.915797618352291E-2</v>
      </c>
      <c r="G22" s="56">
        <f t="shared" si="7"/>
        <v>6.5196679685905368E-2</v>
      </c>
      <c r="H22" s="56">
        <f t="shared" si="7"/>
        <v>5.8011918915201612E-2</v>
      </c>
      <c r="I22" s="56">
        <f t="shared" si="7"/>
        <v>4.2534537408800956E-2</v>
      </c>
      <c r="J22" s="56">
        <f t="shared" si="7"/>
        <v>3.273274008813893E-2</v>
      </c>
      <c r="K22" s="56">
        <f t="shared" si="7"/>
        <v>2.9350124571442208E-2</v>
      </c>
      <c r="L22" s="56">
        <f t="shared" si="7"/>
        <v>2.4916172557354049E-2</v>
      </c>
      <c r="M22" s="56">
        <f t="shared" si="7"/>
        <v>1.9441560700865876E-2</v>
      </c>
      <c r="N22" s="56">
        <f t="shared" si="7"/>
        <v>1.5366218686783997E-2</v>
      </c>
      <c r="O22" s="56">
        <f t="shared" si="7"/>
        <v>1.170286994766555E-2</v>
      </c>
      <c r="P22" s="56">
        <f t="shared" si="7"/>
        <v>8.7724421717823541E-3</v>
      </c>
      <c r="Q22" s="56">
        <f t="shared" si="7"/>
        <v>6.2785011734899912E-3</v>
      </c>
      <c r="R22" s="56">
        <f t="shared" si="7"/>
        <v>4.4402323993772367E-3</v>
      </c>
      <c r="S22" s="56">
        <f t="shared" si="7"/>
        <v>3.1244916813156654E-3</v>
      </c>
      <c r="T22" s="56">
        <f t="shared" si="7"/>
        <v>1.9632484413653808E-3</v>
      </c>
      <c r="U22" s="56">
        <f t="shared" si="7"/>
        <v>1.6379244833912071E-3</v>
      </c>
      <c r="V22" s="56">
        <f t="shared" si="7"/>
        <v>0.50117537410685076</v>
      </c>
    </row>
    <row r="23" spans="1:22" x14ac:dyDescent="0.35">
      <c r="A23" s="47" t="s">
        <v>139</v>
      </c>
      <c r="B23" s="48" t="s">
        <v>138</v>
      </c>
      <c r="C23" s="48" t="s">
        <v>137</v>
      </c>
      <c r="D23" s="49" t="s">
        <v>247</v>
      </c>
      <c r="E23" s="56">
        <f t="shared" ref="E23:V23" si="8">E17/$V$18</f>
        <v>0.10408105716469493</v>
      </c>
      <c r="F23" s="56">
        <f t="shared" si="8"/>
        <v>7.7703438950572745E-2</v>
      </c>
      <c r="G23" s="56">
        <f t="shared" si="8"/>
        <v>6.8091309265640831E-2</v>
      </c>
      <c r="H23" s="56">
        <f t="shared" si="8"/>
        <v>6.0448080368834464E-2</v>
      </c>
      <c r="I23" s="56">
        <f t="shared" si="8"/>
        <v>4.4557449510412565E-2</v>
      </c>
      <c r="J23" s="56">
        <f t="shared" si="8"/>
        <v>3.2741532627543632E-2</v>
      </c>
      <c r="K23" s="56">
        <f t="shared" si="8"/>
        <v>2.3739856392709979E-2</v>
      </c>
      <c r="L23" s="56">
        <f t="shared" si="8"/>
        <v>1.84530280563652E-2</v>
      </c>
      <c r="M23" s="56">
        <f t="shared" si="8"/>
        <v>1.6026287180665958E-2</v>
      </c>
      <c r="N23" s="56">
        <f t="shared" si="8"/>
        <v>1.3693752084302869E-2</v>
      </c>
      <c r="O23" s="56">
        <f t="shared" si="8"/>
        <v>1.1446002189342311E-2</v>
      </c>
      <c r="P23" s="56">
        <f t="shared" si="8"/>
        <v>9.2013924870262935E-3</v>
      </c>
      <c r="Q23" s="56">
        <f t="shared" si="8"/>
        <v>6.8029133451278966E-3</v>
      </c>
      <c r="R23" s="56">
        <f t="shared" si="8"/>
        <v>4.8999566025376522E-3</v>
      </c>
      <c r="S23" s="56">
        <f t="shared" si="8"/>
        <v>3.2212096147674466E-3</v>
      </c>
      <c r="T23" s="56">
        <f t="shared" si="8"/>
        <v>1.955083940489581E-3</v>
      </c>
      <c r="U23" s="56">
        <f t="shared" si="8"/>
        <v>1.7616480735860183E-3</v>
      </c>
      <c r="V23" s="56">
        <f t="shared" si="8"/>
        <v>0.49882399785462039</v>
      </c>
    </row>
    <row r="24" spans="1:22" x14ac:dyDescent="0.35">
      <c r="A24" s="44" t="s">
        <v>139</v>
      </c>
      <c r="B24" s="45" t="s">
        <v>138</v>
      </c>
      <c r="C24" s="45" t="s">
        <v>137</v>
      </c>
      <c r="D24" s="46" t="s">
        <v>246</v>
      </c>
      <c r="E24" s="56">
        <f t="shared" ref="E24:V24" si="9">E18/$V$18</f>
        <v>0.1990348303887747</v>
      </c>
      <c r="F24" s="56">
        <f t="shared" si="9"/>
        <v>0.16305324699059634</v>
      </c>
      <c r="G24" s="56">
        <f t="shared" si="9"/>
        <v>0.13226240203383996</v>
      </c>
      <c r="H24" s="56">
        <f t="shared" si="9"/>
        <v>0.11754997145564886</v>
      </c>
      <c r="I24" s="56">
        <f t="shared" si="9"/>
        <v>8.6419357654753406E-2</v>
      </c>
      <c r="J24" s="56">
        <f t="shared" si="9"/>
        <v>6.4992567164010376E-2</v>
      </c>
      <c r="K24" s="56">
        <f t="shared" si="9"/>
        <v>5.2786638354689781E-2</v>
      </c>
      <c r="L24" s="56">
        <f t="shared" si="9"/>
        <v>4.3150015167130476E-2</v>
      </c>
      <c r="M24" s="56">
        <f t="shared" si="9"/>
        <v>3.5259967128463396E-2</v>
      </c>
      <c r="N24" s="56">
        <f t="shared" si="9"/>
        <v>2.8872187250943471E-2</v>
      </c>
      <c r="O24" s="56">
        <f t="shared" si="9"/>
        <v>2.2982441926847331E-2</v>
      </c>
      <c r="P24" s="56">
        <f t="shared" si="9"/>
        <v>1.7835038143920054E-2</v>
      </c>
      <c r="Q24" s="56">
        <f t="shared" si="9"/>
        <v>1.2976532084290308E-2</v>
      </c>
      <c r="R24" s="56">
        <f t="shared" si="9"/>
        <v>9.2641963399170621E-3</v>
      </c>
      <c r="S24" s="56">
        <f t="shared" si="9"/>
        <v>6.2979703678861286E-3</v>
      </c>
      <c r="T24" s="56">
        <f t="shared" si="9"/>
        <v>3.8900706480541167E-3</v>
      </c>
      <c r="U24" s="56">
        <f t="shared" si="9"/>
        <v>3.3725669002341954E-3</v>
      </c>
      <c r="V24" s="56">
        <f t="shared" si="9"/>
        <v>1</v>
      </c>
    </row>
    <row r="26" spans="1:22" x14ac:dyDescent="0.35">
      <c r="A26" t="s">
        <v>301</v>
      </c>
    </row>
    <row r="27" spans="1:22" x14ac:dyDescent="0.35">
      <c r="A27" s="50" t="s">
        <v>4</v>
      </c>
      <c r="B27" s="51" t="s">
        <v>3</v>
      </c>
      <c r="C27" s="51" t="s">
        <v>205</v>
      </c>
      <c r="D27" s="52" t="s">
        <v>250</v>
      </c>
      <c r="E27" s="53" t="s">
        <v>229</v>
      </c>
      <c r="F27" s="53" t="s">
        <v>230</v>
      </c>
      <c r="G27" s="53" t="s">
        <v>231</v>
      </c>
      <c r="H27" s="53" t="s">
        <v>232</v>
      </c>
      <c r="I27" s="53" t="s">
        <v>233</v>
      </c>
      <c r="J27" s="53" t="s">
        <v>234</v>
      </c>
      <c r="K27" s="53" t="s">
        <v>235</v>
      </c>
      <c r="L27" s="53" t="s">
        <v>236</v>
      </c>
      <c r="M27" s="53" t="s">
        <v>237</v>
      </c>
      <c r="N27" s="53" t="s">
        <v>238</v>
      </c>
      <c r="O27" s="53" t="s">
        <v>239</v>
      </c>
      <c r="P27" s="53" t="s">
        <v>240</v>
      </c>
      <c r="Q27" s="53" t="s">
        <v>241</v>
      </c>
      <c r="R27" s="53" t="s">
        <v>242</v>
      </c>
      <c r="S27" s="53" t="s">
        <v>243</v>
      </c>
      <c r="T27" s="53" t="s">
        <v>244</v>
      </c>
      <c r="U27" s="53" t="s">
        <v>245</v>
      </c>
      <c r="V27" s="51" t="s">
        <v>246</v>
      </c>
    </row>
    <row r="28" spans="1:22" x14ac:dyDescent="0.35">
      <c r="A28" s="44" t="s">
        <v>139</v>
      </c>
      <c r="B28" s="45" t="s">
        <v>138</v>
      </c>
      <c r="C28" s="45" t="s">
        <v>137</v>
      </c>
      <c r="D28" s="46" t="s">
        <v>248</v>
      </c>
      <c r="E28" s="45">
        <f>E22*$V$31</f>
        <v>161110.82626246006</v>
      </c>
      <c r="F28" s="45">
        <f t="shared" ref="F28:V28" si="10">F22*$V$31</f>
        <v>132092.24376741191</v>
      </c>
      <c r="G28" s="45">
        <f t="shared" si="10"/>
        <v>108794.79391855784</v>
      </c>
      <c r="H28" s="45">
        <f t="shared" si="10"/>
        <v>96805.46300218851</v>
      </c>
      <c r="I28" s="45">
        <f t="shared" si="10"/>
        <v>70978.096647030616</v>
      </c>
      <c r="J28" s="45">
        <f t="shared" si="10"/>
        <v>54621.672904742481</v>
      </c>
      <c r="K28" s="45">
        <f t="shared" si="10"/>
        <v>48977.045604430823</v>
      </c>
      <c r="L28" s="45">
        <f t="shared" si="10"/>
        <v>41578.035441007087</v>
      </c>
      <c r="M28" s="45">
        <f t="shared" si="10"/>
        <v>32442.45872789593</v>
      </c>
      <c r="N28" s="45">
        <f t="shared" si="10"/>
        <v>25641.867091853914</v>
      </c>
      <c r="O28" s="45">
        <f t="shared" si="10"/>
        <v>19528.775550316994</v>
      </c>
      <c r="P28" s="45">
        <f t="shared" si="10"/>
        <v>14638.721524462151</v>
      </c>
      <c r="Q28" s="45">
        <f t="shared" si="10"/>
        <v>10477.040312145486</v>
      </c>
      <c r="R28" s="45">
        <f t="shared" si="10"/>
        <v>7409.4903477911948</v>
      </c>
      <c r="S28" s="45">
        <f t="shared" si="10"/>
        <v>5213.8917228092214</v>
      </c>
      <c r="T28" s="45">
        <f t="shared" si="10"/>
        <v>3276.1056332666585</v>
      </c>
      <c r="U28" s="45">
        <f t="shared" si="10"/>
        <v>2733.2320830324525</v>
      </c>
      <c r="V28" s="45">
        <f t="shared" si="10"/>
        <v>836319.76054140343</v>
      </c>
    </row>
    <row r="29" spans="1:22" x14ac:dyDescent="0.35">
      <c r="A29" s="47" t="s">
        <v>139</v>
      </c>
      <c r="B29" s="48" t="s">
        <v>138</v>
      </c>
      <c r="C29" s="48" t="s">
        <v>137</v>
      </c>
      <c r="D29" s="49" t="s">
        <v>247</v>
      </c>
      <c r="E29" s="45">
        <f t="shared" ref="E29:V29" si="11">E23*$V$31</f>
        <v>173681.80741122318</v>
      </c>
      <c r="F29" s="45">
        <f t="shared" si="11"/>
        <v>129665.03306790919</v>
      </c>
      <c r="G29" s="45">
        <f t="shared" si="11"/>
        <v>113625.1108935182</v>
      </c>
      <c r="H29" s="45">
        <f t="shared" si="11"/>
        <v>100870.72651832458</v>
      </c>
      <c r="I29" s="45">
        <f t="shared" si="11"/>
        <v>74353.764031788116</v>
      </c>
      <c r="J29" s="45">
        <f t="shared" si="11"/>
        <v>54636.345162856909</v>
      </c>
      <c r="K29" s="45">
        <f t="shared" si="11"/>
        <v>39615.096908982625</v>
      </c>
      <c r="L29" s="45">
        <f t="shared" si="11"/>
        <v>30792.8777084584</v>
      </c>
      <c r="M29" s="45">
        <f t="shared" si="11"/>
        <v>26743.334468873509</v>
      </c>
      <c r="N29" s="45">
        <f t="shared" si="11"/>
        <v>22850.993994800458</v>
      </c>
      <c r="O29" s="45">
        <f t="shared" si="11"/>
        <v>19100.136009688053</v>
      </c>
      <c r="P29" s="45">
        <f t="shared" si="11"/>
        <v>15354.518116759376</v>
      </c>
      <c r="Q29" s="45">
        <f t="shared" si="11"/>
        <v>11352.135706828038</v>
      </c>
      <c r="R29" s="45">
        <f t="shared" si="11"/>
        <v>8176.6398434889534</v>
      </c>
      <c r="S29" s="45">
        <f t="shared" si="11"/>
        <v>5375.2865620680395</v>
      </c>
      <c r="T29" s="45">
        <f t="shared" si="11"/>
        <v>3262.4813935889661</v>
      </c>
      <c r="U29" s="45">
        <f t="shared" si="11"/>
        <v>2939.6917150713298</v>
      </c>
      <c r="V29" s="45">
        <f t="shared" si="11"/>
        <v>832395.97951422795</v>
      </c>
    </row>
    <row r="30" spans="1:22" x14ac:dyDescent="0.35">
      <c r="A30" s="44" t="s">
        <v>139</v>
      </c>
      <c r="B30" s="45" t="s">
        <v>138</v>
      </c>
      <c r="C30" s="45" t="s">
        <v>137</v>
      </c>
      <c r="D30" s="46" t="s">
        <v>246</v>
      </c>
      <c r="E30" s="45">
        <f t="shared" ref="E30:V30" si="12">E24*$V$31</f>
        <v>332132.76288122305</v>
      </c>
      <c r="F30" s="45">
        <f t="shared" si="12"/>
        <v>272089.69060319563</v>
      </c>
      <c r="G30" s="45">
        <f t="shared" si="12"/>
        <v>220708.49070487049</v>
      </c>
      <c r="H30" s="45">
        <f t="shared" si="12"/>
        <v>196157.61080566872</v>
      </c>
      <c r="I30" s="45">
        <f t="shared" si="12"/>
        <v>144209.43293306424</v>
      </c>
      <c r="J30" s="45">
        <f t="shared" si="12"/>
        <v>108454.18792661553</v>
      </c>
      <c r="K30" s="45">
        <f t="shared" si="12"/>
        <v>88085.949608465336</v>
      </c>
      <c r="L30" s="45">
        <f t="shared" si="12"/>
        <v>72005.154715041281</v>
      </c>
      <c r="M30" s="45">
        <f t="shared" si="12"/>
        <v>58838.899094206659</v>
      </c>
      <c r="N30" s="45">
        <f t="shared" si="12"/>
        <v>48179.503574067443</v>
      </c>
      <c r="O30" s="45">
        <f t="shared" si="12"/>
        <v>38351.186674267476</v>
      </c>
      <c r="P30" s="45">
        <f t="shared" si="12"/>
        <v>29761.627566700761</v>
      </c>
      <c r="Q30" s="45">
        <f t="shared" si="12"/>
        <v>21654.156940037014</v>
      </c>
      <c r="R30" s="45">
        <f t="shared" si="12"/>
        <v>15459.319960433937</v>
      </c>
      <c r="S30" s="45">
        <f t="shared" si="12"/>
        <v>10509.528883684598</v>
      </c>
      <c r="T30" s="45">
        <f t="shared" si="12"/>
        <v>6491.426197202074</v>
      </c>
      <c r="U30" s="45">
        <f t="shared" si="12"/>
        <v>5627.8590053237222</v>
      </c>
      <c r="V30" s="45">
        <f t="shared" si="12"/>
        <v>1668716.788074068</v>
      </c>
    </row>
    <row r="31" spans="1:22" x14ac:dyDescent="0.35">
      <c r="V31" s="45">
        <v>1668716.788074068</v>
      </c>
    </row>
    <row r="32" spans="1:22" x14ac:dyDescent="0.35">
      <c r="A32" t="s">
        <v>338</v>
      </c>
    </row>
    <row r="33" spans="1:22" x14ac:dyDescent="0.35">
      <c r="A33" s="50" t="s">
        <v>4</v>
      </c>
      <c r="B33" s="51" t="s">
        <v>3</v>
      </c>
      <c r="C33" s="51" t="s">
        <v>205</v>
      </c>
      <c r="D33" s="52" t="s">
        <v>250</v>
      </c>
      <c r="E33" s="53" t="s">
        <v>229</v>
      </c>
      <c r="F33" s="53" t="s">
        <v>230</v>
      </c>
      <c r="G33" s="53" t="s">
        <v>231</v>
      </c>
      <c r="H33" s="53" t="s">
        <v>232</v>
      </c>
      <c r="I33" s="53" t="s">
        <v>233</v>
      </c>
      <c r="J33" s="53" t="s">
        <v>234</v>
      </c>
      <c r="K33" s="53" t="s">
        <v>235</v>
      </c>
      <c r="L33" s="53" t="s">
        <v>236</v>
      </c>
      <c r="M33" s="53" t="s">
        <v>237</v>
      </c>
      <c r="N33" s="53" t="s">
        <v>238</v>
      </c>
      <c r="O33" s="53" t="s">
        <v>239</v>
      </c>
      <c r="P33" s="53" t="s">
        <v>240</v>
      </c>
      <c r="Q33" s="53" t="s">
        <v>241</v>
      </c>
      <c r="R33" s="53" t="s">
        <v>242</v>
      </c>
      <c r="S33" s="53" t="s">
        <v>243</v>
      </c>
      <c r="T33" s="53" t="s">
        <v>244</v>
      </c>
      <c r="U33" s="53" t="s">
        <v>245</v>
      </c>
      <c r="V33" s="51" t="s">
        <v>246</v>
      </c>
    </row>
    <row r="34" spans="1:22" x14ac:dyDescent="0.35">
      <c r="A34" s="44" t="s">
        <v>139</v>
      </c>
      <c r="B34" s="45" t="s">
        <v>138</v>
      </c>
      <c r="C34" s="45" t="s">
        <v>137</v>
      </c>
      <c r="D34" s="46" t="s">
        <v>248</v>
      </c>
      <c r="E34" s="56">
        <f>E28/$V$30</f>
        <v>9.6547735010447416E-2</v>
      </c>
      <c r="F34" s="56">
        <f t="shared" ref="F34:V34" si="13">F28/$V$30</f>
        <v>7.915797618352291E-2</v>
      </c>
      <c r="G34" s="56">
        <f t="shared" si="13"/>
        <v>6.5196679685905368E-2</v>
      </c>
      <c r="H34" s="56">
        <f t="shared" si="13"/>
        <v>5.8011918915201612E-2</v>
      </c>
      <c r="I34" s="56">
        <f t="shared" si="13"/>
        <v>4.2534537408800949E-2</v>
      </c>
      <c r="J34" s="56">
        <f t="shared" si="13"/>
        <v>3.273274008813893E-2</v>
      </c>
      <c r="K34" s="56">
        <f t="shared" si="13"/>
        <v>2.9350124571442208E-2</v>
      </c>
      <c r="L34" s="56">
        <f t="shared" si="13"/>
        <v>2.4916172557354049E-2</v>
      </c>
      <c r="M34" s="56">
        <f t="shared" si="13"/>
        <v>1.9441560700865876E-2</v>
      </c>
      <c r="N34" s="56">
        <f t="shared" si="13"/>
        <v>1.5366218686783997E-2</v>
      </c>
      <c r="O34" s="56">
        <f t="shared" si="13"/>
        <v>1.170286994766555E-2</v>
      </c>
      <c r="P34" s="56">
        <f t="shared" si="13"/>
        <v>8.7724421717823541E-3</v>
      </c>
      <c r="Q34" s="56">
        <f t="shared" si="13"/>
        <v>6.2785011734899912E-3</v>
      </c>
      <c r="R34" s="56">
        <f t="shared" si="13"/>
        <v>4.4402323993772367E-3</v>
      </c>
      <c r="S34" s="56">
        <f t="shared" si="13"/>
        <v>3.1244916813156654E-3</v>
      </c>
      <c r="T34" s="56">
        <f t="shared" si="13"/>
        <v>1.9632484413653808E-3</v>
      </c>
      <c r="U34" s="56">
        <f t="shared" si="13"/>
        <v>1.6379244833912073E-3</v>
      </c>
      <c r="V34" s="56">
        <f t="shared" si="13"/>
        <v>0.50117537410685076</v>
      </c>
    </row>
    <row r="35" spans="1:22" x14ac:dyDescent="0.35">
      <c r="A35" s="47" t="s">
        <v>139</v>
      </c>
      <c r="B35" s="48" t="s">
        <v>138</v>
      </c>
      <c r="C35" s="48" t="s">
        <v>137</v>
      </c>
      <c r="D35" s="49" t="s">
        <v>247</v>
      </c>
      <c r="E35" s="56">
        <f t="shared" ref="E35:V35" si="14">E29/$V$30</f>
        <v>0.10408105716469493</v>
      </c>
      <c r="F35" s="56">
        <f t="shared" si="14"/>
        <v>7.7703438950572745E-2</v>
      </c>
      <c r="G35" s="56">
        <f t="shared" si="14"/>
        <v>6.8091309265640831E-2</v>
      </c>
      <c r="H35" s="56">
        <f t="shared" si="14"/>
        <v>6.0448080368834464E-2</v>
      </c>
      <c r="I35" s="56">
        <f t="shared" si="14"/>
        <v>4.4557449510412565E-2</v>
      </c>
      <c r="J35" s="56">
        <f t="shared" si="14"/>
        <v>3.2741532627543632E-2</v>
      </c>
      <c r="K35" s="56">
        <f t="shared" si="14"/>
        <v>2.3739856392709979E-2</v>
      </c>
      <c r="L35" s="56">
        <f t="shared" si="14"/>
        <v>1.84530280563652E-2</v>
      </c>
      <c r="M35" s="56">
        <f t="shared" si="14"/>
        <v>1.6026287180665958E-2</v>
      </c>
      <c r="N35" s="56">
        <f t="shared" si="14"/>
        <v>1.3693752084302869E-2</v>
      </c>
      <c r="O35" s="56">
        <f t="shared" si="14"/>
        <v>1.1446002189342311E-2</v>
      </c>
      <c r="P35" s="56">
        <f t="shared" si="14"/>
        <v>9.2013924870262935E-3</v>
      </c>
      <c r="Q35" s="56">
        <f t="shared" si="14"/>
        <v>6.8029133451278966E-3</v>
      </c>
      <c r="R35" s="56">
        <f t="shared" si="14"/>
        <v>4.8999566025376522E-3</v>
      </c>
      <c r="S35" s="56">
        <f t="shared" si="14"/>
        <v>3.2212096147674466E-3</v>
      </c>
      <c r="T35" s="56">
        <f t="shared" si="14"/>
        <v>1.955083940489581E-3</v>
      </c>
      <c r="U35" s="56">
        <f t="shared" si="14"/>
        <v>1.7616480735860181E-3</v>
      </c>
      <c r="V35" s="56">
        <f t="shared" si="14"/>
        <v>0.49882399785462039</v>
      </c>
    </row>
    <row r="36" spans="1:22" x14ac:dyDescent="0.35">
      <c r="A36" s="44" t="s">
        <v>139</v>
      </c>
      <c r="B36" s="45" t="s">
        <v>138</v>
      </c>
      <c r="C36" s="45" t="s">
        <v>137</v>
      </c>
      <c r="D36" s="46" t="s">
        <v>246</v>
      </c>
      <c r="E36" s="56">
        <f t="shared" ref="E36:V36" si="15">E30/$V$30</f>
        <v>0.19903483038877473</v>
      </c>
      <c r="F36" s="56">
        <f t="shared" si="15"/>
        <v>0.16305324699059634</v>
      </c>
      <c r="G36" s="56">
        <f t="shared" si="15"/>
        <v>0.13226240203383996</v>
      </c>
      <c r="H36" s="56">
        <f t="shared" si="15"/>
        <v>0.11754997145564884</v>
      </c>
      <c r="I36" s="56">
        <f t="shared" si="15"/>
        <v>8.6419357654753406E-2</v>
      </c>
      <c r="J36" s="56">
        <f t="shared" si="15"/>
        <v>6.4992567164010376E-2</v>
      </c>
      <c r="K36" s="56">
        <f t="shared" si="15"/>
        <v>5.2786638354689781E-2</v>
      </c>
      <c r="L36" s="56">
        <f t="shared" si="15"/>
        <v>4.3150015167130469E-2</v>
      </c>
      <c r="M36" s="56">
        <f t="shared" si="15"/>
        <v>3.5259967128463396E-2</v>
      </c>
      <c r="N36" s="56">
        <f t="shared" si="15"/>
        <v>2.8872187250943471E-2</v>
      </c>
      <c r="O36" s="56">
        <f t="shared" si="15"/>
        <v>2.2982441926847331E-2</v>
      </c>
      <c r="P36" s="56">
        <f t="shared" si="15"/>
        <v>1.7835038143920054E-2</v>
      </c>
      <c r="Q36" s="56">
        <f t="shared" si="15"/>
        <v>1.2976532084290308E-2</v>
      </c>
      <c r="R36" s="56">
        <f t="shared" si="15"/>
        <v>9.2641963399170621E-3</v>
      </c>
      <c r="S36" s="56">
        <f t="shared" si="15"/>
        <v>6.2979703678861286E-3</v>
      </c>
      <c r="T36" s="56">
        <f t="shared" si="15"/>
        <v>3.8900706480541167E-3</v>
      </c>
      <c r="U36" s="56">
        <f t="shared" si="15"/>
        <v>3.3725669002341954E-3</v>
      </c>
      <c r="V36" s="56">
        <f t="shared" si="15"/>
        <v>1</v>
      </c>
    </row>
    <row r="38" spans="1:22" x14ac:dyDescent="0.35">
      <c r="A38" t="s">
        <v>327</v>
      </c>
    </row>
    <row r="39" spans="1:22" x14ac:dyDescent="0.35">
      <c r="A39" s="50" t="s">
        <v>4</v>
      </c>
      <c r="B39" s="51" t="s">
        <v>3</v>
      </c>
      <c r="C39" s="51" t="s">
        <v>205</v>
      </c>
      <c r="D39" s="52" t="s">
        <v>250</v>
      </c>
      <c r="E39" s="53" t="s">
        <v>229</v>
      </c>
      <c r="F39" s="53" t="s">
        <v>230</v>
      </c>
      <c r="G39" s="53" t="s">
        <v>231</v>
      </c>
      <c r="H39" s="53" t="s">
        <v>232</v>
      </c>
      <c r="I39" s="53" t="s">
        <v>233</v>
      </c>
      <c r="J39" s="53" t="s">
        <v>234</v>
      </c>
      <c r="K39" s="53" t="s">
        <v>235</v>
      </c>
      <c r="L39" s="53" t="s">
        <v>236</v>
      </c>
      <c r="M39" s="53" t="s">
        <v>237</v>
      </c>
      <c r="N39" s="53" t="s">
        <v>238</v>
      </c>
      <c r="O39" s="53" t="s">
        <v>239</v>
      </c>
      <c r="P39" s="53" t="s">
        <v>240</v>
      </c>
      <c r="Q39" s="53" t="s">
        <v>241</v>
      </c>
      <c r="R39" s="53" t="s">
        <v>242</v>
      </c>
      <c r="S39" s="53" t="s">
        <v>243</v>
      </c>
      <c r="T39" s="53" t="s">
        <v>244</v>
      </c>
      <c r="U39" s="53" t="s">
        <v>245</v>
      </c>
      <c r="V39" s="51" t="s">
        <v>246</v>
      </c>
    </row>
    <row r="40" spans="1:22" x14ac:dyDescent="0.35">
      <c r="A40" s="44" t="s">
        <v>139</v>
      </c>
      <c r="B40" s="45" t="s">
        <v>138</v>
      </c>
      <c r="C40" s="45" t="s">
        <v>137</v>
      </c>
      <c r="D40" s="46" t="s">
        <v>248</v>
      </c>
      <c r="E40" s="45">
        <f>E34*$V$43</f>
        <v>169613.41424014294</v>
      </c>
      <c r="F40" s="45">
        <f t="shared" ref="F40:V40" si="16">F34*$V$43</f>
        <v>139063.38251616558</v>
      </c>
      <c r="G40" s="45">
        <f t="shared" si="16"/>
        <v>114536.41493972666</v>
      </c>
      <c r="H40" s="45">
        <f t="shared" si="16"/>
        <v>101914.34975419086</v>
      </c>
      <c r="I40" s="45">
        <f t="shared" si="16"/>
        <v>74723.949891223645</v>
      </c>
      <c r="J40" s="45">
        <f t="shared" si="16"/>
        <v>57504.319528403954</v>
      </c>
      <c r="K40" s="45">
        <f t="shared" si="16"/>
        <v>51561.798279339622</v>
      </c>
      <c r="L40" s="45">
        <f t="shared" si="16"/>
        <v>43772.307002251961</v>
      </c>
      <c r="M40" s="45">
        <f t="shared" si="16"/>
        <v>34154.602262539047</v>
      </c>
      <c r="N40" s="45">
        <f t="shared" si="16"/>
        <v>26995.11091735182</v>
      </c>
      <c r="O40" s="45">
        <f t="shared" si="16"/>
        <v>20559.402331055455</v>
      </c>
      <c r="P40" s="45">
        <f t="shared" si="16"/>
        <v>15411.276792968905</v>
      </c>
      <c r="Q40" s="45">
        <f t="shared" si="16"/>
        <v>11029.963781451184</v>
      </c>
      <c r="R40" s="45">
        <f t="shared" si="16"/>
        <v>7800.5245508512426</v>
      </c>
      <c r="S40" s="45">
        <f t="shared" si="16"/>
        <v>5489.0536973811786</v>
      </c>
      <c r="T40" s="45">
        <f t="shared" si="16"/>
        <v>3449.0013784951889</v>
      </c>
      <c r="U40" s="45">
        <f t="shared" si="16"/>
        <v>2877.4777975417319</v>
      </c>
      <c r="V40" s="45">
        <f t="shared" si="16"/>
        <v>880456.3496610811</v>
      </c>
    </row>
    <row r="41" spans="1:22" x14ac:dyDescent="0.35">
      <c r="A41" s="47" t="s">
        <v>139</v>
      </c>
      <c r="B41" s="48" t="s">
        <v>138</v>
      </c>
      <c r="C41" s="48" t="s">
        <v>137</v>
      </c>
      <c r="D41" s="49" t="s">
        <v>247</v>
      </c>
      <c r="E41" s="45">
        <f t="shared" ref="E41:V41" si="17">E35*$V$43</f>
        <v>182847.82611955746</v>
      </c>
      <c r="F41" s="45">
        <f t="shared" si="17"/>
        <v>136508.0763125204</v>
      </c>
      <c r="G41" s="45">
        <f t="shared" si="17"/>
        <v>119621.65081736082</v>
      </c>
      <c r="H41" s="45">
        <f t="shared" si="17"/>
        <v>106194.15664708363</v>
      </c>
      <c r="I41" s="45">
        <f t="shared" si="17"/>
        <v>78277.767370472866</v>
      </c>
      <c r="J41" s="45">
        <f t="shared" si="17"/>
        <v>57519.766111672958</v>
      </c>
      <c r="K41" s="45">
        <f t="shared" si="17"/>
        <v>41705.774826333378</v>
      </c>
      <c r="L41" s="45">
        <f t="shared" si="17"/>
        <v>32417.964972151516</v>
      </c>
      <c r="M41" s="45">
        <f t="shared" si="17"/>
        <v>28154.707989904102</v>
      </c>
      <c r="N41" s="45">
        <f t="shared" si="17"/>
        <v>24056.950114110397</v>
      </c>
      <c r="O41" s="45">
        <f t="shared" si="17"/>
        <v>20108.14143412502</v>
      </c>
      <c r="P41" s="45">
        <f t="shared" si="17"/>
        <v>16164.849391021437</v>
      </c>
      <c r="Q41" s="45">
        <f t="shared" si="17"/>
        <v>11951.242140710136</v>
      </c>
      <c r="R41" s="45">
        <f t="shared" si="17"/>
        <v>8608.1601903453175</v>
      </c>
      <c r="S41" s="45">
        <f t="shared" si="17"/>
        <v>5658.9661133403142</v>
      </c>
      <c r="T41" s="45">
        <f t="shared" si="17"/>
        <v>3434.6581226025341</v>
      </c>
      <c r="U41" s="45">
        <f t="shared" si="17"/>
        <v>3094.833290684262</v>
      </c>
      <c r="V41" s="45">
        <f t="shared" si="17"/>
        <v>876325.49196399655</v>
      </c>
    </row>
    <row r="42" spans="1:22" x14ac:dyDescent="0.35">
      <c r="A42" s="44" t="s">
        <v>139</v>
      </c>
      <c r="B42" s="45" t="s">
        <v>138</v>
      </c>
      <c r="C42" s="45" t="s">
        <v>137</v>
      </c>
      <c r="D42" s="46" t="s">
        <v>246</v>
      </c>
      <c r="E42" s="45">
        <f t="shared" ref="E42:V42" si="18">E36*$V$43</f>
        <v>349660.99547850387</v>
      </c>
      <c r="F42" s="45">
        <f t="shared" si="18"/>
        <v>286449.16343219968</v>
      </c>
      <c r="G42" s="45">
        <f t="shared" si="18"/>
        <v>232356.3321514948</v>
      </c>
      <c r="H42" s="45">
        <f t="shared" si="18"/>
        <v>206509.78503293166</v>
      </c>
      <c r="I42" s="45">
        <f t="shared" si="18"/>
        <v>151820.05364161709</v>
      </c>
      <c r="J42" s="45">
        <f t="shared" si="18"/>
        <v>114177.83354241031</v>
      </c>
      <c r="K42" s="45">
        <f t="shared" si="18"/>
        <v>92734.665982892067</v>
      </c>
      <c r="L42" s="45">
        <f t="shared" si="18"/>
        <v>75805.210720054514</v>
      </c>
      <c r="M42" s="45">
        <f t="shared" si="18"/>
        <v>61944.108890868643</v>
      </c>
      <c r="N42" s="45">
        <f t="shared" si="18"/>
        <v>50722.166145931165</v>
      </c>
      <c r="O42" s="45">
        <f t="shared" si="18"/>
        <v>40375.162010445601</v>
      </c>
      <c r="P42" s="45">
        <f t="shared" si="18"/>
        <v>31332.290833815219</v>
      </c>
      <c r="Q42" s="45">
        <f t="shared" si="18"/>
        <v>22796.950250309532</v>
      </c>
      <c r="R42" s="45">
        <f t="shared" si="18"/>
        <v>16275.182128657241</v>
      </c>
      <c r="S42" s="45">
        <f t="shared" si="18"/>
        <v>11064.166930118283</v>
      </c>
      <c r="T42" s="45">
        <f t="shared" si="18"/>
        <v>6834.009769161612</v>
      </c>
      <c r="U42" s="45">
        <f t="shared" si="18"/>
        <v>5924.8680110425985</v>
      </c>
      <c r="V42" s="45">
        <f t="shared" si="18"/>
        <v>1756782.944952454</v>
      </c>
    </row>
    <row r="43" spans="1:22" x14ac:dyDescent="0.35">
      <c r="V43" s="45">
        <v>1756782.944952454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3:T69"/>
  <sheetViews>
    <sheetView workbookViewId="0">
      <selection activeCell="A64" sqref="A64:A66"/>
    </sheetView>
  </sheetViews>
  <sheetFormatPr baseColWidth="10" defaultColWidth="8.7265625" defaultRowHeight="14.5" x14ac:dyDescent="0.35"/>
  <cols>
    <col min="1" max="1" width="28.453125" bestFit="1" customWidth="1"/>
    <col min="2" max="2" width="9.54296875" bestFit="1" customWidth="1"/>
    <col min="20" max="20" width="10.1796875" bestFit="1" customWidth="1"/>
  </cols>
  <sheetData>
    <row r="3" spans="1:20" x14ac:dyDescent="0.35">
      <c r="A3" s="72" t="s">
        <v>252</v>
      </c>
      <c r="B3" s="72"/>
      <c r="C3" s="15" t="s">
        <v>229</v>
      </c>
      <c r="D3" s="16" t="s">
        <v>230</v>
      </c>
      <c r="E3" s="17" t="s">
        <v>231</v>
      </c>
      <c r="F3" s="17" t="s">
        <v>232</v>
      </c>
      <c r="G3" s="18" t="s">
        <v>233</v>
      </c>
      <c r="H3" s="16" t="s">
        <v>234</v>
      </c>
      <c r="I3" s="16" t="s">
        <v>235</v>
      </c>
      <c r="J3" s="16" t="s">
        <v>236</v>
      </c>
      <c r="K3" s="16" t="s">
        <v>237</v>
      </c>
      <c r="L3" s="16" t="s">
        <v>238</v>
      </c>
      <c r="M3" s="16" t="s">
        <v>239</v>
      </c>
      <c r="N3" s="16" t="s">
        <v>240</v>
      </c>
      <c r="O3" s="16" t="s">
        <v>241</v>
      </c>
      <c r="P3" s="16" t="s">
        <v>242</v>
      </c>
      <c r="Q3" s="16" t="s">
        <v>243</v>
      </c>
      <c r="R3" s="16" t="s">
        <v>244</v>
      </c>
      <c r="S3" s="16" t="s">
        <v>245</v>
      </c>
      <c r="T3" s="19" t="s">
        <v>246</v>
      </c>
    </row>
    <row r="4" spans="1:20" x14ac:dyDescent="0.35">
      <c r="A4" s="72" t="s">
        <v>262</v>
      </c>
      <c r="B4" s="19" t="s">
        <v>246</v>
      </c>
      <c r="C4" s="20">
        <v>131697.08123860651</v>
      </c>
      <c r="D4" s="20">
        <v>108092.46643879064</v>
      </c>
      <c r="E4" s="20">
        <v>123983.90806775124</v>
      </c>
      <c r="F4" s="20">
        <v>92953.203250050836</v>
      </c>
      <c r="G4" s="20">
        <v>55745.580270044658</v>
      </c>
      <c r="H4" s="20">
        <v>39154.43776646004</v>
      </c>
      <c r="I4" s="20">
        <v>31687.188873597632</v>
      </c>
      <c r="J4" s="20">
        <v>26454.866892034261</v>
      </c>
      <c r="K4" s="20">
        <v>23624.165265430362</v>
      </c>
      <c r="L4" s="20">
        <v>20342.773957818645</v>
      </c>
      <c r="M4" s="20">
        <v>16366.826634955152</v>
      </c>
      <c r="N4" s="20">
        <v>12775.714793134866</v>
      </c>
      <c r="O4" s="20">
        <v>8982.9244639229528</v>
      </c>
      <c r="P4" s="20">
        <v>6472.2330902720923</v>
      </c>
      <c r="Q4" s="20">
        <v>4933.9201379737178</v>
      </c>
      <c r="R4" s="20">
        <v>3294.7679419795295</v>
      </c>
      <c r="S4" s="20">
        <v>3258.7586503421508</v>
      </c>
      <c r="T4" s="21">
        <v>709820.81773316523</v>
      </c>
    </row>
    <row r="5" spans="1:20" x14ac:dyDescent="0.35">
      <c r="A5" s="72"/>
      <c r="B5" s="19" t="s">
        <v>247</v>
      </c>
      <c r="C5" s="20">
        <v>67288.586757591926</v>
      </c>
      <c r="D5" s="20">
        <v>55184.790598471001</v>
      </c>
      <c r="E5" s="20">
        <v>62726.125466293604</v>
      </c>
      <c r="F5" s="20">
        <v>46804.843652974036</v>
      </c>
      <c r="G5" s="20">
        <v>27692.720056994091</v>
      </c>
      <c r="H5" s="20">
        <v>18509.14607755396</v>
      </c>
      <c r="I5" s="20">
        <v>12339.430718369307</v>
      </c>
      <c r="J5" s="20">
        <v>9569.4384323577833</v>
      </c>
      <c r="K5" s="20">
        <v>10065.402875841273</v>
      </c>
      <c r="L5" s="20">
        <v>9416.1216230651698</v>
      </c>
      <c r="M5" s="20">
        <v>7982.7638019603974</v>
      </c>
      <c r="N5" s="20">
        <v>6482.5228090165629</v>
      </c>
      <c r="O5" s="20">
        <v>4622.1416600162538</v>
      </c>
      <c r="P5" s="20">
        <v>3396.6361575497899</v>
      </c>
      <c r="Q5" s="20">
        <v>2636.2259423334026</v>
      </c>
      <c r="R5" s="20">
        <v>1764.6867646767312</v>
      </c>
      <c r="S5" s="20">
        <v>1699.8640007468368</v>
      </c>
      <c r="T5" s="21">
        <v>348181.44739581214</v>
      </c>
    </row>
    <row r="6" spans="1:20" x14ac:dyDescent="0.35">
      <c r="A6" s="72"/>
      <c r="B6" s="19" t="s">
        <v>248</v>
      </c>
      <c r="C6" s="20">
        <v>64408.494481014575</v>
      </c>
      <c r="D6" s="20">
        <v>52906.646868445183</v>
      </c>
      <c r="E6" s="20">
        <v>61257.782601457628</v>
      </c>
      <c r="F6" s="20">
        <v>46149.388568951254</v>
      </c>
      <c r="G6" s="20">
        <v>28053.889184925014</v>
      </c>
      <c r="H6" s="20">
        <v>20645.291688906083</v>
      </c>
      <c r="I6" s="20">
        <v>19347.758155228323</v>
      </c>
      <c r="J6" s="20">
        <v>16885.428459676477</v>
      </c>
      <c r="K6" s="20">
        <v>13558.762389589088</v>
      </c>
      <c r="L6" s="20">
        <v>10926.652334753475</v>
      </c>
      <c r="M6" s="20">
        <v>8384.0628329947558</v>
      </c>
      <c r="N6" s="20">
        <v>6293.1919841183017</v>
      </c>
      <c r="O6" s="20">
        <v>4360.7828039066972</v>
      </c>
      <c r="P6" s="20">
        <v>3075.5969327223029</v>
      </c>
      <c r="Q6" s="20">
        <v>2298.7231675147623</v>
      </c>
      <c r="R6" s="20">
        <v>1530.0811773027986</v>
      </c>
      <c r="S6" s="20">
        <v>1559.923622961383</v>
      </c>
      <c r="T6" s="21">
        <v>361642.45725446817</v>
      </c>
    </row>
    <row r="7" spans="1:20" x14ac:dyDescent="0.35">
      <c r="A7" s="72" t="s">
        <v>263</v>
      </c>
      <c r="B7" s="19" t="s">
        <v>246</v>
      </c>
      <c r="C7" s="20">
        <v>27606.686218041912</v>
      </c>
      <c r="D7" s="20">
        <v>23368.289686970515</v>
      </c>
      <c r="E7" s="20">
        <v>15350.424727002472</v>
      </c>
      <c r="F7" s="20">
        <v>14771.105172015048</v>
      </c>
      <c r="G7" s="20">
        <v>12553.638669354481</v>
      </c>
      <c r="H7" s="20">
        <v>10143.751639548893</v>
      </c>
      <c r="I7" s="20">
        <v>8319.3580853877847</v>
      </c>
      <c r="J7" s="20">
        <v>6856.1388896646649</v>
      </c>
      <c r="K7" s="20">
        <v>5485.5285037974372</v>
      </c>
      <c r="L7" s="20">
        <v>4555.324458133794</v>
      </c>
      <c r="M7" s="20">
        <v>4052.149924583438</v>
      </c>
      <c r="N7" s="20">
        <v>3277.3228821224607</v>
      </c>
      <c r="O7" s="20">
        <v>2183.5099390467385</v>
      </c>
      <c r="P7" s="20">
        <v>1473.5090634848866</v>
      </c>
      <c r="Q7" s="20">
        <v>1034.1317100574797</v>
      </c>
      <c r="R7" s="20">
        <v>630.76889379625391</v>
      </c>
      <c r="S7" s="20">
        <v>442.46431375593659</v>
      </c>
      <c r="T7" s="21">
        <v>142104.10277676416</v>
      </c>
    </row>
    <row r="8" spans="1:20" x14ac:dyDescent="0.35">
      <c r="A8" s="72"/>
      <c r="B8" s="19" t="s">
        <v>247</v>
      </c>
      <c r="C8" s="20">
        <v>14105.350727828789</v>
      </c>
      <c r="D8" s="20">
        <v>11930.072682991462</v>
      </c>
      <c r="E8" s="20">
        <v>8456.2133266192723</v>
      </c>
      <c r="F8" s="20">
        <v>8130.0245185712911</v>
      </c>
      <c r="G8" s="20">
        <v>6792.3417095417153</v>
      </c>
      <c r="H8" s="20">
        <v>5386.7457732844841</v>
      </c>
      <c r="I8" s="20">
        <v>4223.9907162049303</v>
      </c>
      <c r="J8" s="20">
        <v>3362.7287845451183</v>
      </c>
      <c r="K8" s="20">
        <v>2513.814694199426</v>
      </c>
      <c r="L8" s="20">
        <v>2082.6692349814321</v>
      </c>
      <c r="M8" s="20">
        <v>2111.4808647143764</v>
      </c>
      <c r="N8" s="20">
        <v>1828.5095012658126</v>
      </c>
      <c r="O8" s="20">
        <v>1250.218933054565</v>
      </c>
      <c r="P8" s="20">
        <v>871.55179942157747</v>
      </c>
      <c r="Q8" s="20">
        <v>630.76889379625391</v>
      </c>
      <c r="R8" s="20">
        <v>387.92801461857698</v>
      </c>
      <c r="S8" s="20">
        <v>263.42061470120876</v>
      </c>
      <c r="T8" s="21">
        <v>74327.830790340304</v>
      </c>
    </row>
    <row r="9" spans="1:20" x14ac:dyDescent="0.35">
      <c r="A9" s="72"/>
      <c r="B9" s="19" t="s">
        <v>248</v>
      </c>
      <c r="C9" s="20">
        <v>13501.335490213127</v>
      </c>
      <c r="D9" s="20">
        <v>11438.217003979051</v>
      </c>
      <c r="E9" s="20">
        <v>6894.2114003831985</v>
      </c>
      <c r="F9" s="20">
        <v>6641.0806534437561</v>
      </c>
      <c r="G9" s="20">
        <v>5761.2969598127656</v>
      </c>
      <c r="H9" s="20">
        <v>4757.0058662644069</v>
      </c>
      <c r="I9" s="20">
        <v>4095.3673691828553</v>
      </c>
      <c r="J9" s="20">
        <v>3494.4390918957229</v>
      </c>
      <c r="K9" s="20">
        <v>2971.7138095980113</v>
      </c>
      <c r="L9" s="20">
        <v>2473.6842099285386</v>
      </c>
      <c r="M9" s="20">
        <v>1940.6690598690616</v>
      </c>
      <c r="N9" s="20">
        <v>1449.842367632825</v>
      </c>
      <c r="O9" s="20">
        <v>933.29100599217327</v>
      </c>
      <c r="P9" s="20">
        <v>601.95726406330914</v>
      </c>
      <c r="Q9" s="20">
        <v>403.36281626122593</v>
      </c>
      <c r="R9" s="20">
        <v>242.84087917767684</v>
      </c>
      <c r="S9" s="20">
        <v>179.04369905472785</v>
      </c>
      <c r="T9" s="21">
        <v>67779.358946752429</v>
      </c>
    </row>
    <row r="10" spans="1:20" x14ac:dyDescent="0.35">
      <c r="A10" s="72" t="s">
        <v>264</v>
      </c>
      <c r="B10" s="19" t="s">
        <v>246</v>
      </c>
      <c r="C10" s="22">
        <v>171146.63141373143</v>
      </c>
      <c r="D10" s="22">
        <v>138861.64808418235</v>
      </c>
      <c r="E10" s="22">
        <v>117832.57476999337</v>
      </c>
      <c r="F10" s="22">
        <v>104508.43373435049</v>
      </c>
      <c r="G10" s="22">
        <v>74202.160977937659</v>
      </c>
      <c r="H10" s="22">
        <v>54552.937314594048</v>
      </c>
      <c r="I10" s="22">
        <v>44478.285613305969</v>
      </c>
      <c r="J10" s="22">
        <v>36643.703031995836</v>
      </c>
      <c r="K10" s="22">
        <v>30548.080860774247</v>
      </c>
      <c r="L10" s="22">
        <v>25447.473314733492</v>
      </c>
      <c r="M10" s="22">
        <v>20581.471078456161</v>
      </c>
      <c r="N10" s="22">
        <v>16255.678437028817</v>
      </c>
      <c r="O10" s="22">
        <v>12136.708897629756</v>
      </c>
      <c r="P10" s="22">
        <v>8871.7850034221083</v>
      </c>
      <c r="Q10" s="22">
        <v>6168.6790878584479</v>
      </c>
      <c r="R10" s="22">
        <v>3873.0455524102081</v>
      </c>
      <c r="S10" s="22">
        <v>3462.4862603242163</v>
      </c>
      <c r="T10" s="22">
        <v>869571.78343272849</v>
      </c>
    </row>
    <row r="11" spans="1:20" x14ac:dyDescent="0.35">
      <c r="A11" s="72"/>
      <c r="B11" s="19" t="s">
        <v>247</v>
      </c>
      <c r="C11" s="22">
        <v>87445.013331688824</v>
      </c>
      <c r="D11" s="22">
        <v>70894.020316142021</v>
      </c>
      <c r="E11" s="22">
        <v>59473.47499568481</v>
      </c>
      <c r="F11" s="22">
        <v>52589.661301310662</v>
      </c>
      <c r="G11" s="22">
        <v>36849.497163367261</v>
      </c>
      <c r="H11" s="22">
        <v>26226.404101974331</v>
      </c>
      <c r="I11" s="22">
        <v>19289.083933443617</v>
      </c>
      <c r="J11" s="22">
        <v>15371.79264278855</v>
      </c>
      <c r="K11" s="22">
        <v>14005.319610482293</v>
      </c>
      <c r="L11" s="22">
        <v>12386.748767246039</v>
      </c>
      <c r="M11" s="22">
        <v>10576.78938183436</v>
      </c>
      <c r="N11" s="22">
        <v>8743.1636713149674</v>
      </c>
      <c r="O11" s="22">
        <v>6791.2063352570076</v>
      </c>
      <c r="P11" s="22">
        <v>5120.1579885210404</v>
      </c>
      <c r="Q11" s="22">
        <v>3579.7889152059288</v>
      </c>
      <c r="R11" s="22">
        <v>2258.5905918013832</v>
      </c>
      <c r="S11" s="22">
        <v>2038.3908712339594</v>
      </c>
      <c r="T11" s="22">
        <v>433639.10391929699</v>
      </c>
    </row>
    <row r="12" spans="1:20" x14ac:dyDescent="0.35">
      <c r="A12" s="72"/>
      <c r="B12" s="19" t="s">
        <v>248</v>
      </c>
      <c r="C12" s="22">
        <v>83701.618082042609</v>
      </c>
      <c r="D12" s="22">
        <v>67967.627768040358</v>
      </c>
      <c r="E12" s="22">
        <v>58359.099774308546</v>
      </c>
      <c r="F12" s="22">
        <v>51919.801403696678</v>
      </c>
      <c r="G12" s="22">
        <v>37352.663814570398</v>
      </c>
      <c r="H12" s="22">
        <v>28325.504241962859</v>
      </c>
      <c r="I12" s="22">
        <v>25189.201679862355</v>
      </c>
      <c r="J12" s="22">
        <v>21271.910389207289</v>
      </c>
      <c r="K12" s="22">
        <v>16542.761250291955</v>
      </c>
      <c r="L12" s="22">
        <v>13060.724547487453</v>
      </c>
      <c r="M12" s="22">
        <v>10004.681696621801</v>
      </c>
      <c r="N12" s="22">
        <v>7512.5147657138496</v>
      </c>
      <c r="O12" s="22">
        <v>5345.5025623727497</v>
      </c>
      <c r="P12" s="22">
        <v>3751.6270149010675</v>
      </c>
      <c r="Q12" s="22">
        <v>2588.8901726525201</v>
      </c>
      <c r="R12" s="22">
        <v>1614.4549606088249</v>
      </c>
      <c r="S12" s="22">
        <v>1424.0953890902572</v>
      </c>
      <c r="T12" s="22">
        <v>435932.6795134315</v>
      </c>
    </row>
    <row r="13" spans="1:20" x14ac:dyDescent="0.35">
      <c r="A13" s="72" t="s">
        <v>265</v>
      </c>
      <c r="B13" s="19" t="s">
        <v>246</v>
      </c>
      <c r="C13" s="22">
        <v>80007.708097632218</v>
      </c>
      <c r="D13" s="22">
        <v>68487.338991322773</v>
      </c>
      <c r="E13" s="22">
        <v>245920.16210535282</v>
      </c>
      <c r="F13" s="22">
        <v>95451.546961208354</v>
      </c>
      <c r="G13" s="22">
        <v>28497.376062811705</v>
      </c>
      <c r="H13" s="22">
        <v>28408.884481609257</v>
      </c>
      <c r="I13" s="22">
        <v>22792.755990877129</v>
      </c>
      <c r="J13" s="22">
        <v>18820.924555511425</v>
      </c>
      <c r="K13" s="22">
        <v>15119.7127231253</v>
      </c>
      <c r="L13" s="22">
        <v>12553.456868254298</v>
      </c>
      <c r="M13" s="22">
        <v>11083.056059669432</v>
      </c>
      <c r="N13" s="22">
        <v>8924.2730670794699</v>
      </c>
      <c r="O13" s="22">
        <v>5934.0807999362742</v>
      </c>
      <c r="P13" s="22">
        <v>3994.4688166035403</v>
      </c>
      <c r="Q13" s="22">
        <v>2796.7455547471459</v>
      </c>
      <c r="R13" s="22">
        <v>1706.0353678332481</v>
      </c>
      <c r="S13" s="22">
        <v>3744.4286511129012</v>
      </c>
      <c r="T13" s="21">
        <v>654242.95515468752</v>
      </c>
    </row>
    <row r="14" spans="1:20" x14ac:dyDescent="0.35">
      <c r="A14" s="72"/>
      <c r="B14" s="19" t="s">
        <v>247</v>
      </c>
      <c r="C14" s="22">
        <v>40878.994628033339</v>
      </c>
      <c r="D14" s="22">
        <v>34965.49326558601</v>
      </c>
      <c r="E14" s="22">
        <v>117451.99460876122</v>
      </c>
      <c r="F14" s="22">
        <v>46736.931509260539</v>
      </c>
      <c r="G14" s="22">
        <v>14806.905273293391</v>
      </c>
      <c r="H14" s="22">
        <v>14195.695979871829</v>
      </c>
      <c r="I14" s="22">
        <v>10877.261684780016</v>
      </c>
      <c r="J14" s="22">
        <v>8657.7693515976789</v>
      </c>
      <c r="K14" s="22">
        <v>6474.2910340209874</v>
      </c>
      <c r="L14" s="22">
        <v>5360.9434658692544</v>
      </c>
      <c r="M14" s="22">
        <v>5437.0873845783372</v>
      </c>
      <c r="N14" s="22">
        <v>4706.5173537209148</v>
      </c>
      <c r="O14" s="22">
        <v>3217.5950513959992</v>
      </c>
      <c r="P14" s="22">
        <v>2244.1876581690676</v>
      </c>
      <c r="Q14" s="22">
        <v>1625.7755616263762</v>
      </c>
      <c r="R14" s="22">
        <v>1000.1606619625557</v>
      </c>
      <c r="S14" s="22">
        <v>1879.9316146148037</v>
      </c>
      <c r="T14" s="21">
        <v>320517.53608714236</v>
      </c>
    </row>
    <row r="15" spans="1:20" x14ac:dyDescent="0.35">
      <c r="A15" s="72"/>
      <c r="B15" s="19" t="s">
        <v>248</v>
      </c>
      <c r="C15" s="22">
        <v>39128.713469598872</v>
      </c>
      <c r="D15" s="22">
        <v>33521.845725736763</v>
      </c>
      <c r="E15" s="22">
        <v>128468.1674965916</v>
      </c>
      <c r="F15" s="22">
        <v>48714.615451947815</v>
      </c>
      <c r="G15" s="22">
        <v>13690.470789518315</v>
      </c>
      <c r="H15" s="22">
        <v>14212.159529862982</v>
      </c>
      <c r="I15" s="22">
        <v>11915.494306097113</v>
      </c>
      <c r="J15" s="22">
        <v>10163.155203913746</v>
      </c>
      <c r="K15" s="22">
        <v>8646.4506609787604</v>
      </c>
      <c r="L15" s="22">
        <v>7193.5423742594921</v>
      </c>
      <c r="M15" s="22">
        <v>5644.9397032166462</v>
      </c>
      <c r="N15" s="22">
        <v>4216.7267414841081</v>
      </c>
      <c r="O15" s="22">
        <v>2716.4857485402745</v>
      </c>
      <c r="P15" s="22">
        <v>1750.2811584344722</v>
      </c>
      <c r="Q15" s="22">
        <v>1170.9699931207699</v>
      </c>
      <c r="R15" s="22">
        <v>705.87470587069254</v>
      </c>
      <c r="S15" s="22">
        <v>1864.4970364980975</v>
      </c>
      <c r="T15" s="21">
        <v>333724.39009567047</v>
      </c>
    </row>
    <row r="16" spans="1:20" x14ac:dyDescent="0.35">
      <c r="A16" s="72" t="s">
        <v>266</v>
      </c>
      <c r="B16" s="19" t="s">
        <v>246</v>
      </c>
      <c r="C16" s="22">
        <v>164354.99037183856</v>
      </c>
      <c r="D16" s="22">
        <v>134245.14214166621</v>
      </c>
      <c r="E16" s="22">
        <v>113896.14485508674</v>
      </c>
      <c r="F16" s="22">
        <v>103633.15441534444</v>
      </c>
      <c r="G16" s="22">
        <v>73627.232597284979</v>
      </c>
      <c r="H16" s="22">
        <v>53444.929159837062</v>
      </c>
      <c r="I16" s="22">
        <v>42899.999740699401</v>
      </c>
      <c r="J16" s="22">
        <v>35164.170371741857</v>
      </c>
      <c r="K16" s="22">
        <v>29835.112071418476</v>
      </c>
      <c r="L16" s="22">
        <v>25052.439165470794</v>
      </c>
      <c r="M16" s="22">
        <v>20190.535232466751</v>
      </c>
      <c r="N16" s="22">
        <v>15884.277463234594</v>
      </c>
      <c r="O16" s="22">
        <v>11685.033029247395</v>
      </c>
      <c r="P16" s="22">
        <v>8527.1106651438167</v>
      </c>
      <c r="Q16" s="22">
        <v>6110.0498527360896</v>
      </c>
      <c r="R16" s="22">
        <v>3916.2764802144757</v>
      </c>
      <c r="S16" s="22">
        <v>3577.7439100645643</v>
      </c>
      <c r="T16" s="21">
        <v>846044.3415234962</v>
      </c>
    </row>
    <row r="17" spans="1:20" x14ac:dyDescent="0.35">
      <c r="A17" s="72"/>
      <c r="B17" s="19" t="s">
        <v>247</v>
      </c>
      <c r="C17" s="22">
        <v>83974.598935970396</v>
      </c>
      <c r="D17" s="22">
        <v>68537.925326885394</v>
      </c>
      <c r="E17" s="22">
        <v>57799.548724804918</v>
      </c>
      <c r="F17" s="22">
        <v>52686.575043726167</v>
      </c>
      <c r="G17" s="22">
        <v>37327.074512942803</v>
      </c>
      <c r="H17" s="22">
        <v>26316.019700863169</v>
      </c>
      <c r="I17" s="22">
        <v>18562.697767490579</v>
      </c>
      <c r="J17" s="22">
        <v>14522.944361993463</v>
      </c>
      <c r="K17" s="22">
        <v>13726.518193920418</v>
      </c>
      <c r="L17" s="22">
        <v>12331.228938226557</v>
      </c>
      <c r="M17" s="22">
        <v>10545.958393515019</v>
      </c>
      <c r="N17" s="22">
        <v>8676.3119498603428</v>
      </c>
      <c r="O17" s="22">
        <v>6541.1901168479826</v>
      </c>
      <c r="P17" s="22">
        <v>4881.4544461737969</v>
      </c>
      <c r="Q17" s="22">
        <v>3537.6139093477059</v>
      </c>
      <c r="R17" s="22">
        <v>2263.7436301817779</v>
      </c>
      <c r="S17" s="22">
        <v>2004.4420870882291</v>
      </c>
      <c r="T17" s="21">
        <v>424235.84603983874</v>
      </c>
    </row>
    <row r="18" spans="1:20" x14ac:dyDescent="0.35">
      <c r="A18" s="72"/>
      <c r="B18" s="19" t="s">
        <v>248</v>
      </c>
      <c r="C18" s="22">
        <v>80380.391435868165</v>
      </c>
      <c r="D18" s="22">
        <v>65708.245789158173</v>
      </c>
      <c r="E18" s="22">
        <v>56096.596130281818</v>
      </c>
      <c r="F18" s="22">
        <v>50947.608345995621</v>
      </c>
      <c r="G18" s="22">
        <v>36300.158084342162</v>
      </c>
      <c r="H18" s="22">
        <v>27128.909458973896</v>
      </c>
      <c r="I18" s="22">
        <v>24337.301973208825</v>
      </c>
      <c r="J18" s="22">
        <v>20641.226009748392</v>
      </c>
      <c r="K18" s="22">
        <v>16108.59387749806</v>
      </c>
      <c r="L18" s="22">
        <v>12721.210227244237</v>
      </c>
      <c r="M18" s="22">
        <v>9644.5768389517307</v>
      </c>
      <c r="N18" s="22">
        <v>7207.9655133742526</v>
      </c>
      <c r="O18" s="22">
        <v>5143.8429123994129</v>
      </c>
      <c r="P18" s="22">
        <v>3644.6272445926625</v>
      </c>
      <c r="Q18" s="22">
        <v>2572.4359433883842</v>
      </c>
      <c r="R18" s="22">
        <v>1652.532850032698</v>
      </c>
      <c r="S18" s="22">
        <v>1573.3018229763359</v>
      </c>
      <c r="T18" s="21">
        <v>421809.52445803478</v>
      </c>
    </row>
    <row r="19" spans="1:20" x14ac:dyDescent="0.35">
      <c r="A19" s="72" t="s">
        <v>267</v>
      </c>
      <c r="B19" s="19" t="s">
        <v>246</v>
      </c>
      <c r="C19" s="22">
        <v>103916.89857228441</v>
      </c>
      <c r="D19" s="22">
        <v>85869.760866357188</v>
      </c>
      <c r="E19" s="22">
        <v>59064.014565136466</v>
      </c>
      <c r="F19" s="22">
        <v>56631.525053943587</v>
      </c>
      <c r="G19" s="22">
        <v>46354.153971966218</v>
      </c>
      <c r="H19" s="22">
        <v>35521.138077787422</v>
      </c>
      <c r="I19" s="22">
        <v>25132.638033369771</v>
      </c>
      <c r="J19" s="22">
        <v>19522.683373884323</v>
      </c>
      <c r="K19" s="22">
        <v>17894.849868509056</v>
      </c>
      <c r="L19" s="22">
        <v>15789.573413390344</v>
      </c>
      <c r="M19" s="22">
        <v>13360.170817820803</v>
      </c>
      <c r="N19" s="22">
        <v>10825.81309105766</v>
      </c>
      <c r="O19" s="22">
        <v>7948.8077301036428</v>
      </c>
      <c r="P19" s="22">
        <v>5813.6910906259654</v>
      </c>
      <c r="Q19" s="22">
        <v>4267.1463633320145</v>
      </c>
      <c r="R19" s="22">
        <v>2709.2829454191447</v>
      </c>
      <c r="S19" s="22">
        <v>2081.6101020064298</v>
      </c>
      <c r="T19" s="21">
        <v>512703.75793699437</v>
      </c>
    </row>
    <row r="20" spans="1:20" x14ac:dyDescent="0.35">
      <c r="A20" s="72"/>
      <c r="B20" s="19" t="s">
        <v>247</v>
      </c>
      <c r="C20" s="22">
        <v>53094.948721468994</v>
      </c>
      <c r="D20" s="22">
        <v>43840.375682692014</v>
      </c>
      <c r="E20" s="22">
        <v>30668.506717895027</v>
      </c>
      <c r="F20" s="22">
        <v>29491.362893527574</v>
      </c>
      <c r="G20" s="22">
        <v>23628.28115292815</v>
      </c>
      <c r="H20" s="22">
        <v>17281.582631338599</v>
      </c>
      <c r="I20" s="22">
        <v>10471.846766247867</v>
      </c>
      <c r="J20" s="22">
        <v>7308.7872241975638</v>
      </c>
      <c r="K20" s="22">
        <v>6922.9227712799111</v>
      </c>
      <c r="L20" s="22">
        <v>6444.450849662021</v>
      </c>
      <c r="M20" s="22">
        <v>6242.7723622703943</v>
      </c>
      <c r="N20" s="22">
        <v>5485.4490626773486</v>
      </c>
      <c r="O20" s="22">
        <v>4150.872541519494</v>
      </c>
      <c r="P20" s="22">
        <v>3170.2623451714335</v>
      </c>
      <c r="Q20" s="22">
        <v>2489.082964287471</v>
      </c>
      <c r="R20" s="22">
        <v>1626.8045335008233</v>
      </c>
      <c r="S20" s="22">
        <v>1217.2737274708879</v>
      </c>
      <c r="T20" s="21">
        <v>253535.58294813559</v>
      </c>
    </row>
    <row r="21" spans="1:20" x14ac:dyDescent="0.35">
      <c r="A21" s="72"/>
      <c r="B21" s="19" t="s">
        <v>248</v>
      </c>
      <c r="C21" s="22">
        <v>50821.949850815414</v>
      </c>
      <c r="D21" s="22">
        <v>42029.385183665159</v>
      </c>
      <c r="E21" s="22">
        <v>28395.507847241439</v>
      </c>
      <c r="F21" s="22">
        <v>27141.19113229046</v>
      </c>
      <c r="G21" s="22">
        <v>22725.872819038064</v>
      </c>
      <c r="H21" s="22">
        <v>18239.555446448827</v>
      </c>
      <c r="I21" s="22">
        <v>14660.791267121904</v>
      </c>
      <c r="J21" s="22">
        <v>12213.896149686763</v>
      </c>
      <c r="K21" s="22">
        <v>10972.956069103591</v>
      </c>
      <c r="L21" s="22">
        <v>9345.1225637283205</v>
      </c>
      <c r="M21" s="22">
        <v>7117.3984555504076</v>
      </c>
      <c r="N21" s="22">
        <v>5340.3640283803115</v>
      </c>
      <c r="O21" s="22">
        <v>3797.9351885841484</v>
      </c>
      <c r="P21" s="22">
        <v>2642.3997735800849</v>
      </c>
      <c r="Q21" s="22">
        <v>1778.0633990445431</v>
      </c>
      <c r="R21" s="22">
        <v>1082.4784119183214</v>
      </c>
      <c r="S21" s="22">
        <v>863.30740266109467</v>
      </c>
      <c r="T21" s="21">
        <v>259168.17498885884</v>
      </c>
    </row>
    <row r="22" spans="1:20" x14ac:dyDescent="0.35">
      <c r="A22" s="72" t="s">
        <v>268</v>
      </c>
      <c r="B22" s="19" t="s">
        <v>246</v>
      </c>
      <c r="C22" s="22">
        <v>129572.25431787329</v>
      </c>
      <c r="D22" s="22">
        <v>106303.08434912718</v>
      </c>
      <c r="E22" s="22">
        <v>85076.423551158485</v>
      </c>
      <c r="F22" s="22">
        <v>78005.328829958205</v>
      </c>
      <c r="G22" s="22">
        <v>56953.593250645521</v>
      </c>
      <c r="H22" s="22">
        <v>41895.618839987052</v>
      </c>
      <c r="I22" s="22">
        <v>33158.618654056947</v>
      </c>
      <c r="J22" s="22">
        <v>27158.683654156059</v>
      </c>
      <c r="K22" s="22">
        <v>23545.963402972386</v>
      </c>
      <c r="L22" s="22">
        <v>20078.328186085746</v>
      </c>
      <c r="M22" s="22">
        <v>16523.230359871108</v>
      </c>
      <c r="N22" s="22">
        <v>13073.087664850069</v>
      </c>
      <c r="O22" s="22">
        <v>9451.1066667963714</v>
      </c>
      <c r="P22" s="22">
        <v>6717.1283963904962</v>
      </c>
      <c r="Q22" s="22">
        <v>4576.8668975405835</v>
      </c>
      <c r="R22" s="22">
        <v>2790.5717235004636</v>
      </c>
      <c r="S22" s="22">
        <v>2285.3465331469506</v>
      </c>
      <c r="T22" s="21">
        <v>657165.23527811689</v>
      </c>
    </row>
    <row r="23" spans="1:20" x14ac:dyDescent="0.35">
      <c r="A23" s="72"/>
      <c r="B23" s="19" t="s">
        <v>247</v>
      </c>
      <c r="C23" s="22">
        <v>66203.021430050256</v>
      </c>
      <c r="D23" s="22">
        <v>54272.092545836444</v>
      </c>
      <c r="E23" s="22">
        <v>44192.284063752915</v>
      </c>
      <c r="F23" s="22">
        <v>40549.723628210275</v>
      </c>
      <c r="G23" s="22">
        <v>29045.81807189199</v>
      </c>
      <c r="H23" s="22">
        <v>20441.555257765562</v>
      </c>
      <c r="I23" s="22">
        <v>13961.090392497894</v>
      </c>
      <c r="J23" s="22">
        <v>10828.900006681002</v>
      </c>
      <c r="K23" s="22">
        <v>10599.439278679305</v>
      </c>
      <c r="L23" s="22">
        <v>9794.7832728616922</v>
      </c>
      <c r="M23" s="22">
        <v>8818.2889640114208</v>
      </c>
      <c r="N23" s="22">
        <v>7386.9890866555406</v>
      </c>
      <c r="O23" s="22">
        <v>5407.2472002193717</v>
      </c>
      <c r="P23" s="22">
        <v>3936.8463916345036</v>
      </c>
      <c r="Q23" s="22">
        <v>2809.093217240511</v>
      </c>
      <c r="R23" s="22">
        <v>1747.1942428111308</v>
      </c>
      <c r="S23" s="22">
        <v>1373.6774523868432</v>
      </c>
      <c r="T23" s="21">
        <v>331368.0445031866</v>
      </c>
    </row>
    <row r="24" spans="1:20" x14ac:dyDescent="0.35">
      <c r="A24" s="72"/>
      <c r="B24" s="19" t="s">
        <v>248</v>
      </c>
      <c r="C24" s="22">
        <v>63369.232887823026</v>
      </c>
      <c r="D24" s="22">
        <v>52030.991803290723</v>
      </c>
      <c r="E24" s="22">
        <v>40884.13948740557</v>
      </c>
      <c r="F24" s="22">
        <v>37455.605201747923</v>
      </c>
      <c r="G24" s="22">
        <v>27907.775178753527</v>
      </c>
      <c r="H24" s="22">
        <v>21454.063582221486</v>
      </c>
      <c r="I24" s="22">
        <v>19197.528261559051</v>
      </c>
      <c r="J24" s="22">
        <v>16329.783647475057</v>
      </c>
      <c r="K24" s="22">
        <v>12946.524124293079</v>
      </c>
      <c r="L24" s="22">
        <v>10283.544913224054</v>
      </c>
      <c r="M24" s="22">
        <v>7703.9124239852399</v>
      </c>
      <c r="N24" s="22">
        <v>5685.0696063200812</v>
      </c>
      <c r="O24" s="22">
        <v>4043.8594665769992</v>
      </c>
      <c r="P24" s="22">
        <v>2780.2820047559931</v>
      </c>
      <c r="Q24" s="22">
        <v>1767.7736803000723</v>
      </c>
      <c r="R24" s="22">
        <v>1043.3774806893325</v>
      </c>
      <c r="S24" s="22">
        <v>911.66908076010725</v>
      </c>
      <c r="T24" s="21">
        <v>325795.13283118128</v>
      </c>
    </row>
    <row r="25" spans="1:20" x14ac:dyDescent="0.35">
      <c r="A25" s="72" t="s">
        <v>269</v>
      </c>
      <c r="B25" s="19" t="s">
        <v>246</v>
      </c>
      <c r="C25" s="22">
        <v>212163.50531536533</v>
      </c>
      <c r="D25" s="22">
        <v>173718.06640417664</v>
      </c>
      <c r="E25" s="22">
        <v>142563.91513382737</v>
      </c>
      <c r="F25" s="22">
        <v>120523.35892908841</v>
      </c>
      <c r="G25" s="22">
        <v>90231.485254424071</v>
      </c>
      <c r="H25" s="22">
        <v>70777.761836739926</v>
      </c>
      <c r="I25" s="22">
        <v>59888.163035864462</v>
      </c>
      <c r="J25" s="22">
        <v>49231.111653395674</v>
      </c>
      <c r="K25" s="22">
        <v>37268.296226864622</v>
      </c>
      <c r="L25" s="22">
        <v>29228.946757787806</v>
      </c>
      <c r="M25" s="22">
        <v>23469.796754149898</v>
      </c>
      <c r="N25" s="22">
        <v>18313.623684964703</v>
      </c>
      <c r="O25" s="22">
        <v>13751.166812331065</v>
      </c>
      <c r="P25" s="22">
        <v>9734.0645049874183</v>
      </c>
      <c r="Q25" s="22">
        <v>5872.3368002075267</v>
      </c>
      <c r="R25" s="22">
        <v>3283.4460713969193</v>
      </c>
      <c r="S25" s="22">
        <v>2437.6320097584771</v>
      </c>
      <c r="T25" s="21">
        <v>1062456.6771853303</v>
      </c>
    </row>
    <row r="26" spans="1:20" x14ac:dyDescent="0.35">
      <c r="A26" s="72"/>
      <c r="B26" s="19" t="s">
        <v>247</v>
      </c>
      <c r="C26" s="22">
        <v>108402.08198735988</v>
      </c>
      <c r="D26" s="22">
        <v>88690.086879321418</v>
      </c>
      <c r="E26" s="22">
        <v>70937.252322815286</v>
      </c>
      <c r="F26" s="22">
        <v>59702.948277841439</v>
      </c>
      <c r="G26" s="22">
        <v>44979.403985889541</v>
      </c>
      <c r="H26" s="22">
        <v>34936.648217530426</v>
      </c>
      <c r="I26" s="22">
        <v>27832.633276469842</v>
      </c>
      <c r="J26" s="22">
        <v>22308.088632994422</v>
      </c>
      <c r="K26" s="22">
        <v>17320.666787785754</v>
      </c>
      <c r="L26" s="22">
        <v>13793.354618325196</v>
      </c>
      <c r="M26" s="22">
        <v>11139.638724206532</v>
      </c>
      <c r="N26" s="22">
        <v>8789.4692390700366</v>
      </c>
      <c r="O26" s="22">
        <v>6775.773231008684</v>
      </c>
      <c r="P26" s="22">
        <v>4828.9603300112003</v>
      </c>
      <c r="Q26" s="22">
        <v>2710.3092924034736</v>
      </c>
      <c r="R26" s="22">
        <v>1437.4723164341888</v>
      </c>
      <c r="S26" s="22">
        <v>1124.665169550872</v>
      </c>
      <c r="T26" s="21">
        <v>525709.45328901825</v>
      </c>
    </row>
    <row r="27" spans="1:20" x14ac:dyDescent="0.35">
      <c r="A27" s="72"/>
      <c r="B27" s="19" t="s">
        <v>248</v>
      </c>
      <c r="C27" s="22">
        <v>103761.42332800543</v>
      </c>
      <c r="D27" s="22">
        <v>85027.979524855225</v>
      </c>
      <c r="E27" s="22">
        <v>71626.66281101208</v>
      </c>
      <c r="F27" s="22">
        <v>60820.410651246973</v>
      </c>
      <c r="G27" s="22">
        <v>45251.052297656635</v>
      </c>
      <c r="H27" s="22">
        <v>35841.113619209493</v>
      </c>
      <c r="I27" s="22">
        <v>32055.529759394616</v>
      </c>
      <c r="J27" s="22">
        <v>26923.023020401248</v>
      </c>
      <c r="K27" s="22">
        <v>19948.658409956774</v>
      </c>
      <c r="L27" s="22">
        <v>15435.592139462608</v>
      </c>
      <c r="M27" s="22">
        <v>12330.158029943366</v>
      </c>
      <c r="N27" s="22">
        <v>9524.1544458946664</v>
      </c>
      <c r="O27" s="22">
        <v>6975.3935813223807</v>
      </c>
      <c r="P27" s="22">
        <v>4904.0752040983125</v>
      </c>
      <c r="Q27" s="22">
        <v>3162.0275078040531</v>
      </c>
      <c r="R27" s="22">
        <v>1845.9737549627305</v>
      </c>
      <c r="S27" s="22">
        <v>1312.9668402076054</v>
      </c>
      <c r="T27" s="21">
        <v>536746.19492543419</v>
      </c>
    </row>
    <row r="28" spans="1:20" x14ac:dyDescent="0.35">
      <c r="A28" s="72" t="s">
        <v>270</v>
      </c>
      <c r="B28" s="19" t="s">
        <v>246</v>
      </c>
      <c r="C28" s="22">
        <v>235093.3200424207</v>
      </c>
      <c r="D28" s="22">
        <v>194064.09552071808</v>
      </c>
      <c r="E28" s="22">
        <v>167558.80900683589</v>
      </c>
      <c r="F28" s="22">
        <v>142161.72520173324</v>
      </c>
      <c r="G28" s="22">
        <v>99839.083033850664</v>
      </c>
      <c r="H28" s="22">
        <v>74972.948715962688</v>
      </c>
      <c r="I28" s="22">
        <v>64496.986062217024</v>
      </c>
      <c r="J28" s="22">
        <v>54093.051439682655</v>
      </c>
      <c r="K28" s="22">
        <v>43519.336457864527</v>
      </c>
      <c r="L28" s="22">
        <v>34989.159618698293</v>
      </c>
      <c r="M28" s="22">
        <v>26797.514526225139</v>
      </c>
      <c r="N28" s="22">
        <v>20163.732851664852</v>
      </c>
      <c r="O28" s="22">
        <v>14530.111839067125</v>
      </c>
      <c r="P28" s="22">
        <v>10046.881382101228</v>
      </c>
      <c r="Q28" s="22">
        <v>6206.7583466647475</v>
      </c>
      <c r="R28" s="22">
        <v>3532.460444976804</v>
      </c>
      <c r="S28" s="22">
        <v>2727.804439159192</v>
      </c>
      <c r="T28" s="21">
        <v>1194793.7789298426</v>
      </c>
    </row>
    <row r="29" spans="1:20" x14ac:dyDescent="0.35">
      <c r="A29" s="72"/>
      <c r="B29" s="19" t="s">
        <v>247</v>
      </c>
      <c r="C29" s="22">
        <v>120118.06073545359</v>
      </c>
      <c r="D29" s="22">
        <v>99077.64384675982</v>
      </c>
      <c r="E29" s="22">
        <v>83702.746098771662</v>
      </c>
      <c r="F29" s="22">
        <v>70908.509811896743</v>
      </c>
      <c r="G29" s="22">
        <v>50356.854563565343</v>
      </c>
      <c r="H29" s="22">
        <v>37208.651951880631</v>
      </c>
      <c r="I29" s="22">
        <v>28716.54707206893</v>
      </c>
      <c r="J29" s="22">
        <v>23155.983062556945</v>
      </c>
      <c r="K29" s="22">
        <v>20012.473986121135</v>
      </c>
      <c r="L29" s="22">
        <v>16811.34248471629</v>
      </c>
      <c r="M29" s="22">
        <v>13317.982970968475</v>
      </c>
      <c r="N29" s="22">
        <v>10262.965475735113</v>
      </c>
      <c r="O29" s="22">
        <v>7405.5105803955885</v>
      </c>
      <c r="P29" s="22">
        <v>5072.8313410240726</v>
      </c>
      <c r="Q29" s="22">
        <v>2898.6137703174063</v>
      </c>
      <c r="R29" s="22">
        <v>1555.8054741639753</v>
      </c>
      <c r="S29" s="22">
        <v>1265.6354055699005</v>
      </c>
      <c r="T29" s="21">
        <v>591848.15863196563</v>
      </c>
    </row>
    <row r="30" spans="1:20" x14ac:dyDescent="0.35">
      <c r="A30" s="72"/>
      <c r="B30" s="19" t="s">
        <v>248</v>
      </c>
      <c r="C30" s="22">
        <v>114976.28827884156</v>
      </c>
      <c r="D30" s="22">
        <v>94986.451673958261</v>
      </c>
      <c r="E30" s="22">
        <v>83856.062908064268</v>
      </c>
      <c r="F30" s="22">
        <v>71253.215389836507</v>
      </c>
      <c r="G30" s="22">
        <v>49482.228470285321</v>
      </c>
      <c r="H30" s="22">
        <v>37764.29676408205</v>
      </c>
      <c r="I30" s="22">
        <v>35780.43899014809</v>
      </c>
      <c r="J30" s="22">
        <v>30937.068377125714</v>
      </c>
      <c r="K30" s="22">
        <v>23505.83349986895</v>
      </c>
      <c r="L30" s="22">
        <v>18177.817133982</v>
      </c>
      <c r="M30" s="22">
        <v>13479.531555256664</v>
      </c>
      <c r="N30" s="22">
        <v>9900.7673759297413</v>
      </c>
      <c r="O30" s="22">
        <v>7124.6012586715378</v>
      </c>
      <c r="P30" s="22">
        <v>4974.0500410771538</v>
      </c>
      <c r="Q30" s="22">
        <v>3308.1445763473416</v>
      </c>
      <c r="R30" s="22">
        <v>1976.6549708128284</v>
      </c>
      <c r="S30" s="22">
        <v>1462.1690335892918</v>
      </c>
      <c r="T30" s="21">
        <v>602945.62029787723</v>
      </c>
    </row>
    <row r="31" spans="1:20" x14ac:dyDescent="0.35">
      <c r="A31" s="72" t="s">
        <v>271</v>
      </c>
      <c r="B31" s="19" t="s">
        <v>246</v>
      </c>
      <c r="C31" s="22">
        <v>184791.63183266931</v>
      </c>
      <c r="D31" s="22">
        <v>154686.03759159532</v>
      </c>
      <c r="E31" s="22">
        <v>130761.46408352193</v>
      </c>
      <c r="F31" s="22">
        <v>115782.75277832968</v>
      </c>
      <c r="G31" s="22">
        <v>80433.529162297957</v>
      </c>
      <c r="H31" s="22">
        <v>58616.28551292028</v>
      </c>
      <c r="I31" s="22">
        <v>50273.399529372946</v>
      </c>
      <c r="J31" s="22">
        <v>42498.50479680219</v>
      </c>
      <c r="K31" s="22">
        <v>35529.293306105821</v>
      </c>
      <c r="L31" s="22">
        <v>29304.026877829874</v>
      </c>
      <c r="M31" s="22">
        <v>22733.026644611658</v>
      </c>
      <c r="N31" s="22">
        <v>17296.979943689043</v>
      </c>
      <c r="O31" s="22">
        <v>12514.328975321007</v>
      </c>
      <c r="P31" s="22">
        <v>8733.8944534225229</v>
      </c>
      <c r="Q31" s="22">
        <v>5565.6968777759685</v>
      </c>
      <c r="R31" s="22">
        <v>3234.0516337307949</v>
      </c>
      <c r="S31" s="22">
        <v>2443.8029367198974</v>
      </c>
      <c r="T31" s="21">
        <v>955198.70693671599</v>
      </c>
    </row>
    <row r="32" spans="1:20" x14ac:dyDescent="0.35">
      <c r="A32" s="72"/>
      <c r="B32" s="19" t="s">
        <v>247</v>
      </c>
      <c r="C32" s="22">
        <v>94417.2268086236</v>
      </c>
      <c r="D32" s="22">
        <v>78973.421218211413</v>
      </c>
      <c r="E32" s="22">
        <v>65916.825233352996</v>
      </c>
      <c r="F32" s="22">
        <v>58710.950721416382</v>
      </c>
      <c r="G32" s="22">
        <v>41941.832212058842</v>
      </c>
      <c r="H32" s="22">
        <v>30165.274481212844</v>
      </c>
      <c r="I32" s="22">
        <v>22266.90338973414</v>
      </c>
      <c r="J32" s="22">
        <v>17573.772781574367</v>
      </c>
      <c r="K32" s="22">
        <v>15603.295887334958</v>
      </c>
      <c r="L32" s="22">
        <v>13343.678519319423</v>
      </c>
      <c r="M32" s="22">
        <v>10765.080557458345</v>
      </c>
      <c r="N32" s="22">
        <v>8404.6241630013137</v>
      </c>
      <c r="O32" s="22">
        <v>6075.0368582712736</v>
      </c>
      <c r="P32" s="22">
        <v>4205.3989904733562</v>
      </c>
      <c r="Q32" s="22">
        <v>2504.5121465163074</v>
      </c>
      <c r="R32" s="22">
        <v>1395.2828556598656</v>
      </c>
      <c r="S32" s="22">
        <v>1137.0114716107312</v>
      </c>
      <c r="T32" s="21">
        <v>473400.1282958301</v>
      </c>
    </row>
    <row r="33" spans="1:20" x14ac:dyDescent="0.35">
      <c r="A33" s="72"/>
      <c r="B33" s="19" t="s">
        <v>248</v>
      </c>
      <c r="C33" s="22">
        <v>90375.433993703293</v>
      </c>
      <c r="D33" s="22">
        <v>75712.616373383906</v>
      </c>
      <c r="E33" s="22">
        <v>64844.638850168929</v>
      </c>
      <c r="F33" s="22">
        <v>57071.802056913308</v>
      </c>
      <c r="G33" s="22">
        <v>38492.725919896693</v>
      </c>
      <c r="H33" s="22">
        <v>28449.982062049869</v>
      </c>
      <c r="I33" s="22">
        <v>28006.496139638806</v>
      </c>
      <c r="J33" s="22">
        <v>24924.732015227823</v>
      </c>
      <c r="K33" s="22">
        <v>19925.997418770869</v>
      </c>
      <c r="L33" s="22">
        <v>15959.319388852889</v>
      </c>
      <c r="M33" s="22">
        <v>11968.975056810881</v>
      </c>
      <c r="N33" s="22">
        <v>8892.355780687727</v>
      </c>
      <c r="O33" s="22">
        <v>6439.2921170497339</v>
      </c>
      <c r="P33" s="22">
        <v>4528.4954629491658</v>
      </c>
      <c r="Q33" s="22">
        <v>3061.184731259661</v>
      </c>
      <c r="R33" s="22">
        <v>1838.7687780709291</v>
      </c>
      <c r="S33" s="22">
        <v>1306.7914651091662</v>
      </c>
      <c r="T33" s="21">
        <v>481799.60761054355</v>
      </c>
    </row>
    <row r="34" spans="1:20" x14ac:dyDescent="0.35">
      <c r="A34" s="72" t="s">
        <v>272</v>
      </c>
      <c r="B34" s="19" t="s">
        <v>246</v>
      </c>
      <c r="C34" s="22">
        <v>237920.93475340129</v>
      </c>
      <c r="D34" s="22">
        <v>191872.38542814582</v>
      </c>
      <c r="E34" s="22">
        <v>151336.03843430337</v>
      </c>
      <c r="F34" s="22">
        <v>137154.7480606738</v>
      </c>
      <c r="G34" s="22">
        <v>104366.55928141779</v>
      </c>
      <c r="H34" s="22">
        <v>79271.993207402556</v>
      </c>
      <c r="I34" s="22">
        <v>62007.903097929549</v>
      </c>
      <c r="J34" s="22">
        <v>49410.200439074033</v>
      </c>
      <c r="K34" s="22">
        <v>39586.60595372782</v>
      </c>
      <c r="L34" s="22">
        <v>32289.137420149171</v>
      </c>
      <c r="M34" s="22">
        <v>26240.840742149274</v>
      </c>
      <c r="N34" s="22">
        <v>20982.794463724727</v>
      </c>
      <c r="O34" s="22">
        <v>16323.609816228376</v>
      </c>
      <c r="P34" s="22">
        <v>12263.286799660225</v>
      </c>
      <c r="Q34" s="22">
        <v>8529.1478672917947</v>
      </c>
      <c r="R34" s="22">
        <v>5434.000468954996</v>
      </c>
      <c r="S34" s="22">
        <v>4910.2537848614356</v>
      </c>
      <c r="T34" s="21">
        <v>1179900.4400190958</v>
      </c>
    </row>
    <row r="35" spans="1:20" x14ac:dyDescent="0.35">
      <c r="A35" s="72"/>
      <c r="B35" s="19" t="s">
        <v>247</v>
      </c>
      <c r="C35" s="22">
        <v>121561.70827530284</v>
      </c>
      <c r="D35" s="22">
        <v>97958.122447361413</v>
      </c>
      <c r="E35" s="22">
        <v>75806.415934264805</v>
      </c>
      <c r="F35" s="22">
        <v>68275.370785186678</v>
      </c>
      <c r="G35" s="22">
        <v>51687.315197225405</v>
      </c>
      <c r="H35" s="22">
        <v>38377.564001252511</v>
      </c>
      <c r="I35" s="22">
        <v>27504.418203970283</v>
      </c>
      <c r="J35" s="22">
        <v>20928.258954379031</v>
      </c>
      <c r="K35" s="22">
        <v>17309.364871948674</v>
      </c>
      <c r="L35" s="22">
        <v>14426.185679747972</v>
      </c>
      <c r="M35" s="22">
        <v>12047.202706026339</v>
      </c>
      <c r="N35" s="22">
        <v>9807.1309353550587</v>
      </c>
      <c r="O35" s="22">
        <v>7576.3199115538027</v>
      </c>
      <c r="P35" s="22">
        <v>5701.533156311235</v>
      </c>
      <c r="Q35" s="22">
        <v>3912.1510666477739</v>
      </c>
      <c r="R35" s="22">
        <v>2532.2997830142485</v>
      </c>
      <c r="S35" s="22">
        <v>2602.2698704766494</v>
      </c>
      <c r="T35" s="21">
        <v>578013.63178002473</v>
      </c>
    </row>
    <row r="36" spans="1:20" x14ac:dyDescent="0.35">
      <c r="A36" s="72"/>
      <c r="B36" s="19" t="s">
        <v>248</v>
      </c>
      <c r="C36" s="22">
        <v>116358.19750622399</v>
      </c>
      <c r="D36" s="22">
        <v>93914.262980784406</v>
      </c>
      <c r="E36" s="22">
        <v>75529.622500038546</v>
      </c>
      <c r="F36" s="22">
        <v>68879.377275487117</v>
      </c>
      <c r="G36" s="22">
        <v>52679.244084192382</v>
      </c>
      <c r="H36" s="22">
        <v>40894.429206150046</v>
      </c>
      <c r="I36" s="22">
        <v>34503.484893959278</v>
      </c>
      <c r="J36" s="22">
        <v>28481.941484695002</v>
      </c>
      <c r="K36" s="22">
        <v>22278.270053653592</v>
      </c>
      <c r="L36" s="22">
        <v>17862.9517404012</v>
      </c>
      <c r="M36" s="22">
        <v>14193.638036122935</v>
      </c>
      <c r="N36" s="22">
        <v>11175.663528369667</v>
      </c>
      <c r="O36" s="22">
        <v>8748.3188765490213</v>
      </c>
      <c r="P36" s="22">
        <v>6562.7826152234366</v>
      </c>
      <c r="Q36" s="22">
        <v>4616.9968006440195</v>
      </c>
      <c r="R36" s="22">
        <v>2900.6717140663009</v>
      </c>
      <c r="S36" s="22">
        <v>2306.9549425103392</v>
      </c>
      <c r="T36" s="21">
        <v>601886.80823907116</v>
      </c>
    </row>
    <row r="37" spans="1:20" x14ac:dyDescent="0.35">
      <c r="A37" s="72" t="s">
        <v>273</v>
      </c>
      <c r="B37" s="19" t="s">
        <v>246</v>
      </c>
      <c r="C37" s="22">
        <v>177159.93600704469</v>
      </c>
      <c r="D37" s="22">
        <v>142602.98545259572</v>
      </c>
      <c r="E37" s="22">
        <v>113423.43555314763</v>
      </c>
      <c r="F37" s="22">
        <v>100322.58114452315</v>
      </c>
      <c r="G37" s="22">
        <v>77527.79417356354</v>
      </c>
      <c r="H37" s="22">
        <v>60306.941253147321</v>
      </c>
      <c r="I37" s="22">
        <v>48105.407198994872</v>
      </c>
      <c r="J37" s="22">
        <v>38179.956238769322</v>
      </c>
      <c r="K37" s="22">
        <v>28693.87574920688</v>
      </c>
      <c r="L37" s="22">
        <v>22394.517385273564</v>
      </c>
      <c r="M37" s="22">
        <v>18145.897541320497</v>
      </c>
      <c r="N37" s="22">
        <v>14194.650217324428</v>
      </c>
      <c r="O37" s="22">
        <v>10309.257015394956</v>
      </c>
      <c r="P37" s="22">
        <v>7371.5457888301689</v>
      </c>
      <c r="Q37" s="22">
        <v>4981.2469519440046</v>
      </c>
      <c r="R37" s="22">
        <v>3133.2156514500093</v>
      </c>
      <c r="S37" s="22">
        <v>3028.260644406364</v>
      </c>
      <c r="T37" s="21">
        <v>869881.50396693707</v>
      </c>
    </row>
    <row r="38" spans="1:20" x14ac:dyDescent="0.35">
      <c r="A38" s="72"/>
      <c r="B38" s="19" t="s">
        <v>247</v>
      </c>
      <c r="C38" s="22">
        <v>90517.519751200613</v>
      </c>
      <c r="D38" s="22">
        <v>72804.818856599479</v>
      </c>
      <c r="E38" s="22">
        <v>56581.038503097901</v>
      </c>
      <c r="F38" s="22">
        <v>49747.644368030742</v>
      </c>
      <c r="G38" s="22">
        <v>38796.309662486427</v>
      </c>
      <c r="H38" s="22">
        <v>29791.787440536002</v>
      </c>
      <c r="I38" s="22">
        <v>21645.426746765977</v>
      </c>
      <c r="J38" s="22">
        <v>16432.661396931577</v>
      </c>
      <c r="K38" s="22">
        <v>12931.074250171518</v>
      </c>
      <c r="L38" s="22">
        <v>10444.052171500032</v>
      </c>
      <c r="M38" s="22">
        <v>8776.0907360318979</v>
      </c>
      <c r="N38" s="22">
        <v>7030.9565012669664</v>
      </c>
      <c r="O38" s="22">
        <v>5115.0131373917893</v>
      </c>
      <c r="P38" s="22">
        <v>3646.6720094380407</v>
      </c>
      <c r="Q38" s="22">
        <v>2351.1979519091205</v>
      </c>
      <c r="R38" s="22">
        <v>1448.790685465226</v>
      </c>
      <c r="S38" s="22">
        <v>1486.8625997849799</v>
      </c>
      <c r="T38" s="21">
        <v>429547.91676860827</v>
      </c>
    </row>
    <row r="39" spans="1:20" x14ac:dyDescent="0.35">
      <c r="A39" s="72"/>
      <c r="B39" s="19" t="s">
        <v>248</v>
      </c>
      <c r="C39" s="22">
        <v>86642.416255844058</v>
      </c>
      <c r="D39" s="22">
        <v>69798.166595996212</v>
      </c>
      <c r="E39" s="22">
        <v>56842.397050049723</v>
      </c>
      <c r="F39" s="22">
        <v>50574.936776492417</v>
      </c>
      <c r="G39" s="22">
        <v>38731.484511077113</v>
      </c>
      <c r="H39" s="22">
        <v>30514.124841954032</v>
      </c>
      <c r="I39" s="22">
        <v>26459.980452228894</v>
      </c>
      <c r="J39" s="22">
        <v>21747.294841837749</v>
      </c>
      <c r="K39" s="22">
        <v>15762.801499035366</v>
      </c>
      <c r="L39" s="22">
        <v>11950.465213773534</v>
      </c>
      <c r="M39" s="22">
        <v>9369.8068052885992</v>
      </c>
      <c r="N39" s="22">
        <v>7163.6937160574607</v>
      </c>
      <c r="O39" s="22">
        <v>5194.243878003168</v>
      </c>
      <c r="P39" s="22">
        <v>3724.8737793921291</v>
      </c>
      <c r="Q39" s="22">
        <v>2630.0490000348846</v>
      </c>
      <c r="R39" s="22">
        <v>1684.4249659847833</v>
      </c>
      <c r="S39" s="22">
        <v>1540.3690739640931</v>
      </c>
      <c r="T39" s="21">
        <v>440331.52925701416</v>
      </c>
    </row>
    <row r="40" spans="1:20" x14ac:dyDescent="0.35">
      <c r="A40" s="72" t="s">
        <v>274</v>
      </c>
      <c r="B40" s="19" t="s">
        <v>246</v>
      </c>
      <c r="C40" s="22">
        <v>179334.5674431599</v>
      </c>
      <c r="D40" s="22">
        <v>147979.70076428354</v>
      </c>
      <c r="E40" s="22">
        <v>116202.95513626242</v>
      </c>
      <c r="F40" s="22">
        <v>102672.98854527574</v>
      </c>
      <c r="G40" s="22">
        <v>77617.49485826341</v>
      </c>
      <c r="H40" s="22">
        <v>59932.535104724157</v>
      </c>
      <c r="I40" s="22">
        <v>49532.704521782325</v>
      </c>
      <c r="J40" s="22">
        <v>40861.548657287341</v>
      </c>
      <c r="K40" s="22">
        <v>33140.134914891423</v>
      </c>
      <c r="L40" s="22">
        <v>27032.150909712564</v>
      </c>
      <c r="M40" s="22">
        <v>21677.375174714118</v>
      </c>
      <c r="N40" s="22">
        <v>16724.927900973242</v>
      </c>
      <c r="O40" s="22">
        <v>11789.973169026172</v>
      </c>
      <c r="P40" s="22">
        <v>8109.3365809997613</v>
      </c>
      <c r="Q40" s="22">
        <v>5203.5166971343479</v>
      </c>
      <c r="R40" s="22">
        <v>3037.5284338423162</v>
      </c>
      <c r="S40" s="22">
        <v>2359.4351960706067</v>
      </c>
      <c r="T40" s="21">
        <v>903208.87400840339</v>
      </c>
    </row>
    <row r="41" spans="1:20" x14ac:dyDescent="0.35">
      <c r="A41" s="72"/>
      <c r="B41" s="19" t="s">
        <v>247</v>
      </c>
      <c r="C41" s="22">
        <v>91627.991862056428</v>
      </c>
      <c r="D41" s="22">
        <v>75550.288007454059</v>
      </c>
      <c r="E41" s="22">
        <v>58828.447025620902</v>
      </c>
      <c r="F41" s="22">
        <v>52065.007189697615</v>
      </c>
      <c r="G41" s="22">
        <v>39449.797637222415</v>
      </c>
      <c r="H41" s="22">
        <v>29912.246467410612</v>
      </c>
      <c r="I41" s="22">
        <v>22756.767900696701</v>
      </c>
      <c r="J41" s="22">
        <v>18125.360217524529</v>
      </c>
      <c r="K41" s="22">
        <v>15149.570166483883</v>
      </c>
      <c r="L41" s="22">
        <v>12800.424700880221</v>
      </c>
      <c r="M41" s="22">
        <v>11134.517338281741</v>
      </c>
      <c r="N41" s="22">
        <v>9010.7169699041879</v>
      </c>
      <c r="O41" s="22">
        <v>6371.4011051326634</v>
      </c>
      <c r="P41" s="22">
        <v>4369.0195562650661</v>
      </c>
      <c r="Q41" s="22">
        <v>2657.8373796120268</v>
      </c>
      <c r="R41" s="22">
        <v>1488.923998567016</v>
      </c>
      <c r="S41" s="22">
        <v>1163.7685158115378</v>
      </c>
      <c r="T41" s="21">
        <v>452462.08603862161</v>
      </c>
    </row>
    <row r="42" spans="1:20" x14ac:dyDescent="0.35">
      <c r="A42" s="72"/>
      <c r="B42" s="19" t="s">
        <v>248</v>
      </c>
      <c r="C42" s="22">
        <v>87705.5466080568</v>
      </c>
      <c r="D42" s="22">
        <v>72430.441729876184</v>
      </c>
      <c r="E42" s="22">
        <v>57374.508110641502</v>
      </c>
      <c r="F42" s="22">
        <v>50607.981355578129</v>
      </c>
      <c r="G42" s="22">
        <v>38167.697221041002</v>
      </c>
      <c r="H42" s="22">
        <v>30020.288637313541</v>
      </c>
      <c r="I42" s="22">
        <v>26775.936621085621</v>
      </c>
      <c r="J42" s="22">
        <v>22736.188439762813</v>
      </c>
      <c r="K42" s="22">
        <v>17990.564748407542</v>
      </c>
      <c r="L42" s="22">
        <v>14231.726208832344</v>
      </c>
      <c r="M42" s="22">
        <v>10542.857836432375</v>
      </c>
      <c r="N42" s="22">
        <v>7714.2109310690539</v>
      </c>
      <c r="O42" s="22">
        <v>5418.572063893509</v>
      </c>
      <c r="P42" s="22">
        <v>3740.3170247346948</v>
      </c>
      <c r="Q42" s="22">
        <v>2545.6793175223206</v>
      </c>
      <c r="R42" s="22">
        <v>1549.6334083219947</v>
      </c>
      <c r="S42" s="22">
        <v>1195.6666802590689</v>
      </c>
      <c r="T42" s="21">
        <v>450747.81694282836</v>
      </c>
    </row>
    <row r="43" spans="1:20" x14ac:dyDescent="0.35">
      <c r="A43" s="72" t="s">
        <v>275</v>
      </c>
      <c r="B43" s="19" t="s">
        <v>246</v>
      </c>
      <c r="C43" s="22">
        <v>218927.14292298272</v>
      </c>
      <c r="D43" s="22">
        <v>182440.82922696392</v>
      </c>
      <c r="E43" s="22">
        <v>141568.00843017726</v>
      </c>
      <c r="F43" s="22">
        <v>129191.53472432787</v>
      </c>
      <c r="G43" s="22">
        <v>93328.777984224012</v>
      </c>
      <c r="H43" s="22">
        <v>68408.108156990347</v>
      </c>
      <c r="I43" s="22">
        <v>56036.779310513186</v>
      </c>
      <c r="J43" s="22">
        <v>46724.583846767164</v>
      </c>
      <c r="K43" s="22">
        <v>40572.361009448105</v>
      </c>
      <c r="L43" s="22">
        <v>34234.923234728587</v>
      </c>
      <c r="M43" s="22">
        <v>27179.263091645</v>
      </c>
      <c r="N43" s="22">
        <v>20764.652426341945</v>
      </c>
      <c r="O43" s="22">
        <v>13781.020314469655</v>
      </c>
      <c r="P43" s="22">
        <v>9554.0038542410766</v>
      </c>
      <c r="Q43" s="22">
        <v>7418.8872147634002</v>
      </c>
      <c r="R43" s="22">
        <v>4985.3687316960713</v>
      </c>
      <c r="S43" s="22">
        <v>4798.0958505467033</v>
      </c>
      <c r="T43" s="21">
        <v>1099914.3403308268</v>
      </c>
    </row>
    <row r="44" spans="1:20" x14ac:dyDescent="0.35">
      <c r="A44" s="72"/>
      <c r="B44" s="19" t="s">
        <v>247</v>
      </c>
      <c r="C44" s="22">
        <v>111857.47452739248</v>
      </c>
      <c r="D44" s="22">
        <v>93143.563046823532</v>
      </c>
      <c r="E44" s="22">
        <v>71514.57424594606</v>
      </c>
      <c r="F44" s="22">
        <v>65377.785986743707</v>
      </c>
      <c r="G44" s="22">
        <v>47243.185671488485</v>
      </c>
      <c r="H44" s="22">
        <v>33388.07938205864</v>
      </c>
      <c r="I44" s="22">
        <v>23179.649415669228</v>
      </c>
      <c r="J44" s="22">
        <v>18028.616212187175</v>
      </c>
      <c r="K44" s="22">
        <v>17377.277015662181</v>
      </c>
      <c r="L44" s="22">
        <v>15675.357535326719</v>
      </c>
      <c r="M44" s="22">
        <v>13486.734358377793</v>
      </c>
      <c r="N44" s="22">
        <v>10841.247669174367</v>
      </c>
      <c r="O44" s="22">
        <v>7247.0489117307388</v>
      </c>
      <c r="P44" s="22">
        <v>5052.2519035351315</v>
      </c>
      <c r="Q44" s="22">
        <v>3838.0650916875843</v>
      </c>
      <c r="R44" s="22">
        <v>2527.1549236420128</v>
      </c>
      <c r="S44" s="22">
        <v>2360.4614799815868</v>
      </c>
      <c r="T44" s="21">
        <v>542138.52737742744</v>
      </c>
    </row>
    <row r="45" spans="1:20" x14ac:dyDescent="0.35">
      <c r="A45" s="72"/>
      <c r="B45" s="19" t="s">
        <v>248</v>
      </c>
      <c r="C45" s="22">
        <v>107069.66839559024</v>
      </c>
      <c r="D45" s="22">
        <v>89297.266180140388</v>
      </c>
      <c r="E45" s="22">
        <v>70052.405212356767</v>
      </c>
      <c r="F45" s="22">
        <v>63814.777709458605</v>
      </c>
      <c r="G45" s="22">
        <v>46085.592312735535</v>
      </c>
      <c r="H45" s="22">
        <v>35018.999803057253</v>
      </c>
      <c r="I45" s="22">
        <v>32857.129894843951</v>
      </c>
      <c r="J45" s="22">
        <v>28695.967634579989</v>
      </c>
      <c r="K45" s="22">
        <v>23195.083993785931</v>
      </c>
      <c r="L45" s="22">
        <v>18559.565699401865</v>
      </c>
      <c r="M45" s="22">
        <v>13692.528733267207</v>
      </c>
      <c r="N45" s="22">
        <v>9923.4047571675783</v>
      </c>
      <c r="O45" s="22">
        <v>6533.9714027389164</v>
      </c>
      <c r="P45" s="22">
        <v>4501.7519507059469</v>
      </c>
      <c r="Q45" s="22">
        <v>3579.7931512013688</v>
      </c>
      <c r="R45" s="22">
        <v>2458.2138080540585</v>
      </c>
      <c r="S45" s="22">
        <v>2436.6053986906704</v>
      </c>
      <c r="T45" s="21">
        <v>557772.72603777621</v>
      </c>
    </row>
    <row r="46" spans="1:20" x14ac:dyDescent="0.35">
      <c r="A46" s="72" t="s">
        <v>276</v>
      </c>
      <c r="B46" s="19" t="s">
        <v>246</v>
      </c>
      <c r="C46" s="22">
        <v>92891.671132123782</v>
      </c>
      <c r="D46" s="22">
        <v>76968.296029442936</v>
      </c>
      <c r="E46" s="22">
        <v>61754.913096122342</v>
      </c>
      <c r="F46" s="22">
        <v>55475.083806838906</v>
      </c>
      <c r="G46" s="22">
        <v>39306.812854436706</v>
      </c>
      <c r="H46" s="22">
        <v>28647.669546606608</v>
      </c>
      <c r="I46" s="22">
        <v>23861.910735455163</v>
      </c>
      <c r="J46" s="22">
        <v>19794.37588693191</v>
      </c>
      <c r="K46" s="22">
        <v>16355.544249247945</v>
      </c>
      <c r="L46" s="22">
        <v>13413.70713011615</v>
      </c>
      <c r="M46" s="22">
        <v>10459.522321082437</v>
      </c>
      <c r="N46" s="22">
        <v>8003.3610047593911</v>
      </c>
      <c r="O46" s="22">
        <v>5691.256070625378</v>
      </c>
      <c r="P46" s="22">
        <v>4090.1722800101024</v>
      </c>
      <c r="Q46" s="22">
        <v>3029.2999226037086</v>
      </c>
      <c r="R46" s="22">
        <v>1974.6014101482735</v>
      </c>
      <c r="S46" s="22">
        <v>1838.7768212271831</v>
      </c>
      <c r="T46" s="21">
        <v>463556.97429777886</v>
      </c>
    </row>
    <row r="47" spans="1:20" x14ac:dyDescent="0.35">
      <c r="A47" s="72"/>
      <c r="B47" s="19" t="s">
        <v>247</v>
      </c>
      <c r="C47" s="22">
        <v>47461.433060494586</v>
      </c>
      <c r="D47" s="22">
        <v>39295.494138693284</v>
      </c>
      <c r="E47" s="22">
        <v>31648.158192772506</v>
      </c>
      <c r="F47" s="22">
        <v>28477.888810455242</v>
      </c>
      <c r="G47" s="22">
        <v>19868.462026343412</v>
      </c>
      <c r="H47" s="22">
        <v>13754.297576577368</v>
      </c>
      <c r="I47" s="22">
        <v>9587.9812088387753</v>
      </c>
      <c r="J47" s="22">
        <v>7421.9906052107854</v>
      </c>
      <c r="K47" s="22">
        <v>7034.067347458883</v>
      </c>
      <c r="L47" s="22">
        <v>6274.6844184909696</v>
      </c>
      <c r="M47" s="22">
        <v>5270.4056398016965</v>
      </c>
      <c r="N47" s="22">
        <v>4240.4025071500964</v>
      </c>
      <c r="O47" s="22">
        <v>3039.5896641886397</v>
      </c>
      <c r="P47" s="22">
        <v>2195.8308542242917</v>
      </c>
      <c r="Q47" s="22">
        <v>1588.7361007133582</v>
      </c>
      <c r="R47" s="22">
        <v>1017.6554427496834</v>
      </c>
      <c r="S47" s="22">
        <v>935.33751007023477</v>
      </c>
      <c r="T47" s="21">
        <v>229112.41510423386</v>
      </c>
    </row>
    <row r="48" spans="1:20" x14ac:dyDescent="0.35">
      <c r="A48" s="72"/>
      <c r="B48" s="19" t="s">
        <v>248</v>
      </c>
      <c r="C48" s="22">
        <v>45430.238071629188</v>
      </c>
      <c r="D48" s="22">
        <v>37672.801890749652</v>
      </c>
      <c r="E48" s="22">
        <v>30106.754903349833</v>
      </c>
      <c r="F48" s="22">
        <v>26997.19499638366</v>
      </c>
      <c r="G48" s="22">
        <v>19438.350828093295</v>
      </c>
      <c r="H48" s="22">
        <v>14893.371970029239</v>
      </c>
      <c r="I48" s="22">
        <v>14273.929526616388</v>
      </c>
      <c r="J48" s="22">
        <v>12372.385281721125</v>
      </c>
      <c r="K48" s="22">
        <v>9322.5058759475542</v>
      </c>
      <c r="L48" s="22">
        <v>7139.0227116251808</v>
      </c>
      <c r="M48" s="22">
        <v>5190.1456554392344</v>
      </c>
      <c r="N48" s="22">
        <v>3762.9584976092942</v>
      </c>
      <c r="O48" s="22">
        <v>2651.6664064367383</v>
      </c>
      <c r="P48" s="22">
        <v>1894.341425785811</v>
      </c>
      <c r="Q48" s="22">
        <v>1440.5638218903505</v>
      </c>
      <c r="R48" s="22">
        <v>956.94596739858991</v>
      </c>
      <c r="S48" s="22">
        <v>903.43931115694841</v>
      </c>
      <c r="T48" s="21">
        <v>234446.61714186211</v>
      </c>
    </row>
    <row r="49" spans="1:20" x14ac:dyDescent="0.35">
      <c r="A49" s="72" t="s">
        <v>277</v>
      </c>
      <c r="B49" s="19" t="s">
        <v>246</v>
      </c>
      <c r="C49" s="22">
        <v>207610.5102478138</v>
      </c>
      <c r="D49" s="22">
        <v>169501.50790579198</v>
      </c>
      <c r="E49" s="22">
        <v>133290.95867212501</v>
      </c>
      <c r="F49" s="22">
        <v>118102.30483341175</v>
      </c>
      <c r="G49" s="22">
        <v>90466.178229512254</v>
      </c>
      <c r="H49" s="22">
        <v>69382.544522091732</v>
      </c>
      <c r="I49" s="22">
        <v>53555.928121221288</v>
      </c>
      <c r="J49" s="22">
        <v>42584.001023992139</v>
      </c>
      <c r="K49" s="22">
        <v>35056.042790537351</v>
      </c>
      <c r="L49" s="22">
        <v>28796.806878275802</v>
      </c>
      <c r="M49" s="22">
        <v>22858.610190841737</v>
      </c>
      <c r="N49" s="22">
        <v>17815.619034176631</v>
      </c>
      <c r="O49" s="22">
        <v>13363.257733444145</v>
      </c>
      <c r="P49" s="22">
        <v>9631.1767448246082</v>
      </c>
      <c r="Q49" s="22">
        <v>6350.8144090873384</v>
      </c>
      <c r="R49" s="22">
        <v>3785.5875260907837</v>
      </c>
      <c r="S49" s="22">
        <v>2913.019376559665</v>
      </c>
      <c r="T49" s="21">
        <f>SUM(C49:S49)</f>
        <v>1025064.8682397979</v>
      </c>
    </row>
    <row r="50" spans="1:20" x14ac:dyDescent="0.35">
      <c r="A50" s="72"/>
      <c r="B50" s="19" t="s">
        <v>247</v>
      </c>
      <c r="C50" s="22">
        <v>106075.68156487436</v>
      </c>
      <c r="D50" s="22">
        <v>86537.563612873331</v>
      </c>
      <c r="E50" s="22">
        <v>66763.811101623913</v>
      </c>
      <c r="F50" s="22">
        <v>59013.594943288568</v>
      </c>
      <c r="G50" s="22">
        <v>45377.659663115941</v>
      </c>
      <c r="H50" s="22">
        <v>33963.274659874558</v>
      </c>
      <c r="I50" s="22">
        <v>23119.969046951293</v>
      </c>
      <c r="J50" s="22">
        <v>17144.729372037138</v>
      </c>
      <c r="K50" s="22">
        <v>14816.166020163411</v>
      </c>
      <c r="L50" s="22">
        <v>12588.441911985497</v>
      </c>
      <c r="M50" s="22">
        <v>10401.876678785466</v>
      </c>
      <c r="N50" s="22">
        <v>8400.5263829859086</v>
      </c>
      <c r="O50" s="22">
        <v>6561.7536433489877</v>
      </c>
      <c r="P50" s="22">
        <v>4806.3276255422807</v>
      </c>
      <c r="Q50" s="22">
        <v>2959.3231109097833</v>
      </c>
      <c r="R50" s="22">
        <v>1695.7456490887771</v>
      </c>
      <c r="S50" s="22">
        <v>1409.6914679924907</v>
      </c>
      <c r="T50" s="21">
        <f t="shared" ref="T50:T51" si="0">SUM(C50:S50)</f>
        <v>501636.13645544171</v>
      </c>
    </row>
    <row r="51" spans="1:20" x14ac:dyDescent="0.35">
      <c r="A51" s="72"/>
      <c r="B51" s="19" t="s">
        <v>248</v>
      </c>
      <c r="C51" s="22">
        <v>101534.82868293942</v>
      </c>
      <c r="D51" s="22">
        <v>82963.944292918648</v>
      </c>
      <c r="E51" s="22">
        <v>66527.147570501082</v>
      </c>
      <c r="F51" s="22">
        <v>59088.709890123195</v>
      </c>
      <c r="G51" s="22">
        <v>45088.518566396313</v>
      </c>
      <c r="H51" s="22">
        <v>35419.269862217167</v>
      </c>
      <c r="I51" s="22">
        <v>30436.988046144437</v>
      </c>
      <c r="J51" s="22">
        <v>25439.271651955001</v>
      </c>
      <c r="K51" s="22">
        <v>20239.876770373936</v>
      </c>
      <c r="L51" s="22">
        <v>16207.335994415855</v>
      </c>
      <c r="M51" s="22">
        <v>12456.733512056271</v>
      </c>
      <c r="N51" s="22">
        <v>9415.0926511907237</v>
      </c>
      <c r="O51" s="22">
        <v>6801.5040900951562</v>
      </c>
      <c r="P51" s="22">
        <v>4824.8491192823276</v>
      </c>
      <c r="Q51" s="22">
        <v>3390.4623263031071</v>
      </c>
      <c r="R51" s="22">
        <v>2089.8418770020062</v>
      </c>
      <c r="S51" s="22">
        <v>1502.2989366927272</v>
      </c>
      <c r="T51" s="21">
        <f t="shared" si="0"/>
        <v>523426.6738406074</v>
      </c>
    </row>
    <row r="52" spans="1:20" x14ac:dyDescent="0.35">
      <c r="A52" s="72" t="s">
        <v>278</v>
      </c>
      <c r="B52" s="19" t="s">
        <v>246</v>
      </c>
      <c r="C52" s="22">
        <v>157617.70289071594</v>
      </c>
      <c r="D52" s="22">
        <v>128176.79862704467</v>
      </c>
      <c r="E52" s="22">
        <v>97702.807970226277</v>
      </c>
      <c r="F52" s="22">
        <v>93445.956965794277</v>
      </c>
      <c r="G52" s="22">
        <v>70187.107532828217</v>
      </c>
      <c r="H52" s="22">
        <v>51124.399844139058</v>
      </c>
      <c r="I52" s="22">
        <v>37901.0998059579</v>
      </c>
      <c r="J52" s="22">
        <v>29881.303642423234</v>
      </c>
      <c r="K52" s="22">
        <v>26448.658017384532</v>
      </c>
      <c r="L52" s="22">
        <v>22549.888750816295</v>
      </c>
      <c r="M52" s="22">
        <v>17938.042920053864</v>
      </c>
      <c r="N52" s="22">
        <v>13910.652339597786</v>
      </c>
      <c r="O52" s="22">
        <v>9740.2348580984271</v>
      </c>
      <c r="P52" s="22">
        <v>7046.3900600314846</v>
      </c>
      <c r="Q52" s="22">
        <v>5498.8184113329808</v>
      </c>
      <c r="R52" s="22">
        <v>3728.9891322362878</v>
      </c>
      <c r="S52" s="22">
        <v>3707.3807515031308</v>
      </c>
      <c r="T52" s="21">
        <v>776606.23252018448</v>
      </c>
    </row>
    <row r="53" spans="1:20" x14ac:dyDescent="0.35">
      <c r="A53" s="72"/>
      <c r="B53" s="19" t="s">
        <v>247</v>
      </c>
      <c r="C53" s="22">
        <v>80532.377051455042</v>
      </c>
      <c r="D53" s="22">
        <v>65439.437594600218</v>
      </c>
      <c r="E53" s="22">
        <v>50042.951836970096</v>
      </c>
      <c r="F53" s="22">
        <v>47762.753184366447</v>
      </c>
      <c r="G53" s="22">
        <v>35419.222933178113</v>
      </c>
      <c r="H53" s="22">
        <v>24657.220357554681</v>
      </c>
      <c r="I53" s="22">
        <v>15234.937387386997</v>
      </c>
      <c r="J53" s="22">
        <v>10813.451101178573</v>
      </c>
      <c r="K53" s="22">
        <v>10590.16450026928</v>
      </c>
      <c r="L53" s="22">
        <v>9670.2648633434419</v>
      </c>
      <c r="M53" s="22">
        <v>8394.3414295760576</v>
      </c>
      <c r="N53" s="22">
        <v>6973.3331537431905</v>
      </c>
      <c r="O53" s="22">
        <v>5212.7646092464229</v>
      </c>
      <c r="P53" s="22">
        <v>3935.8122049679364</v>
      </c>
      <c r="Q53" s="22">
        <v>2987.1013937312205</v>
      </c>
      <c r="R53" s="22">
        <v>1995.1738210281906</v>
      </c>
      <c r="S53" s="22">
        <v>1965.3336762062111</v>
      </c>
      <c r="T53" s="21">
        <v>381626.64109880209</v>
      </c>
    </row>
    <row r="54" spans="1:20" x14ac:dyDescent="0.35">
      <c r="A54" s="72"/>
      <c r="B54" s="19" t="s">
        <v>248</v>
      </c>
      <c r="C54" s="22">
        <v>77085.325839260899</v>
      </c>
      <c r="D54" s="22">
        <v>62737.36103244446</v>
      </c>
      <c r="E54" s="22">
        <v>47659.856133256173</v>
      </c>
      <c r="F54" s="22">
        <v>45683.203781427837</v>
      </c>
      <c r="G54" s="22">
        <v>34767.88459965009</v>
      </c>
      <c r="H54" s="22">
        <v>26467.17948658438</v>
      </c>
      <c r="I54" s="22">
        <v>22666.162418570904</v>
      </c>
      <c r="J54" s="22">
        <v>19067.852541244662</v>
      </c>
      <c r="K54" s="22">
        <v>15858.49351711525</v>
      </c>
      <c r="L54" s="22">
        <v>12879.623887472853</v>
      </c>
      <c r="M54" s="22">
        <v>9543.7014904778061</v>
      </c>
      <c r="N54" s="22">
        <v>6937.3191858545952</v>
      </c>
      <c r="O54" s="22">
        <v>4528.4992193631078</v>
      </c>
      <c r="P54" s="22">
        <v>3110.5778550635478</v>
      </c>
      <c r="Q54" s="22">
        <v>2510.6880470906576</v>
      </c>
      <c r="R54" s="22">
        <v>1732.7863406969948</v>
      </c>
      <c r="S54" s="22">
        <v>1742.0470752969193</v>
      </c>
      <c r="T54" s="21">
        <v>394978.56245087105</v>
      </c>
    </row>
    <row r="55" spans="1:20" x14ac:dyDescent="0.35">
      <c r="A55" s="72" t="s">
        <v>279</v>
      </c>
      <c r="B55" s="19" t="s">
        <v>246</v>
      </c>
      <c r="C55" s="22">
        <v>74432.539167553783</v>
      </c>
      <c r="D55" s="22">
        <v>60378.878939033806</v>
      </c>
      <c r="E55" s="22">
        <v>44886.719882027159</v>
      </c>
      <c r="F55" s="22">
        <v>44128.369641258432</v>
      </c>
      <c r="G55" s="22">
        <v>37680.849141045648</v>
      </c>
      <c r="H55" s="22">
        <v>29474.820416309467</v>
      </c>
      <c r="I55" s="22">
        <v>19976.406477997276</v>
      </c>
      <c r="J55" s="22">
        <v>14838.763666385017</v>
      </c>
      <c r="K55" s="22">
        <v>12809.636563541162</v>
      </c>
      <c r="L55" s="22">
        <v>11155.054220045764</v>
      </c>
      <c r="M55" s="22">
        <v>10191.939124578295</v>
      </c>
      <c r="N55" s="22">
        <v>8452.9813133175867</v>
      </c>
      <c r="O55" s="22">
        <v>5881.5874847137347</v>
      </c>
      <c r="P55" s="22">
        <v>4094.2681248558347</v>
      </c>
      <c r="Q55" s="22">
        <v>2836.8678613288603</v>
      </c>
      <c r="R55" s="22">
        <v>1732.7839965461737</v>
      </c>
      <c r="S55" s="22">
        <v>1309.8776886005219</v>
      </c>
      <c r="T55" s="21">
        <v>384262.34370913857</v>
      </c>
    </row>
    <row r="56" spans="1:20" x14ac:dyDescent="0.35">
      <c r="A56" s="72"/>
      <c r="B56" s="19" t="s">
        <v>247</v>
      </c>
      <c r="C56" s="22">
        <v>38030.698641535972</v>
      </c>
      <c r="D56" s="22">
        <v>30825.856869673557</v>
      </c>
      <c r="E56" s="22">
        <v>24556.348027063206</v>
      </c>
      <c r="F56" s="22">
        <v>24496.667818156031</v>
      </c>
      <c r="G56" s="22">
        <v>20903.507654296627</v>
      </c>
      <c r="H56" s="22">
        <v>16002.527740074876</v>
      </c>
      <c r="I56" s="22">
        <v>9730.9609592263441</v>
      </c>
      <c r="J56" s="22">
        <v>6570.9967945034823</v>
      </c>
      <c r="K56" s="22">
        <v>5396.943029622732</v>
      </c>
      <c r="L56" s="22">
        <v>4798.083002312831</v>
      </c>
      <c r="M56" s="22">
        <v>5082.078479181444</v>
      </c>
      <c r="N56" s="22">
        <v>4580.970518185015</v>
      </c>
      <c r="O56" s="22">
        <v>3397.6560312324618</v>
      </c>
      <c r="P56" s="22">
        <v>2516.8584652921263</v>
      </c>
      <c r="Q56" s="22">
        <v>1824.3622481451105</v>
      </c>
      <c r="R56" s="22">
        <v>1151.4164442607887</v>
      </c>
      <c r="S56" s="22">
        <v>896.23210272667302</v>
      </c>
      <c r="T56" s="21">
        <v>200762.16482548931</v>
      </c>
    </row>
    <row r="57" spans="1:20" x14ac:dyDescent="0.35">
      <c r="A57" s="72"/>
      <c r="B57" s="19" t="s">
        <v>248</v>
      </c>
      <c r="C57" s="22">
        <v>36402.869495136896</v>
      </c>
      <c r="D57" s="22">
        <v>29553.022069360246</v>
      </c>
      <c r="E57" s="22">
        <v>20329.342885844864</v>
      </c>
      <c r="F57" s="22">
        <v>19631.701823102401</v>
      </c>
      <c r="G57" s="22">
        <v>16777.341486749028</v>
      </c>
      <c r="H57" s="22">
        <v>13472.292676234592</v>
      </c>
      <c r="I57" s="22">
        <v>10245.445518770932</v>
      </c>
      <c r="J57" s="22">
        <v>8266.7379027624465</v>
      </c>
      <c r="K57" s="22">
        <v>7412.6935339184292</v>
      </c>
      <c r="L57" s="22">
        <v>6356.9712177329338</v>
      </c>
      <c r="M57" s="22">
        <v>5110.8896145159406</v>
      </c>
      <c r="N57" s="22">
        <v>3872.0107951325717</v>
      </c>
      <c r="O57" s="22">
        <v>2483.9314534812729</v>
      </c>
      <c r="P57" s="22">
        <v>1577.4096595637079</v>
      </c>
      <c r="Q57" s="22">
        <v>1013.5345823028391</v>
      </c>
      <c r="R57" s="22">
        <v>581.36755228538482</v>
      </c>
      <c r="S57" s="22">
        <v>413.64558587384909</v>
      </c>
      <c r="T57" s="21">
        <v>183501.20785276833</v>
      </c>
    </row>
    <row r="58" spans="1:20" x14ac:dyDescent="0.35">
      <c r="A58" s="72" t="s">
        <v>280</v>
      </c>
      <c r="B58" s="19" t="s">
        <v>246</v>
      </c>
      <c r="C58" s="22">
        <v>31506.596195538565</v>
      </c>
      <c r="D58" s="22">
        <v>26418.014941343332</v>
      </c>
      <c r="E58" s="22">
        <v>16547.258798691979</v>
      </c>
      <c r="F58" s="22">
        <v>16601.175798671822</v>
      </c>
      <c r="G58" s="22">
        <v>15760.859628254258</v>
      </c>
      <c r="H58" s="22">
        <v>13262.26694626151</v>
      </c>
      <c r="I58" s="22">
        <v>10066.040886480787</v>
      </c>
      <c r="J58" s="22">
        <v>7819.9375702473053</v>
      </c>
      <c r="K58" s="22">
        <v>5867.7476563429709</v>
      </c>
      <c r="L58" s="22">
        <v>4723.6552177462918</v>
      </c>
      <c r="M58" s="22">
        <v>4407.3859861572091</v>
      </c>
      <c r="N58" s="22">
        <v>3620.3292913294936</v>
      </c>
      <c r="O58" s="22">
        <v>2328.2938649832431</v>
      </c>
      <c r="P58" s="22">
        <v>1534.6619262555464</v>
      </c>
      <c r="Q58" s="22">
        <v>1097.4082069068152</v>
      </c>
      <c r="R58" s="22">
        <v>670.01735340805544</v>
      </c>
      <c r="S58" s="22">
        <v>447.77410958870053</v>
      </c>
      <c r="T58" s="21">
        <v>162679.42437820791</v>
      </c>
    </row>
    <row r="59" spans="1:20" x14ac:dyDescent="0.35">
      <c r="A59" s="72"/>
      <c r="B59" s="19" t="s">
        <v>247</v>
      </c>
      <c r="C59" s="22">
        <v>16098.169640323282</v>
      </c>
      <c r="D59" s="22">
        <v>13487.140287640857</v>
      </c>
      <c r="E59" s="22">
        <v>9143.5341673134644</v>
      </c>
      <c r="F59" s="22">
        <v>9365.1198867428211</v>
      </c>
      <c r="G59" s="22">
        <v>8918.6608259341174</v>
      </c>
      <c r="H59" s="22">
        <v>7447.1212411183869</v>
      </c>
      <c r="I59" s="22">
        <v>5468.6303516141297</v>
      </c>
      <c r="J59" s="22">
        <v>4069.4184496981902</v>
      </c>
      <c r="K59" s="22">
        <v>2693.2199014321841</v>
      </c>
      <c r="L59" s="22">
        <v>2061.338962644018</v>
      </c>
      <c r="M59" s="22">
        <v>2173.1181089436932</v>
      </c>
      <c r="N59" s="22">
        <v>1919.9712187944281</v>
      </c>
      <c r="O59" s="22">
        <v>1348.5825238860864</v>
      </c>
      <c r="P59" s="22">
        <v>966.56085329719497</v>
      </c>
      <c r="Q59" s="22">
        <v>719.33168265791244</v>
      </c>
      <c r="R59" s="22">
        <v>451.06173153869094</v>
      </c>
      <c r="S59" s="22">
        <v>306.40636573911075</v>
      </c>
      <c r="T59" s="21">
        <v>86637.386199318542</v>
      </c>
    </row>
    <row r="60" spans="1:20" x14ac:dyDescent="0.35">
      <c r="A60" s="72"/>
      <c r="B60" s="19" t="s">
        <v>248</v>
      </c>
      <c r="C60" s="22">
        <v>15409.084079605282</v>
      </c>
      <c r="D60" s="22">
        <v>12930.874653702473</v>
      </c>
      <c r="E60" s="22">
        <v>7403.0671069885157</v>
      </c>
      <c r="F60" s="22">
        <v>7236.0559119290001</v>
      </c>
      <c r="G60" s="22">
        <v>6842.1988023201438</v>
      </c>
      <c r="H60" s="22">
        <v>5814.4881807531265</v>
      </c>
      <c r="I60" s="22">
        <v>4597.4105348666581</v>
      </c>
      <c r="J60" s="22">
        <v>3750.5191205491151</v>
      </c>
      <c r="K60" s="22">
        <v>3175.1852793007852</v>
      </c>
      <c r="L60" s="22">
        <v>2662.3162551022733</v>
      </c>
      <c r="M60" s="22">
        <v>2234.9254016035138</v>
      </c>
      <c r="N60" s="22">
        <v>1699.7005481450672</v>
      </c>
      <c r="O60" s="22">
        <v>979.71134109715672</v>
      </c>
      <c r="P60" s="22">
        <v>567.44354856835321</v>
      </c>
      <c r="Q60" s="22">
        <v>378.07652424890279</v>
      </c>
      <c r="R60" s="22">
        <v>219.61314625936268</v>
      </c>
      <c r="S60" s="22">
        <v>141.36774384958974</v>
      </c>
      <c r="T60" s="21">
        <v>76042.038178889285</v>
      </c>
    </row>
    <row r="61" spans="1:20" x14ac:dyDescent="0.35">
      <c r="A61" s="72" t="s">
        <v>281</v>
      </c>
      <c r="B61" s="19" t="s">
        <v>246</v>
      </c>
      <c r="C61" s="22">
        <v>17798.64911234186</v>
      </c>
      <c r="D61" s="22">
        <v>14924.017030191188</v>
      </c>
      <c r="E61" s="22">
        <v>9347.8473936430746</v>
      </c>
      <c r="F61" s="22">
        <v>9378.3060873678915</v>
      </c>
      <c r="G61" s="22">
        <v>8903.5962022420917</v>
      </c>
      <c r="H61" s="22">
        <v>7492.0957613359615</v>
      </c>
      <c r="I61" s="22">
        <v>5686.4895394294617</v>
      </c>
      <c r="J61" s="22">
        <v>4417.6249325517401</v>
      </c>
      <c r="K61" s="22">
        <v>3314.7973512227127</v>
      </c>
      <c r="L61" s="22">
        <v>2668.478728281485</v>
      </c>
      <c r="M61" s="22">
        <v>2489.8124882615248</v>
      </c>
      <c r="N61" s="22">
        <v>2045.1898493760934</v>
      </c>
      <c r="O61" s="22">
        <v>1315.2955424338445</v>
      </c>
      <c r="P61" s="22">
        <v>866.95842870392346</v>
      </c>
      <c r="Q61" s="22">
        <v>619.94585154535059</v>
      </c>
      <c r="R61" s="22">
        <v>378.50498665351239</v>
      </c>
      <c r="S61" s="22">
        <v>252.95573690975658</v>
      </c>
      <c r="T61" s="21">
        <v>91900.565022491457</v>
      </c>
    </row>
    <row r="62" spans="1:20" x14ac:dyDescent="0.35">
      <c r="A62" s="72"/>
      <c r="B62" s="19" t="s">
        <v>247</v>
      </c>
      <c r="C62" s="22">
        <v>9094.1487617644198</v>
      </c>
      <c r="D62" s="22">
        <v>7619.1308010175126</v>
      </c>
      <c r="E62" s="22">
        <v>5165.3487187475403</v>
      </c>
      <c r="F62" s="22">
        <v>5290.5265210068474</v>
      </c>
      <c r="G62" s="22">
        <v>5038.3136790659883</v>
      </c>
      <c r="H62" s="22">
        <v>4207.0142088691673</v>
      </c>
      <c r="I62" s="22">
        <v>3089.3287281621815</v>
      </c>
      <c r="J62" s="22">
        <v>2298.8884812547481</v>
      </c>
      <c r="K62" s="22">
        <v>1521.4488963030292</v>
      </c>
      <c r="L62" s="22">
        <v>1164.4878637475579</v>
      </c>
      <c r="M62" s="22">
        <v>1227.6339361038847</v>
      </c>
      <c r="N62" s="22">
        <v>1084.6266545910269</v>
      </c>
      <c r="O62" s="22">
        <v>761.83879060486163</v>
      </c>
      <c r="P62" s="22">
        <v>546.02780214000313</v>
      </c>
      <c r="Q62" s="22">
        <v>406.36354798718605</v>
      </c>
      <c r="R62" s="22">
        <v>254.81297433200146</v>
      </c>
      <c r="S62" s="22">
        <v>173.09452775322549</v>
      </c>
      <c r="T62" s="21">
        <v>48943.034893451171</v>
      </c>
    </row>
    <row r="63" spans="1:20" x14ac:dyDescent="0.35">
      <c r="A63" s="72"/>
      <c r="B63" s="19" t="s">
        <v>248</v>
      </c>
      <c r="C63" s="22">
        <v>8704.8717980618876</v>
      </c>
      <c r="D63" s="22">
        <v>7304.886229173675</v>
      </c>
      <c r="E63" s="22">
        <v>4182.1272274110861</v>
      </c>
      <c r="F63" s="22">
        <v>4087.7795663610441</v>
      </c>
      <c r="G63" s="22">
        <v>3865.2825231761044</v>
      </c>
      <c r="H63" s="22">
        <v>3284.7101049823459</v>
      </c>
      <c r="I63" s="22">
        <v>2597.1608112672807</v>
      </c>
      <c r="J63" s="22">
        <v>2118.7364512969916</v>
      </c>
      <c r="K63" s="22">
        <v>1793.7199024041327</v>
      </c>
      <c r="L63" s="22">
        <v>1503.9908645339269</v>
      </c>
      <c r="M63" s="22">
        <v>1262.5499996420888</v>
      </c>
      <c r="N63" s="22">
        <v>960.19174730061775</v>
      </c>
      <c r="O63" s="22">
        <v>553.45675182898276</v>
      </c>
      <c r="P63" s="22">
        <v>320.55917907947128</v>
      </c>
      <c r="Q63" s="22">
        <v>213.58230355816451</v>
      </c>
      <c r="R63" s="22">
        <v>124.06345980595991</v>
      </c>
      <c r="S63" s="22">
        <v>79.861209156531075</v>
      </c>
      <c r="T63" s="21">
        <v>42957.5301290403</v>
      </c>
    </row>
    <row r="64" spans="1:20" x14ac:dyDescent="0.35">
      <c r="A64" s="72" t="s">
        <v>282</v>
      </c>
      <c r="B64" s="19" t="s">
        <v>246</v>
      </c>
      <c r="C64" s="22">
        <v>111310.89300289193</v>
      </c>
      <c r="D64" s="22">
        <v>91378.714181524905</v>
      </c>
      <c r="E64" s="22">
        <v>82573.817471265371</v>
      </c>
      <c r="F64" s="22">
        <v>76907.279410800329</v>
      </c>
      <c r="G64" s="22">
        <v>52617.412431439967</v>
      </c>
      <c r="H64" s="22">
        <v>36031.444209788278</v>
      </c>
      <c r="I64" s="22">
        <v>26166.708348942397</v>
      </c>
      <c r="J64" s="22">
        <v>20857.222895519557</v>
      </c>
      <c r="K64" s="22">
        <v>20283.05760811453</v>
      </c>
      <c r="L64" s="22">
        <v>17975.077787954178</v>
      </c>
      <c r="M64" s="22">
        <v>14167.888606236251</v>
      </c>
      <c r="N64" s="22">
        <v>10706.433361020276</v>
      </c>
      <c r="O64" s="22">
        <v>6856.0274372396061</v>
      </c>
      <c r="P64" s="22">
        <v>4565.5401079141729</v>
      </c>
      <c r="Q64" s="22">
        <v>3465.5711254124258</v>
      </c>
      <c r="R64" s="22">
        <v>2252.4154375082544</v>
      </c>
      <c r="S64" s="22">
        <v>1932.4057522341259</v>
      </c>
      <c r="T64" s="21">
        <v>580047.90917580668</v>
      </c>
    </row>
    <row r="65" spans="1:20" x14ac:dyDescent="0.35">
      <c r="A65" s="72"/>
      <c r="B65" s="19" t="s">
        <v>247</v>
      </c>
      <c r="C65" s="22">
        <v>56873.232554571136</v>
      </c>
      <c r="D65" s="22">
        <v>46652.473056732182</v>
      </c>
      <c r="E65" s="22">
        <v>44196.32154949956</v>
      </c>
      <c r="F65" s="22">
        <v>40239.931710660254</v>
      </c>
      <c r="G65" s="22">
        <v>26908.595754352835</v>
      </c>
      <c r="H65" s="22">
        <v>17603.619600224403</v>
      </c>
      <c r="I65" s="22">
        <v>10409.061016826634</v>
      </c>
      <c r="J65" s="22">
        <v>7439.453455086651</v>
      </c>
      <c r="K65" s="22">
        <v>8363.4685591900834</v>
      </c>
      <c r="L65" s="22">
        <v>8081.5307657331332</v>
      </c>
      <c r="M65" s="22">
        <v>7237.7753254605122</v>
      </c>
      <c r="N65" s="22">
        <v>5899.0852915645592</v>
      </c>
      <c r="O65" s="22">
        <v>3829.8265227984111</v>
      </c>
      <c r="P65" s="22">
        <v>2562.1354222912532</v>
      </c>
      <c r="Q65" s="22">
        <v>1826.4218371754916</v>
      </c>
      <c r="R65" s="22">
        <v>1144.2146946136038</v>
      </c>
      <c r="S65" s="22">
        <v>971.34772636262767</v>
      </c>
      <c r="T65" s="21">
        <v>290238.49484314333</v>
      </c>
    </row>
    <row r="66" spans="1:20" x14ac:dyDescent="0.35">
      <c r="A66" s="72"/>
      <c r="B66" s="19" t="s">
        <v>248</v>
      </c>
      <c r="C66" s="22">
        <v>54438.689418369897</v>
      </c>
      <c r="D66" s="22">
        <v>44726.24112479273</v>
      </c>
      <c r="E66" s="22">
        <v>38377.495921765811</v>
      </c>
      <c r="F66" s="22">
        <v>36667.347700140082</v>
      </c>
      <c r="G66" s="22">
        <v>25708.816677087132</v>
      </c>
      <c r="H66" s="22">
        <v>18427.824609563879</v>
      </c>
      <c r="I66" s="22">
        <v>15757.647332115763</v>
      </c>
      <c r="J66" s="22">
        <v>13417.769440432907</v>
      </c>
      <c r="K66" s="22">
        <v>11919.589048924448</v>
      </c>
      <c r="L66" s="22">
        <v>9893.5470222210442</v>
      </c>
      <c r="M66" s="22">
        <v>6930.1132807757385</v>
      </c>
      <c r="N66" s="22">
        <v>4807.3480694557165</v>
      </c>
      <c r="O66" s="22">
        <v>3025.171944392082</v>
      </c>
      <c r="P66" s="22">
        <v>2003.4046856229197</v>
      </c>
      <c r="Q66" s="22">
        <v>1639.1492882369341</v>
      </c>
      <c r="R66" s="22">
        <v>1107.1717728455376</v>
      </c>
      <c r="S66" s="22">
        <v>961.05802587149822</v>
      </c>
      <c r="T66" s="21">
        <v>289808.38536261412</v>
      </c>
    </row>
    <row r="67" spans="1:20" x14ac:dyDescent="0.35">
      <c r="A67" s="72" t="s">
        <v>283</v>
      </c>
      <c r="B67" s="19" t="s">
        <v>246</v>
      </c>
      <c r="C67" s="22">
        <v>7741.9843833397808</v>
      </c>
      <c r="D67" s="22">
        <v>6504.1312183799519</v>
      </c>
      <c r="E67" s="22">
        <v>3909.0641510244327</v>
      </c>
      <c r="F67" s="22">
        <v>3646.6763230404285</v>
      </c>
      <c r="G67" s="22">
        <v>3449.1137231465905</v>
      </c>
      <c r="H67" s="22">
        <v>2955.2072234119951</v>
      </c>
      <c r="I67" s="22">
        <v>2295.6362518914211</v>
      </c>
      <c r="J67" s="22">
        <v>1847.0045146324969</v>
      </c>
      <c r="K67" s="22">
        <v>1500.2409929438331</v>
      </c>
      <c r="L67" s="22">
        <v>1262.5484899465591</v>
      </c>
      <c r="M67" s="22">
        <v>1138.0428931384633</v>
      </c>
      <c r="N67" s="22">
        <v>933.27749012349568</v>
      </c>
      <c r="O67" s="22">
        <v>644.13639340386806</v>
      </c>
      <c r="P67" s="22">
        <v>440.3999622633475</v>
      </c>
      <c r="Q67" s="22">
        <v>285.02520922183936</v>
      </c>
      <c r="R67" s="22">
        <v>171.83830303266129</v>
      </c>
      <c r="S67" s="22">
        <v>154.34578116706103</v>
      </c>
      <c r="T67" s="22">
        <v>38878.673304108219</v>
      </c>
    </row>
    <row r="68" spans="1:20" x14ac:dyDescent="0.35">
      <c r="A68" s="72"/>
      <c r="B68" s="19" t="s">
        <v>247</v>
      </c>
      <c r="C68" s="22">
        <v>3955.367885374551</v>
      </c>
      <c r="D68" s="22">
        <v>3320.4922388407062</v>
      </c>
      <c r="E68" s="22">
        <v>2161.8699082133012</v>
      </c>
      <c r="F68" s="22">
        <v>2006.4951551717934</v>
      </c>
      <c r="G68" s="22">
        <v>1817.1643302735317</v>
      </c>
      <c r="H68" s="22">
        <v>1519.7914585583276</v>
      </c>
      <c r="I68" s="22">
        <v>1155.5354150040637</v>
      </c>
      <c r="J68" s="22">
        <v>916.81394013234251</v>
      </c>
      <c r="K68" s="22">
        <v>719.25134023850444</v>
      </c>
      <c r="L68" s="22">
        <v>613.26723717045593</v>
      </c>
      <c r="M68" s="22">
        <v>623.55695591492656</v>
      </c>
      <c r="N68" s="22">
        <v>539.18126221026648</v>
      </c>
      <c r="O68" s="22">
        <v>356.02426855868742</v>
      </c>
      <c r="P68" s="22">
        <v>244.89530611840351</v>
      </c>
      <c r="Q68" s="22">
        <v>179.04110615379082</v>
      </c>
      <c r="R68" s="22">
        <v>114.21587806362515</v>
      </c>
      <c r="S68" s="22">
        <v>97.752328072471983</v>
      </c>
      <c r="T68" s="22">
        <v>20340.716014069752</v>
      </c>
    </row>
    <row r="69" spans="1:20" x14ac:dyDescent="0.35">
      <c r="A69" s="72"/>
      <c r="B69" s="19" t="s">
        <v>248</v>
      </c>
      <c r="C69" s="22">
        <v>3785.5875260907837</v>
      </c>
      <c r="D69" s="22">
        <v>3183.6389795392456</v>
      </c>
      <c r="E69" s="22">
        <v>1747.1942428111311</v>
      </c>
      <c r="F69" s="22">
        <v>1640.1811678686354</v>
      </c>
      <c r="G69" s="22">
        <v>1630.9204209986115</v>
      </c>
      <c r="H69" s="22">
        <v>1435.4157648536677</v>
      </c>
      <c r="I69" s="22">
        <v>1140.1008368873574</v>
      </c>
      <c r="J69" s="22">
        <v>930.19057450015453</v>
      </c>
      <c r="K69" s="22">
        <v>780.98965270532881</v>
      </c>
      <c r="L69" s="22">
        <v>649.28125277610332</v>
      </c>
      <c r="M69" s="22">
        <v>514.48593722353678</v>
      </c>
      <c r="N69" s="22">
        <v>394.09622791322914</v>
      </c>
      <c r="O69" s="22">
        <v>288.11212484518057</v>
      </c>
      <c r="P69" s="22">
        <v>195.50465614494397</v>
      </c>
      <c r="Q69" s="22">
        <v>105.98410306804857</v>
      </c>
      <c r="R69" s="22">
        <v>58.651396843483191</v>
      </c>
      <c r="S69" s="22">
        <v>56.593453094589044</v>
      </c>
      <c r="T69" s="22">
        <v>18536.928318164031</v>
      </c>
    </row>
  </sheetData>
  <mergeCells count="23">
    <mergeCell ref="A16:A18"/>
    <mergeCell ref="A3:B3"/>
    <mergeCell ref="A4:A6"/>
    <mergeCell ref="A7:A9"/>
    <mergeCell ref="A10:A12"/>
    <mergeCell ref="A13:A15"/>
    <mergeCell ref="A52:A54"/>
    <mergeCell ref="A19:A21"/>
    <mergeCell ref="A22:A24"/>
    <mergeCell ref="A25:A27"/>
    <mergeCell ref="A28:A30"/>
    <mergeCell ref="A31:A33"/>
    <mergeCell ref="A34:A36"/>
    <mergeCell ref="A37:A39"/>
    <mergeCell ref="A40:A42"/>
    <mergeCell ref="A43:A45"/>
    <mergeCell ref="A46:A48"/>
    <mergeCell ref="A49:A51"/>
    <mergeCell ref="A55:A57"/>
    <mergeCell ref="A58:A60"/>
    <mergeCell ref="A61:A63"/>
    <mergeCell ref="A64:A66"/>
    <mergeCell ref="A67:A69"/>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2:V74"/>
  <sheetViews>
    <sheetView topLeftCell="B1" workbookViewId="0">
      <selection activeCell="P28" sqref="P28"/>
    </sheetView>
  </sheetViews>
  <sheetFormatPr baseColWidth="10" defaultColWidth="11.54296875" defaultRowHeight="14.5" x14ac:dyDescent="0.35"/>
  <cols>
    <col min="1" max="1" width="14.453125" style="1" customWidth="1"/>
    <col min="2" max="2" width="16.54296875" style="1" customWidth="1"/>
    <col min="3" max="3" width="17" style="1" customWidth="1"/>
    <col min="4" max="22" width="11.54296875" style="4"/>
    <col min="23" max="16384" width="11.54296875" style="1"/>
  </cols>
  <sheetData>
    <row r="2" spans="1:22" x14ac:dyDescent="0.35">
      <c r="A2" s="1" t="s">
        <v>4</v>
      </c>
      <c r="B2" s="1" t="s">
        <v>3</v>
      </c>
      <c r="C2" s="1" t="s">
        <v>205</v>
      </c>
      <c r="D2" s="5" t="s">
        <v>250</v>
      </c>
      <c r="E2" s="15" t="s">
        <v>229</v>
      </c>
      <c r="F2" s="16" t="s">
        <v>230</v>
      </c>
      <c r="G2" s="17" t="s">
        <v>231</v>
      </c>
      <c r="H2" s="17" t="s">
        <v>232</v>
      </c>
      <c r="I2" s="18" t="s">
        <v>233</v>
      </c>
      <c r="J2" s="16" t="s">
        <v>234</v>
      </c>
      <c r="K2" s="16" t="s">
        <v>235</v>
      </c>
      <c r="L2" s="16" t="s">
        <v>236</v>
      </c>
      <c r="M2" s="16" t="s">
        <v>237</v>
      </c>
      <c r="N2" s="16" t="s">
        <v>238</v>
      </c>
      <c r="O2" s="16" t="s">
        <v>239</v>
      </c>
      <c r="P2" s="16" t="s">
        <v>240</v>
      </c>
      <c r="Q2" s="16" t="s">
        <v>241</v>
      </c>
      <c r="R2" s="16" t="s">
        <v>242</v>
      </c>
      <c r="S2" s="16" t="s">
        <v>243</v>
      </c>
      <c r="T2" s="16" t="s">
        <v>244</v>
      </c>
      <c r="U2" s="16" t="s">
        <v>245</v>
      </c>
      <c r="V2" s="19" t="s">
        <v>246</v>
      </c>
    </row>
    <row r="3" spans="1:22" x14ac:dyDescent="0.35">
      <c r="A3" s="1" t="s">
        <v>8</v>
      </c>
      <c r="B3" s="1" t="s">
        <v>7</v>
      </c>
      <c r="C3" s="1" t="s">
        <v>7</v>
      </c>
      <c r="D3" s="3" t="s">
        <v>248</v>
      </c>
      <c r="E3" s="22">
        <v>69062.820037618993</v>
      </c>
      <c r="F3" s="22">
        <v>56729.818961167119</v>
      </c>
      <c r="G3" s="22">
        <v>65684.429511934999</v>
      </c>
      <c r="H3" s="22">
        <v>49484.263578356287</v>
      </c>
      <c r="I3" s="22">
        <v>30081.136280943276</v>
      </c>
      <c r="J3" s="22">
        <v>22137.174234919523</v>
      </c>
      <c r="K3" s="22">
        <v>20745.877548803415</v>
      </c>
      <c r="L3" s="22">
        <v>18105.613496562466</v>
      </c>
      <c r="M3" s="22">
        <v>14538.553872285414</v>
      </c>
      <c r="N3" s="22">
        <v>11716.240689823087</v>
      </c>
      <c r="O3" s="22">
        <v>8989.9170487502142</v>
      </c>
      <c r="P3" s="22">
        <v>6747.9544268723976</v>
      </c>
      <c r="Q3" s="22">
        <v>4675.9043265345363</v>
      </c>
      <c r="R3" s="22">
        <v>3297.847577161805</v>
      </c>
      <c r="S3" s="22">
        <v>2464.8348903912588</v>
      </c>
      <c r="T3" s="22">
        <v>1640.6488281162945</v>
      </c>
      <c r="U3" s="22">
        <v>1672.6477666197979</v>
      </c>
      <c r="V3" s="42">
        <v>387775.68307686091</v>
      </c>
    </row>
    <row r="4" spans="1:22" x14ac:dyDescent="0.35">
      <c r="A4" s="1" t="s">
        <v>8</v>
      </c>
      <c r="B4" s="1" t="s">
        <v>7</v>
      </c>
      <c r="C4" s="1" t="s">
        <v>7</v>
      </c>
      <c r="D4" s="3" t="s">
        <v>247</v>
      </c>
      <c r="E4" s="22">
        <v>72151.035283010729</v>
      </c>
      <c r="F4" s="22">
        <v>59172.587290319425</v>
      </c>
      <c r="G4" s="22">
        <v>67258.878656334433</v>
      </c>
      <c r="H4" s="22">
        <v>50187.083553816999</v>
      </c>
      <c r="I4" s="22">
        <v>29693.868131199615</v>
      </c>
      <c r="J4" s="22">
        <v>19846.665178316005</v>
      </c>
      <c r="K4" s="22">
        <v>13231.110118877337</v>
      </c>
      <c r="L4" s="22">
        <v>10260.950976114014</v>
      </c>
      <c r="M4" s="22">
        <v>10792.755101972825</v>
      </c>
      <c r="N4" s="22">
        <v>10096.555094883799</v>
      </c>
      <c r="O4" s="22">
        <v>8559.6191045905944</v>
      </c>
      <c r="P4" s="22">
        <v>6950.9667902707824</v>
      </c>
      <c r="Q4" s="22">
        <v>4956.1496542692612</v>
      </c>
      <c r="R4" s="22">
        <v>3642.0859324895009</v>
      </c>
      <c r="S4" s="22">
        <v>2826.7264947101185</v>
      </c>
      <c r="T4" s="22">
        <v>1892.2076262403798</v>
      </c>
      <c r="U4" s="22">
        <v>1822.7006005645819</v>
      </c>
      <c r="V4" s="42">
        <f t="shared" ref="V4:V34" si="0">SUM(E4:U4)</f>
        <v>373341.94558798044</v>
      </c>
    </row>
    <row r="5" spans="1:22" x14ac:dyDescent="0.35">
      <c r="A5" s="1" t="s">
        <v>8</v>
      </c>
      <c r="B5" s="1" t="s">
        <v>7</v>
      </c>
      <c r="C5" s="1" t="s">
        <v>7</v>
      </c>
      <c r="D5" s="3" t="s">
        <v>246</v>
      </c>
      <c r="E5" s="22">
        <v>141213.85532062972</v>
      </c>
      <c r="F5" s="22">
        <v>115903.5095795485</v>
      </c>
      <c r="G5" s="22">
        <v>132943.30816826946</v>
      </c>
      <c r="H5" s="22">
        <v>99670.243804111335</v>
      </c>
      <c r="I5" s="22">
        <v>59773.901084080942</v>
      </c>
      <c r="J5" s="22">
        <v>41983.839413235532</v>
      </c>
      <c r="K5" s="22">
        <v>33976.987667680762</v>
      </c>
      <c r="L5" s="22">
        <v>28366.564472676484</v>
      </c>
      <c r="M5" s="22">
        <v>25331.308974258242</v>
      </c>
      <c r="N5" s="22">
        <v>21812.795784706886</v>
      </c>
      <c r="O5" s="22">
        <v>17549.536153340807</v>
      </c>
      <c r="P5" s="22">
        <v>13698.921217143185</v>
      </c>
      <c r="Q5" s="22">
        <v>9632.0539808038011</v>
      </c>
      <c r="R5" s="22">
        <v>6939.933509651305</v>
      </c>
      <c r="S5" s="22">
        <v>5290.4580570394291</v>
      </c>
      <c r="T5" s="22">
        <v>3532.8564543566745</v>
      </c>
      <c r="U5" s="22">
        <v>3494.2450375230219</v>
      </c>
      <c r="V5" s="42">
        <f>SUM(E5:U5)</f>
        <v>761114.31867905601</v>
      </c>
    </row>
    <row r="6" spans="1:22" x14ac:dyDescent="0.35">
      <c r="A6" s="1" t="s">
        <v>16</v>
      </c>
      <c r="B6" s="1" t="s">
        <v>14</v>
      </c>
      <c r="C6" s="1" t="s">
        <v>14</v>
      </c>
      <c r="D6" s="3" t="s">
        <v>248</v>
      </c>
      <c r="E6" s="22">
        <v>14476.977251944534</v>
      </c>
      <c r="F6" s="22">
        <v>12264.772435989289</v>
      </c>
      <c r="G6" s="22">
        <v>7392.4051206484546</v>
      </c>
      <c r="H6" s="22">
        <v>7120.9824848753924</v>
      </c>
      <c r="I6" s="22">
        <v>6177.623323956821</v>
      </c>
      <c r="J6" s="22">
        <v>5100.7595332474348</v>
      </c>
      <c r="K6" s="22">
        <v>4391.3093104747541</v>
      </c>
      <c r="L6" s="22">
        <v>3746.9563865256946</v>
      </c>
      <c r="M6" s="22">
        <v>3186.4576102138412</v>
      </c>
      <c r="N6" s="22">
        <v>2652.4390910505799</v>
      </c>
      <c r="O6" s="22">
        <v>2080.9068742601471</v>
      </c>
      <c r="P6" s="22">
        <v>1554.6117634318916</v>
      </c>
      <c r="Q6" s="22">
        <v>1000.7330514071864</v>
      </c>
      <c r="R6" s="22">
        <v>645.4562679969174</v>
      </c>
      <c r="S6" s="22">
        <v>432.51086676032753</v>
      </c>
      <c r="T6" s="22">
        <v>260.38919529448293</v>
      </c>
      <c r="U6" s="22">
        <v>191.98186432728826</v>
      </c>
      <c r="V6" s="42">
        <f>SUM(E6:U6)</f>
        <v>72677.27243240505</v>
      </c>
    </row>
    <row r="7" spans="1:22" x14ac:dyDescent="0.35">
      <c r="A7" s="1" t="s">
        <v>16</v>
      </c>
      <c r="B7" s="1" t="s">
        <v>14</v>
      </c>
      <c r="C7" s="1" t="s">
        <v>14</v>
      </c>
      <c r="D7" s="3" t="s">
        <v>247</v>
      </c>
      <c r="E7" s="22">
        <v>15124.640208037166</v>
      </c>
      <c r="F7" s="22">
        <v>12792.1708908654</v>
      </c>
      <c r="G7" s="22">
        <v>9067.2813852968666</v>
      </c>
      <c r="H7" s="22">
        <v>8717.5213221258873</v>
      </c>
      <c r="I7" s="22">
        <v>7283.174059910516</v>
      </c>
      <c r="J7" s="22">
        <v>5776.0060905365162</v>
      </c>
      <c r="K7" s="22">
        <v>4529.2273164570024</v>
      </c>
      <c r="L7" s="22">
        <v>3605.7283483998735</v>
      </c>
      <c r="M7" s="22">
        <v>2695.4695089170409</v>
      </c>
      <c r="N7" s="22">
        <v>2233.1683528645485</v>
      </c>
      <c r="O7" s="22">
        <v>2264.061986204571</v>
      </c>
      <c r="P7" s="22">
        <v>1960.6423730436277</v>
      </c>
      <c r="Q7" s="22">
        <v>1340.5630181474437</v>
      </c>
      <c r="R7" s="22">
        <v>934.53240853570765</v>
      </c>
      <c r="S7" s="22">
        <v>676.34990133694077</v>
      </c>
      <c r="T7" s="22">
        <v>415.96070604245784</v>
      </c>
      <c r="U7" s="22">
        <v>282.45607625164246</v>
      </c>
      <c r="V7" s="42">
        <f t="shared" si="0"/>
        <v>79698.953952973228</v>
      </c>
    </row>
    <row r="8" spans="1:22" x14ac:dyDescent="0.35">
      <c r="A8" s="1" t="s">
        <v>16</v>
      </c>
      <c r="B8" s="1" t="s">
        <v>14</v>
      </c>
      <c r="C8" s="1" t="s">
        <v>14</v>
      </c>
      <c r="D8" s="3" t="s">
        <v>246</v>
      </c>
      <c r="E8" s="22">
        <v>29601.617459981699</v>
      </c>
      <c r="F8" s="22">
        <v>25056.943326854689</v>
      </c>
      <c r="G8" s="22">
        <v>16459.686505945323</v>
      </c>
      <c r="H8" s="22">
        <v>15838.503807001282</v>
      </c>
      <c r="I8" s="22">
        <v>13460.797383867337</v>
      </c>
      <c r="J8" s="22">
        <v>10876.765623783951</v>
      </c>
      <c r="K8" s="22">
        <v>8920.5366269317547</v>
      </c>
      <c r="L8" s="22">
        <v>7351.58139087771</v>
      </c>
      <c r="M8" s="22">
        <v>5881.9271191308826</v>
      </c>
      <c r="N8" s="22">
        <v>4884.5040998672703</v>
      </c>
      <c r="O8" s="22">
        <v>4344.9688604647181</v>
      </c>
      <c r="P8" s="22">
        <v>3514.1507924276607</v>
      </c>
      <c r="Q8" s="22">
        <v>2341.2960695546299</v>
      </c>
      <c r="R8" s="22">
        <v>1579.988676532625</v>
      </c>
      <c r="S8" s="22">
        <v>1108.8607680972682</v>
      </c>
      <c r="T8" s="22">
        <v>676.34990133694077</v>
      </c>
      <c r="U8" s="22">
        <v>474.43794057893069</v>
      </c>
      <c r="V8" s="42">
        <f>SUM(E8:U8)</f>
        <v>152372.91635323473</v>
      </c>
    </row>
    <row r="9" spans="1:22" x14ac:dyDescent="0.35">
      <c r="A9" s="1" t="s">
        <v>20</v>
      </c>
      <c r="B9" s="1" t="s">
        <v>19</v>
      </c>
      <c r="C9" s="1" t="s">
        <v>19</v>
      </c>
      <c r="D9" s="3" t="s">
        <v>248</v>
      </c>
      <c r="E9" s="22">
        <v>89750.115594346425</v>
      </c>
      <c r="F9" s="22">
        <v>72879.146050389827</v>
      </c>
      <c r="G9" s="22">
        <v>62576.280730824918</v>
      </c>
      <c r="H9" s="22">
        <v>55671.661843500311</v>
      </c>
      <c r="I9" s="22">
        <v>40051.864849595797</v>
      </c>
      <c r="J9" s="22">
        <v>30372.37915152952</v>
      </c>
      <c r="K9" s="22">
        <v>27009.439175728086</v>
      </c>
      <c r="L9" s="22">
        <v>22809.074186267429</v>
      </c>
      <c r="M9" s="22">
        <v>17738.184380236125</v>
      </c>
      <c r="N9" s="22">
        <v>14004.526611826657</v>
      </c>
      <c r="O9" s="22">
        <v>10727.646123594941</v>
      </c>
      <c r="P9" s="22">
        <v>8055.3887018787063</v>
      </c>
      <c r="Q9" s="22">
        <v>5731.7825374962167</v>
      </c>
      <c r="R9" s="22">
        <v>4022.7293805026384</v>
      </c>
      <c r="S9" s="22">
        <v>2775.9701375053869</v>
      </c>
      <c r="T9" s="22">
        <v>1731.1196922678662</v>
      </c>
      <c r="U9" s="22">
        <v>1527.0042409807054</v>
      </c>
      <c r="V9" s="42">
        <f>SUM(E9:U9)</f>
        <v>467434.31338847167</v>
      </c>
    </row>
    <row r="10" spans="1:22" x14ac:dyDescent="0.35">
      <c r="A10" s="1" t="s">
        <v>20</v>
      </c>
      <c r="B10" s="1" t="s">
        <v>19</v>
      </c>
      <c r="C10" s="1" t="s">
        <v>19</v>
      </c>
      <c r="D10" s="3" t="s">
        <v>247</v>
      </c>
      <c r="E10" s="22">
        <v>93764.01836073937</v>
      </c>
      <c r="F10" s="22">
        <v>76017.007366393547</v>
      </c>
      <c r="G10" s="22">
        <v>63771.183615927592</v>
      </c>
      <c r="H10" s="22">
        <v>56389.927566678372</v>
      </c>
      <c r="I10" s="22">
        <v>39512.338062139468</v>
      </c>
      <c r="J10" s="22">
        <v>28121.592553552175</v>
      </c>
      <c r="K10" s="22">
        <v>20682.963512589817</v>
      </c>
      <c r="L10" s="22">
        <v>16482.59852312916</v>
      </c>
      <c r="M10" s="22">
        <v>15017.380580916461</v>
      </c>
      <c r="N10" s="22">
        <v>13281.847581593736</v>
      </c>
      <c r="O10" s="22">
        <v>11341.095804220138</v>
      </c>
      <c r="P10" s="22">
        <v>9374.9675112811092</v>
      </c>
      <c r="Q10" s="22">
        <v>7281.9566405149244</v>
      </c>
      <c r="R10" s="22">
        <v>5490.1539762427683</v>
      </c>
      <c r="S10" s="22">
        <v>3838.4738109623372</v>
      </c>
      <c r="T10" s="22">
        <v>2421.8022463530697</v>
      </c>
      <c r="U10" s="22">
        <v>2185.6903189181917</v>
      </c>
      <c r="V10" s="42">
        <f t="shared" si="0"/>
        <v>464974.99803215225</v>
      </c>
    </row>
    <row r="11" spans="1:22" x14ac:dyDescent="0.35">
      <c r="A11" s="1" t="s">
        <v>20</v>
      </c>
      <c r="B11" s="1" t="s">
        <v>19</v>
      </c>
      <c r="C11" s="1" t="s">
        <v>19</v>
      </c>
      <c r="D11" s="3" t="s">
        <v>246</v>
      </c>
      <c r="E11" s="22">
        <v>183514.1339550858</v>
      </c>
      <c r="F11" s="22">
        <v>148896.15341678335</v>
      </c>
      <c r="G11" s="22">
        <v>126347.46434675252</v>
      </c>
      <c r="H11" s="22">
        <v>112060.48608341499</v>
      </c>
      <c r="I11" s="22">
        <v>79564.202911735265</v>
      </c>
      <c r="J11" s="22">
        <v>58495.075031845416</v>
      </c>
      <c r="K11" s="22">
        <v>47692.402688317896</v>
      </c>
      <c r="L11" s="22">
        <v>39291.672709396589</v>
      </c>
      <c r="M11" s="22">
        <v>32755.564961152591</v>
      </c>
      <c r="N11" s="22">
        <v>27286.374193420394</v>
      </c>
      <c r="O11" s="22">
        <v>22068.741927815081</v>
      </c>
      <c r="P11" s="22">
        <v>17430.356213159816</v>
      </c>
      <c r="Q11" s="22">
        <v>13013.739178011139</v>
      </c>
      <c r="R11" s="22">
        <v>9512.8833567454058</v>
      </c>
      <c r="S11" s="22">
        <v>6614.4439484677241</v>
      </c>
      <c r="T11" s="22">
        <v>4152.9219386209361</v>
      </c>
      <c r="U11" s="22">
        <v>3712.6945598988973</v>
      </c>
      <c r="V11" s="42">
        <f>SUM(E11:U11)</f>
        <v>932409.31142062391</v>
      </c>
    </row>
    <row r="12" spans="1:22" x14ac:dyDescent="0.35">
      <c r="A12" s="1" t="s">
        <v>27</v>
      </c>
      <c r="B12" s="1" t="s">
        <v>188</v>
      </c>
      <c r="C12" s="1" t="s">
        <v>26</v>
      </c>
      <c r="D12" s="3" t="s">
        <v>248</v>
      </c>
      <c r="E12" s="22">
        <v>41956.256490912252</v>
      </c>
      <c r="F12" s="22">
        <v>35944.221841347971</v>
      </c>
      <c r="G12" s="22">
        <v>137751.61277899612</v>
      </c>
      <c r="H12" s="22">
        <v>52234.860784423145</v>
      </c>
      <c r="I12" s="22">
        <v>14679.779961910945</v>
      </c>
      <c r="J12" s="22">
        <v>15239.167293041261</v>
      </c>
      <c r="K12" s="22">
        <v>12776.539042384722</v>
      </c>
      <c r="L12" s="22">
        <v>10897.571340382894</v>
      </c>
      <c r="M12" s="22">
        <v>9271.2657662486054</v>
      </c>
      <c r="N12" s="22">
        <v>7713.3665324103285</v>
      </c>
      <c r="O12" s="22">
        <v>6052.8577881280307</v>
      </c>
      <c r="P12" s="22">
        <v>4521.4384279527285</v>
      </c>
      <c r="Q12" s="22">
        <v>2912.7861029270871</v>
      </c>
      <c r="R12" s="22">
        <v>1876.7610458632482</v>
      </c>
      <c r="S12" s="22">
        <v>1255.5873428526613</v>
      </c>
      <c r="T12" s="22">
        <v>756.88305553332634</v>
      </c>
      <c r="U12" s="22">
        <v>1999.2304615545006</v>
      </c>
      <c r="V12" s="42">
        <f>SUM(E12:U12)</f>
        <v>357840.18605686986</v>
      </c>
    </row>
    <row r="13" spans="1:22" x14ac:dyDescent="0.35">
      <c r="A13" s="1" t="s">
        <v>27</v>
      </c>
      <c r="B13" s="1" t="s">
        <v>188</v>
      </c>
      <c r="C13" s="1" t="s">
        <v>26</v>
      </c>
      <c r="D13" s="3" t="s">
        <v>247</v>
      </c>
      <c r="E13" s="22">
        <v>43833.017536775493</v>
      </c>
      <c r="F13" s="22">
        <v>37492.191122562632</v>
      </c>
      <c r="G13" s="22">
        <v>125939.38246917135</v>
      </c>
      <c r="H13" s="22">
        <v>50114.264235246679</v>
      </c>
      <c r="I13" s="22">
        <v>15876.890917091207</v>
      </c>
      <c r="J13" s="22">
        <v>15221.514043932613</v>
      </c>
      <c r="K13" s="22">
        <v>11663.281020470546</v>
      </c>
      <c r="L13" s="22">
        <v>9283.402375010799</v>
      </c>
      <c r="M13" s="22">
        <v>6942.1402119762242</v>
      </c>
      <c r="N13" s="22">
        <v>5748.339241003835</v>
      </c>
      <c r="O13" s="22">
        <v>5829.985518131336</v>
      </c>
      <c r="P13" s="22">
        <v>5046.6225889350362</v>
      </c>
      <c r="Q13" s="22">
        <v>3450.1068726715912</v>
      </c>
      <c r="R13" s="22">
        <v>2406.3585191227189</v>
      </c>
      <c r="S13" s="22">
        <v>1743.2583494790899</v>
      </c>
      <c r="T13" s="22">
        <v>1072.4348833504275</v>
      </c>
      <c r="U13" s="22">
        <v>2015.7803825938593</v>
      </c>
      <c r="V13" s="42">
        <f t="shared" si="0"/>
        <v>343678.9702875255</v>
      </c>
    </row>
    <row r="14" spans="1:22" x14ac:dyDescent="0.35">
      <c r="A14" s="1" t="s">
        <v>27</v>
      </c>
      <c r="B14" s="1" t="s">
        <v>188</v>
      </c>
      <c r="C14" s="1" t="s">
        <v>26</v>
      </c>
      <c r="D14" s="3" t="s">
        <v>246</v>
      </c>
      <c r="E14" s="22">
        <v>85789.274027687759</v>
      </c>
      <c r="F14" s="22">
        <v>73436.41296391061</v>
      </c>
      <c r="G14" s="22">
        <v>263690.99524816748</v>
      </c>
      <c r="H14" s="22">
        <v>102349.12501966982</v>
      </c>
      <c r="I14" s="22">
        <v>30556.670879002151</v>
      </c>
      <c r="J14" s="22">
        <v>30461.784665043164</v>
      </c>
      <c r="K14" s="22">
        <v>24439.820062855269</v>
      </c>
      <c r="L14" s="22">
        <v>20180.973715393691</v>
      </c>
      <c r="M14" s="22">
        <v>16212.302650155538</v>
      </c>
      <c r="N14" s="22">
        <v>13460.602445344872</v>
      </c>
      <c r="O14" s="22">
        <v>11883.946634328659</v>
      </c>
      <c r="P14" s="22">
        <v>9569.1643449570547</v>
      </c>
      <c r="Q14" s="22">
        <v>6362.8929755986792</v>
      </c>
      <c r="R14" s="22">
        <v>4283.1195649859674</v>
      </c>
      <c r="S14" s="22">
        <v>2998.8456923317508</v>
      </c>
      <c r="T14" s="22">
        <v>1829.3179388837539</v>
      </c>
      <c r="U14" s="22">
        <v>4015.0108441483599</v>
      </c>
      <c r="V14" s="42">
        <f>SUM(E14:U14)</f>
        <v>701520.2596724648</v>
      </c>
    </row>
    <row r="15" spans="1:22" x14ac:dyDescent="0.35">
      <c r="A15" s="1" t="s">
        <v>36</v>
      </c>
      <c r="B15" s="1" t="s">
        <v>206</v>
      </c>
      <c r="C15" s="1" t="s">
        <v>206</v>
      </c>
      <c r="D15" s="3" t="s">
        <v>248</v>
      </c>
      <c r="E15" s="22">
        <v>86188.888437220201</v>
      </c>
      <c r="F15" s="22">
        <v>70456.495229258755</v>
      </c>
      <c r="G15" s="22">
        <v>60150.282664873615</v>
      </c>
      <c r="H15" s="22">
        <v>54629.215576533694</v>
      </c>
      <c r="I15" s="22">
        <v>38923.302306645848</v>
      </c>
      <c r="J15" s="22">
        <v>29089.315304572759</v>
      </c>
      <c r="K15" s="22">
        <v>26095.978971505974</v>
      </c>
      <c r="L15" s="22">
        <v>22132.814906494579</v>
      </c>
      <c r="M15" s="22">
        <v>17272.642939240905</v>
      </c>
      <c r="N15" s="22">
        <v>13640.478100149176</v>
      </c>
      <c r="O15" s="22">
        <v>10341.519148483236</v>
      </c>
      <c r="P15" s="22">
        <v>7728.8319252240535</v>
      </c>
      <c r="Q15" s="22">
        <v>5515.5504345745967</v>
      </c>
      <c r="R15" s="22">
        <v>3907.9975273581153</v>
      </c>
      <c r="S15" s="22">
        <v>2758.3268826638314</v>
      </c>
      <c r="T15" s="22">
        <v>1771.9491894232451</v>
      </c>
      <c r="U15" s="22">
        <v>1686.9927214371992</v>
      </c>
      <c r="V15" s="42">
        <f>SUM(E15:U15)</f>
        <v>452290.58226565976</v>
      </c>
    </row>
    <row r="16" spans="1:22" x14ac:dyDescent="0.35">
      <c r="A16" s="1" t="s">
        <v>36</v>
      </c>
      <c r="B16" s="1" t="s">
        <v>206</v>
      </c>
      <c r="C16" s="1" t="s">
        <v>206</v>
      </c>
      <c r="D16" s="3" t="s">
        <v>247</v>
      </c>
      <c r="E16" s="22">
        <v>90042.822757678077</v>
      </c>
      <c r="F16" s="22">
        <v>73490.65480018899</v>
      </c>
      <c r="G16" s="22">
        <v>61976.295061197081</v>
      </c>
      <c r="H16" s="22">
        <v>56493.844549214446</v>
      </c>
      <c r="I16" s="22">
        <v>40024.426398205243</v>
      </c>
      <c r="J16" s="22">
        <v>28217.684009650991</v>
      </c>
      <c r="K16" s="22">
        <v>19904.086785302199</v>
      </c>
      <c r="L16" s="22">
        <v>15572.410248766926</v>
      </c>
      <c r="M16" s="22">
        <v>14718.432245894202</v>
      </c>
      <c r="N16" s="22">
        <v>13222.31574473734</v>
      </c>
      <c r="O16" s="22">
        <v>11308.036888168641</v>
      </c>
      <c r="P16" s="22">
        <v>9303.2849098485694</v>
      </c>
      <c r="Q16" s="22">
        <v>7013.873597237588</v>
      </c>
      <c r="R16" s="22">
        <v>5234.2010925428849</v>
      </c>
      <c r="S16" s="22">
        <v>3793.2511290393004</v>
      </c>
      <c r="T16" s="22">
        <v>2427.3276567441712</v>
      </c>
      <c r="U16" s="22">
        <v>2149.2883069716568</v>
      </c>
      <c r="V16" s="42">
        <f t="shared" si="0"/>
        <v>454892.23618138838</v>
      </c>
    </row>
    <row r="17" spans="1:22" x14ac:dyDescent="0.35">
      <c r="A17" s="1" t="s">
        <v>36</v>
      </c>
      <c r="B17" s="1" t="s">
        <v>206</v>
      </c>
      <c r="C17" s="1" t="s">
        <v>206</v>
      </c>
      <c r="D17" s="3" t="s">
        <v>246</v>
      </c>
      <c r="E17" s="22">
        <v>176231.71119489826</v>
      </c>
      <c r="F17" s="22">
        <v>143946.04669869467</v>
      </c>
      <c r="G17" s="22">
        <v>122126.57772607071</v>
      </c>
      <c r="H17" s="22">
        <v>111121.95679499509</v>
      </c>
      <c r="I17" s="22">
        <v>78947.728704851106</v>
      </c>
      <c r="J17" s="22">
        <v>57306.999314223736</v>
      </c>
      <c r="K17" s="22">
        <v>46000.065756808166</v>
      </c>
      <c r="L17" s="22">
        <v>37705.225155261505</v>
      </c>
      <c r="M17" s="22">
        <v>31991.075185135105</v>
      </c>
      <c r="N17" s="22">
        <v>26862.793844886513</v>
      </c>
      <c r="O17" s="22">
        <v>21649.55603665188</v>
      </c>
      <c r="P17" s="22">
        <v>17032.116835072622</v>
      </c>
      <c r="Q17" s="22">
        <v>12529.424031812185</v>
      </c>
      <c r="R17" s="22">
        <v>9143.3019506540677</v>
      </c>
      <c r="S17" s="22">
        <v>6551.5780117031309</v>
      </c>
      <c r="T17" s="22">
        <v>4199.2768461674159</v>
      </c>
      <c r="U17" s="22">
        <v>3836.2810284088559</v>
      </c>
      <c r="V17" s="42">
        <f>SUM(E17:U17)</f>
        <v>907181.71511629492</v>
      </c>
    </row>
    <row r="18" spans="1:22" x14ac:dyDescent="0.35">
      <c r="A18" s="1" t="s">
        <v>44</v>
      </c>
      <c r="B18" s="1" t="s">
        <v>42</v>
      </c>
      <c r="C18" s="1" t="s">
        <v>42</v>
      </c>
      <c r="D18" s="3" t="s">
        <v>248</v>
      </c>
      <c r="E18" s="22">
        <v>54494.476670330208</v>
      </c>
      <c r="F18" s="22">
        <v>45066.538318242339</v>
      </c>
      <c r="G18" s="22">
        <v>30447.441400142376</v>
      </c>
      <c r="H18" s="22">
        <v>29102.484483677184</v>
      </c>
      <c r="I18" s="22">
        <v>24368.103738351376</v>
      </c>
      <c r="J18" s="22">
        <v>19557.593356244524</v>
      </c>
      <c r="K18" s="22">
        <v>15720.218331251945</v>
      </c>
      <c r="L18" s="22">
        <v>13096.504182478986</v>
      </c>
      <c r="M18" s="22">
        <v>11765.890530914565</v>
      </c>
      <c r="N18" s="22">
        <v>10020.425525296892</v>
      </c>
      <c r="O18" s="22">
        <v>7631.7202552828248</v>
      </c>
      <c r="P18" s="22">
        <v>5726.2726796180232</v>
      </c>
      <c r="Q18" s="22">
        <v>4072.3839037514686</v>
      </c>
      <c r="R18" s="22">
        <v>2833.3464819381666</v>
      </c>
      <c r="S18" s="22">
        <v>1906.550903734093</v>
      </c>
      <c r="T18" s="22">
        <v>1160.7011288936724</v>
      </c>
      <c r="U18" s="22">
        <v>925.69225013478251</v>
      </c>
      <c r="V18" s="42">
        <f>SUM(E18:U18)</f>
        <v>277896.34414028336</v>
      </c>
    </row>
    <row r="19" spans="1:22" x14ac:dyDescent="0.35">
      <c r="A19" s="1" t="s">
        <v>44</v>
      </c>
      <c r="B19" s="1" t="s">
        <v>42</v>
      </c>
      <c r="C19" s="1" t="s">
        <v>42</v>
      </c>
      <c r="D19" s="3" t="s">
        <v>247</v>
      </c>
      <c r="E19" s="22">
        <v>56931.728375393068</v>
      </c>
      <c r="F19" s="22">
        <v>47008.395720193737</v>
      </c>
      <c r="G19" s="22">
        <v>32884.693105205231</v>
      </c>
      <c r="H19" s="22">
        <v>31622.48579393683</v>
      </c>
      <c r="I19" s="22">
        <v>25335.722455119201</v>
      </c>
      <c r="J19" s="22">
        <v>18530.394923735006</v>
      </c>
      <c r="K19" s="22">
        <v>11228.569761170062</v>
      </c>
      <c r="L19" s="22">
        <v>7836.9392761708705</v>
      </c>
      <c r="M19" s="22">
        <v>7423.1912501869101</v>
      </c>
      <c r="N19" s="22">
        <v>6910.1436979667969</v>
      </c>
      <c r="O19" s="22">
        <v>6693.8913963858458</v>
      </c>
      <c r="P19" s="22">
        <v>5881.8419373879924</v>
      </c>
      <c r="Q19" s="22">
        <v>4450.8254315181312</v>
      </c>
      <c r="R19" s="22">
        <v>3399.3537814842252</v>
      </c>
      <c r="S19" s="22">
        <v>2668.9505996138728</v>
      </c>
      <c r="T19" s="22">
        <v>1744.3616775483804</v>
      </c>
      <c r="U19" s="22">
        <v>1305.2371059707364</v>
      </c>
      <c r="V19" s="42">
        <f t="shared" si="0"/>
        <v>271856.72628898692</v>
      </c>
    </row>
    <row r="20" spans="1:22" x14ac:dyDescent="0.35">
      <c r="A20" s="1" t="s">
        <v>44</v>
      </c>
      <c r="B20" s="1" t="s">
        <v>42</v>
      </c>
      <c r="C20" s="1" t="s">
        <v>42</v>
      </c>
      <c r="D20" s="3" t="s">
        <v>246</v>
      </c>
      <c r="E20" s="22">
        <v>111426.20504572328</v>
      </c>
      <c r="F20" s="22">
        <v>92074.934038436098</v>
      </c>
      <c r="G20" s="22">
        <v>63332.134505347618</v>
      </c>
      <c r="H20" s="22">
        <v>60723.866949544732</v>
      </c>
      <c r="I20" s="22">
        <v>49703.826193470581</v>
      </c>
      <c r="J20" s="22">
        <v>38087.988279979523</v>
      </c>
      <c r="K20" s="22">
        <v>26948.788092422001</v>
      </c>
      <c r="L20" s="22">
        <v>20933.443458649854</v>
      </c>
      <c r="M20" s="22">
        <v>19187.978453032185</v>
      </c>
      <c r="N20" s="22">
        <v>16930.569223263694</v>
      </c>
      <c r="O20" s="22">
        <v>14325.611651668672</v>
      </c>
      <c r="P20" s="22">
        <v>11608.114617006013</v>
      </c>
      <c r="Q20" s="22">
        <v>8523.2093352696011</v>
      </c>
      <c r="R20" s="22">
        <v>6233.8035914916809</v>
      </c>
      <c r="S20" s="22">
        <v>4575.5015033479667</v>
      </c>
      <c r="T20" s="22">
        <v>2905.0628064420534</v>
      </c>
      <c r="U20" s="22">
        <v>2232.0326841748092</v>
      </c>
      <c r="V20" s="42">
        <f>SUM(E20:U20)</f>
        <v>549753.0704292705</v>
      </c>
    </row>
    <row r="21" spans="1:22" x14ac:dyDescent="0.35">
      <c r="A21" s="1" t="s">
        <v>53</v>
      </c>
      <c r="B21" s="1" t="s">
        <v>52</v>
      </c>
      <c r="C21" s="1" t="s">
        <v>52</v>
      </c>
      <c r="D21" s="3" t="s">
        <v>248</v>
      </c>
      <c r="E21" s="22">
        <v>67948.459147259346</v>
      </c>
      <c r="F21" s="22">
        <v>55790.887151746632</v>
      </c>
      <c r="G21" s="22">
        <v>43838.534177121954</v>
      </c>
      <c r="H21" s="22">
        <v>40162.245050245801</v>
      </c>
      <c r="I21" s="22">
        <v>29924.463895298657</v>
      </c>
      <c r="J21" s="22">
        <v>23004.390244708247</v>
      </c>
      <c r="K21" s="22">
        <v>20584.791788754039</v>
      </c>
      <c r="L21" s="22">
        <v>17509.816459641239</v>
      </c>
      <c r="M21" s="22">
        <v>13882.073767813867</v>
      </c>
      <c r="N21" s="22">
        <v>11026.66072448989</v>
      </c>
      <c r="O21" s="22">
        <v>8260.6172547784481</v>
      </c>
      <c r="P21" s="22">
        <v>6095.8875828303617</v>
      </c>
      <c r="Q21" s="22">
        <v>4336.0793123119138</v>
      </c>
      <c r="R21" s="22">
        <v>2981.1924432231026</v>
      </c>
      <c r="S21" s="22">
        <v>1895.5176230411878</v>
      </c>
      <c r="T21" s="22">
        <v>1118.7746622606312</v>
      </c>
      <c r="U21" s="22">
        <v>977.54866939143915</v>
      </c>
      <c r="V21" s="42">
        <f>SUM(E21:U21)</f>
        <v>349337.93995491671</v>
      </c>
    </row>
    <row r="22" spans="1:22" x14ac:dyDescent="0.35">
      <c r="A22" s="1" t="s">
        <v>53</v>
      </c>
      <c r="B22" s="1" t="s">
        <v>52</v>
      </c>
      <c r="C22" s="1" t="s">
        <v>52</v>
      </c>
      <c r="D22" s="3" t="s">
        <v>247</v>
      </c>
      <c r="E22" s="22">
        <v>70987.024650085557</v>
      </c>
      <c r="F22" s="22">
        <v>58193.935686661469</v>
      </c>
      <c r="G22" s="22">
        <v>47385.733919891114</v>
      </c>
      <c r="H22" s="22">
        <v>43479.952554602518</v>
      </c>
      <c r="I22" s="22">
        <v>31144.74473993402</v>
      </c>
      <c r="J22" s="22">
        <v>21918.71542452633</v>
      </c>
      <c r="K22" s="22">
        <v>14969.955244134362</v>
      </c>
      <c r="L22" s="22">
        <v>11611.424601213888</v>
      </c>
      <c r="M22" s="22">
        <v>11365.382441762093</v>
      </c>
      <c r="N22" s="22">
        <v>10502.57989157687</v>
      </c>
      <c r="O22" s="22">
        <v>9455.5215538201282</v>
      </c>
      <c r="P22" s="22">
        <v>7920.7922094369542</v>
      </c>
      <c r="Q22" s="22">
        <v>5797.9890041219105</v>
      </c>
      <c r="R22" s="22">
        <v>4221.3331931056955</v>
      </c>
      <c r="S22" s="22">
        <v>3012.0856291632381</v>
      </c>
      <c r="T22" s="22">
        <v>1873.4510616553766</v>
      </c>
      <c r="U22" s="22">
        <v>1472.9429725029022</v>
      </c>
      <c r="V22" s="42">
        <f t="shared" si="0"/>
        <v>355313.56477819441</v>
      </c>
    </row>
    <row r="23" spans="1:22" x14ac:dyDescent="0.35">
      <c r="A23" s="1" t="s">
        <v>53</v>
      </c>
      <c r="B23" s="1" t="s">
        <v>52</v>
      </c>
      <c r="C23" s="1" t="s">
        <v>52</v>
      </c>
      <c r="D23" s="3" t="s">
        <v>246</v>
      </c>
      <c r="E23" s="22">
        <v>138935.48379734487</v>
      </c>
      <c r="F23" s="22">
        <v>113984.82283840812</v>
      </c>
      <c r="G23" s="22">
        <v>91224.268097013075</v>
      </c>
      <c r="H23" s="22">
        <v>83642.197604848334</v>
      </c>
      <c r="I23" s="22">
        <v>61069.208635232681</v>
      </c>
      <c r="J23" s="22">
        <v>44923.105669234581</v>
      </c>
      <c r="K23" s="22">
        <v>35554.747032888408</v>
      </c>
      <c r="L23" s="22">
        <v>29121.241060855129</v>
      </c>
      <c r="M23" s="22">
        <v>25247.456209575961</v>
      </c>
      <c r="N23" s="22">
        <v>21529.24061606676</v>
      </c>
      <c r="O23" s="22">
        <v>17717.242136667868</v>
      </c>
      <c r="P23" s="22">
        <v>14017.783120336608</v>
      </c>
      <c r="Q23" s="22">
        <v>10134.068316433826</v>
      </c>
      <c r="R23" s="22">
        <v>7202.5256363287981</v>
      </c>
      <c r="S23" s="22">
        <v>4907.6032522044261</v>
      </c>
      <c r="T23" s="22">
        <v>2992.2257239160076</v>
      </c>
      <c r="U23" s="22">
        <v>2450.4916418943417</v>
      </c>
      <c r="V23" s="42">
        <f>SUM(E23:U23)</f>
        <v>704653.71138924977</v>
      </c>
    </row>
    <row r="24" spans="1:22" x14ac:dyDescent="0.35">
      <c r="A24" s="1" t="s">
        <v>59</v>
      </c>
      <c r="B24" s="1" t="s">
        <v>58</v>
      </c>
      <c r="C24" s="1" t="s">
        <v>58</v>
      </c>
      <c r="D24" s="3" t="s">
        <v>248</v>
      </c>
      <c r="E24" s="22">
        <v>111259.49475426371</v>
      </c>
      <c r="F24" s="22">
        <v>91172.323378855886</v>
      </c>
      <c r="G24" s="22">
        <v>76802.592521264334</v>
      </c>
      <c r="H24" s="22">
        <v>65215.452359530129</v>
      </c>
      <c r="I24" s="22">
        <v>48521.011511386903</v>
      </c>
      <c r="J24" s="22">
        <v>38431.086089652053</v>
      </c>
      <c r="K24" s="22">
        <v>34371.946053942651</v>
      </c>
      <c r="L24" s="22">
        <v>28868.550974269237</v>
      </c>
      <c r="M24" s="22">
        <v>21390.200563277573</v>
      </c>
      <c r="N24" s="22">
        <v>16551.008338047497</v>
      </c>
      <c r="O24" s="22">
        <v>13221.167449824889</v>
      </c>
      <c r="P24" s="22">
        <v>10212.394718816589</v>
      </c>
      <c r="Q24" s="22">
        <v>7479.4537379923995</v>
      </c>
      <c r="R24" s="22">
        <v>5258.4564855099243</v>
      </c>
      <c r="S24" s="22">
        <v>3390.5238732631137</v>
      </c>
      <c r="T24" s="22">
        <v>1979.3686393211929</v>
      </c>
      <c r="U24" s="22">
        <v>1407.8452529397116</v>
      </c>
      <c r="V24" s="42">
        <f>SUM(E24:U24)</f>
        <v>575532.8767021579</v>
      </c>
    </row>
    <row r="25" spans="1:22" x14ac:dyDescent="0.35">
      <c r="A25" s="1" t="s">
        <v>59</v>
      </c>
      <c r="B25" s="1" t="s">
        <v>58</v>
      </c>
      <c r="C25" s="1" t="s">
        <v>58</v>
      </c>
      <c r="D25" s="3" t="s">
        <v>247</v>
      </c>
      <c r="E25" s="22">
        <v>116235.4995275851</v>
      </c>
      <c r="F25" s="22">
        <v>95099.064174476909</v>
      </c>
      <c r="G25" s="22">
        <v>76063.363430770914</v>
      </c>
      <c r="H25" s="22">
        <v>64017.239236730347</v>
      </c>
      <c r="I25" s="22">
        <v>48229.733183192468</v>
      </c>
      <c r="J25" s="22">
        <v>37461.26165600471</v>
      </c>
      <c r="K25" s="22">
        <v>29843.892042920255</v>
      </c>
      <c r="L25" s="22">
        <v>23920.129375966251</v>
      </c>
      <c r="M25" s="22">
        <v>18572.303403396676</v>
      </c>
      <c r="N25" s="22">
        <v>14790.098444872125</v>
      </c>
      <c r="O25" s="22">
        <v>11944.618109972816</v>
      </c>
      <c r="P25" s="22">
        <v>9424.6192402907636</v>
      </c>
      <c r="Q25" s="22">
        <v>7265.4082998495287</v>
      </c>
      <c r="R25" s="22">
        <v>5177.9136144561635</v>
      </c>
      <c r="S25" s="22">
        <v>2906.1633199398111</v>
      </c>
      <c r="T25" s="22">
        <v>1541.3478200288221</v>
      </c>
      <c r="U25" s="22">
        <v>1205.9364118049407</v>
      </c>
      <c r="V25" s="42">
        <f t="shared" si="0"/>
        <v>563698.59129225858</v>
      </c>
    </row>
    <row r="26" spans="1:22" x14ac:dyDescent="0.35">
      <c r="A26" s="1" t="s">
        <v>59</v>
      </c>
      <c r="B26" s="1" t="s">
        <v>58</v>
      </c>
      <c r="C26" s="1" t="s">
        <v>58</v>
      </c>
      <c r="D26" s="3" t="s">
        <v>246</v>
      </c>
      <c r="E26" s="22">
        <v>227494.99428184878</v>
      </c>
      <c r="F26" s="22">
        <v>186271.38755333275</v>
      </c>
      <c r="G26" s="22">
        <v>152865.95595203526</v>
      </c>
      <c r="H26" s="22">
        <v>129232.69159626048</v>
      </c>
      <c r="I26" s="22">
        <v>96751.848021580096</v>
      </c>
      <c r="J26" s="22">
        <v>75892.347745656778</v>
      </c>
      <c r="K26" s="22">
        <v>64215.838096862914</v>
      </c>
      <c r="L26" s="22">
        <v>52788.680350235489</v>
      </c>
      <c r="M26" s="22">
        <v>39961.400639673513</v>
      </c>
      <c r="N26" s="22">
        <v>31341.106782919625</v>
      </c>
      <c r="O26" s="22">
        <v>25165.78555979771</v>
      </c>
      <c r="P26" s="22">
        <v>19637.013959107353</v>
      </c>
      <c r="Q26" s="22">
        <v>14744.862037841927</v>
      </c>
      <c r="R26" s="22">
        <v>10437.473426966824</v>
      </c>
      <c r="S26" s="22">
        <v>6296.6871932029253</v>
      </c>
      <c r="T26" s="22">
        <v>3520.7164593500152</v>
      </c>
      <c r="U26" s="22">
        <v>2613.7816647446516</v>
      </c>
      <c r="V26" s="42">
        <f>SUM(E26:U26)</f>
        <v>1139232.5713214173</v>
      </c>
    </row>
    <row r="27" spans="1:22" x14ac:dyDescent="0.35">
      <c r="A27" s="1" t="s">
        <v>69</v>
      </c>
      <c r="B27" s="1" t="s">
        <v>68</v>
      </c>
      <c r="C27" s="1" t="s">
        <v>68</v>
      </c>
      <c r="D27" s="3" t="s">
        <v>248</v>
      </c>
      <c r="E27" s="22">
        <v>123284.77513445829</v>
      </c>
      <c r="F27" s="22">
        <v>101850.42073235053</v>
      </c>
      <c r="G27" s="22">
        <v>89915.721006834487</v>
      </c>
      <c r="H27" s="22">
        <v>76402.15881416366</v>
      </c>
      <c r="I27" s="22">
        <v>53057.943524113914</v>
      </c>
      <c r="J27" s="22">
        <v>40493.243471032976</v>
      </c>
      <c r="K27" s="22">
        <v>38366.026953440771</v>
      </c>
      <c r="L27" s="22">
        <v>33172.661731290085</v>
      </c>
      <c r="M27" s="22">
        <v>25204.426414873637</v>
      </c>
      <c r="N27" s="22">
        <v>19491.393672087095</v>
      </c>
      <c r="O27" s="22">
        <v>14453.597707706384</v>
      </c>
      <c r="P27" s="22">
        <v>10616.222682713804</v>
      </c>
      <c r="Q27" s="22">
        <v>7639.4435517678621</v>
      </c>
      <c r="R27" s="22">
        <v>5333.4878869505847</v>
      </c>
      <c r="S27" s="22">
        <v>3547.1997427691622</v>
      </c>
      <c r="T27" s="22">
        <v>2119.4932211071728</v>
      </c>
      <c r="U27" s="22">
        <v>1567.8291864618911</v>
      </c>
      <c r="V27" s="42">
        <f>SUM(E27:U27)</f>
        <v>646516.04543412221</v>
      </c>
    </row>
    <row r="28" spans="1:22" x14ac:dyDescent="0.35">
      <c r="A28" s="1" t="s">
        <v>69</v>
      </c>
      <c r="B28" s="1" t="s">
        <v>68</v>
      </c>
      <c r="C28" s="1" t="s">
        <v>68</v>
      </c>
      <c r="D28" s="3" t="s">
        <v>247</v>
      </c>
      <c r="E28" s="22">
        <v>128798.10549670324</v>
      </c>
      <c r="F28" s="22">
        <v>106237.25313584979</v>
      </c>
      <c r="G28" s="22">
        <v>89751.3251245102</v>
      </c>
      <c r="H28" s="22">
        <v>76032.543910951325</v>
      </c>
      <c r="I28" s="22">
        <v>53995.772383010903</v>
      </c>
      <c r="J28" s="22">
        <v>39897.44631361607</v>
      </c>
      <c r="K28" s="22">
        <v>30791.679757761056</v>
      </c>
      <c r="L28" s="22">
        <v>24829.294871314843</v>
      </c>
      <c r="M28" s="22">
        <v>21458.627619632174</v>
      </c>
      <c r="N28" s="22">
        <v>18026.173996069232</v>
      </c>
      <c r="O28" s="22">
        <v>14280.375200827766</v>
      </c>
      <c r="P28" s="22">
        <v>11004.594163104082</v>
      </c>
      <c r="Q28" s="22">
        <v>7940.6521146841878</v>
      </c>
      <c r="R28" s="22">
        <v>5439.4073816024793</v>
      </c>
      <c r="S28" s="22">
        <v>3108.0751711915182</v>
      </c>
      <c r="T28" s="22">
        <v>1668.2320407673324</v>
      </c>
      <c r="U28" s="22">
        <v>1357.0935252273935</v>
      </c>
      <c r="V28" s="42">
        <f t="shared" si="0"/>
        <v>634616.65220682358</v>
      </c>
    </row>
    <row r="29" spans="1:22" x14ac:dyDescent="0.35">
      <c r="A29" s="1" t="s">
        <v>69</v>
      </c>
      <c r="B29" s="1" t="s">
        <v>68</v>
      </c>
      <c r="C29" s="1" t="s">
        <v>68</v>
      </c>
      <c r="D29" s="3" t="s">
        <v>246</v>
      </c>
      <c r="E29" s="22">
        <v>252081.77730309227</v>
      </c>
      <c r="F29" s="22">
        <v>208087.67386820031</v>
      </c>
      <c r="G29" s="22">
        <v>179667.04613134466</v>
      </c>
      <c r="H29" s="22">
        <v>152434.702725115</v>
      </c>
      <c r="I29" s="22">
        <v>107053.71590712482</v>
      </c>
      <c r="J29" s="22">
        <v>80390.689784649046</v>
      </c>
      <c r="K29" s="22">
        <v>69157.706711201827</v>
      </c>
      <c r="L29" s="22">
        <v>58001.956602604929</v>
      </c>
      <c r="M29" s="22">
        <v>46664.157362575097</v>
      </c>
      <c r="N29" s="22">
        <v>37517.567668156327</v>
      </c>
      <c r="O29" s="22">
        <v>28733.972908534153</v>
      </c>
      <c r="P29" s="22">
        <v>21620.816845817884</v>
      </c>
      <c r="Q29" s="22">
        <v>15580.095666452049</v>
      </c>
      <c r="R29" s="22">
        <v>10772.895268553064</v>
      </c>
      <c r="S29" s="22">
        <v>6655.2749139606794</v>
      </c>
      <c r="T29" s="22">
        <v>3787.7252618745051</v>
      </c>
      <c r="U29" s="22">
        <v>2924.9227116892844</v>
      </c>
      <c r="V29" s="42">
        <f>SUM(E29:U29)</f>
        <v>1281132.6976409459</v>
      </c>
    </row>
    <row r="30" spans="1:22" x14ac:dyDescent="0.35">
      <c r="A30" s="1" t="s">
        <v>83</v>
      </c>
      <c r="B30" s="1" t="s">
        <v>82</v>
      </c>
      <c r="C30" s="1" t="s">
        <v>82</v>
      </c>
      <c r="D30" s="3" t="s">
        <v>248</v>
      </c>
      <c r="E30" s="22">
        <v>96906.1988726868</v>
      </c>
      <c r="F30" s="22">
        <v>81183.807758663417</v>
      </c>
      <c r="G30" s="22">
        <v>69530.481797518514</v>
      </c>
      <c r="H30" s="22">
        <v>61195.959518547817</v>
      </c>
      <c r="I30" s="22">
        <v>41274.310819964936</v>
      </c>
      <c r="J30" s="22">
        <v>30505.852063974191</v>
      </c>
      <c r="K30" s="22">
        <v>30030.318690630749</v>
      </c>
      <c r="L30" s="22">
        <v>26725.858242455313</v>
      </c>
      <c r="M30" s="22">
        <v>21365.902029688608</v>
      </c>
      <c r="N30" s="22">
        <v>17112.581486210704</v>
      </c>
      <c r="O30" s="22">
        <v>12833.884451811919</v>
      </c>
      <c r="P30" s="22">
        <v>9534.9406320975413</v>
      </c>
      <c r="Q30" s="22">
        <v>6904.6121818637375</v>
      </c>
      <c r="R30" s="22">
        <v>4855.7363714257453</v>
      </c>
      <c r="S30" s="22">
        <v>3282.3939343311959</v>
      </c>
      <c r="T30" s="22">
        <v>1971.6430119831416</v>
      </c>
      <c r="U30" s="22">
        <v>1401.2236291094516</v>
      </c>
      <c r="V30" s="42">
        <f>SUM(E30:U30)</f>
        <v>516615.70549296361</v>
      </c>
    </row>
    <row r="31" spans="1:22" x14ac:dyDescent="0.35">
      <c r="A31" s="1" t="s">
        <v>83</v>
      </c>
      <c r="B31" s="1" t="s">
        <v>82</v>
      </c>
      <c r="C31" s="1" t="s">
        <v>82</v>
      </c>
      <c r="D31" s="3" t="s">
        <v>247</v>
      </c>
      <c r="E31" s="22">
        <v>101240.06219169617</v>
      </c>
      <c r="F31" s="22">
        <v>84680.246877283789</v>
      </c>
      <c r="G31" s="22">
        <v>70680.147168803596</v>
      </c>
      <c r="H31" s="22">
        <v>62953.557346241803</v>
      </c>
      <c r="I31" s="22">
        <v>44972.658540260127</v>
      </c>
      <c r="J31" s="22">
        <v>32345.095992891875</v>
      </c>
      <c r="K31" s="22">
        <v>23875.967979471283</v>
      </c>
      <c r="L31" s="22">
        <v>18843.699497291589</v>
      </c>
      <c r="M31" s="22">
        <v>16730.830796705293</v>
      </c>
      <c r="N31" s="22">
        <v>14307.927576607375</v>
      </c>
      <c r="O31" s="22">
        <v>11542.993391923686</v>
      </c>
      <c r="P31" s="22">
        <v>9011.9642539889755</v>
      </c>
      <c r="Q31" s="22">
        <v>6514.034886820632</v>
      </c>
      <c r="R31" s="22">
        <v>4509.2921040711244</v>
      </c>
      <c r="S31" s="22">
        <v>2685.4947348444139</v>
      </c>
      <c r="T31" s="22">
        <v>1496.109638639698</v>
      </c>
      <c r="U31" s="22">
        <v>1219.1748898944438</v>
      </c>
      <c r="V31" s="42">
        <f t="shared" si="0"/>
        <v>507609.25786743581</v>
      </c>
    </row>
    <row r="32" spans="1:22" x14ac:dyDescent="0.35">
      <c r="A32" s="1" t="s">
        <v>83</v>
      </c>
      <c r="B32" s="1" t="s">
        <v>82</v>
      </c>
      <c r="C32" s="1" t="s">
        <v>82</v>
      </c>
      <c r="D32" s="3" t="s">
        <v>246</v>
      </c>
      <c r="E32" s="22">
        <v>198145.15773869076</v>
      </c>
      <c r="F32" s="22">
        <v>165864.05463594719</v>
      </c>
      <c r="G32" s="22">
        <v>140210.62896632217</v>
      </c>
      <c r="H32" s="22">
        <v>124149.51686478961</v>
      </c>
      <c r="I32" s="22">
        <v>86245.866034532854</v>
      </c>
      <c r="J32" s="22">
        <v>62852.051382558275</v>
      </c>
      <c r="K32" s="22">
        <v>53906.286670102032</v>
      </c>
      <c r="L32" s="22">
        <v>45569.557739746902</v>
      </c>
      <c r="M32" s="22">
        <v>38096.732826393898</v>
      </c>
      <c r="N32" s="22">
        <v>31421.61238851029</v>
      </c>
      <c r="O32" s="22">
        <v>24375.774518043396</v>
      </c>
      <c r="P32" s="22">
        <v>18546.904886086519</v>
      </c>
      <c r="Q32" s="22">
        <v>13418.64706868437</v>
      </c>
      <c r="R32" s="22">
        <v>9365.0284754968707</v>
      </c>
      <c r="S32" s="22">
        <v>5967.8886691756097</v>
      </c>
      <c r="T32" s="22">
        <v>3467.7526506228401</v>
      </c>
      <c r="U32" s="22">
        <v>2620.3985190038957</v>
      </c>
      <c r="V32" s="42">
        <f>SUM(E32:U32)</f>
        <v>1024223.8600347075</v>
      </c>
    </row>
    <row r="33" spans="1:22" x14ac:dyDescent="0.35">
      <c r="A33" s="1" t="s">
        <v>91</v>
      </c>
      <c r="B33" s="1" t="s">
        <v>90</v>
      </c>
      <c r="C33" s="1" t="s">
        <v>90</v>
      </c>
      <c r="D33" s="3" t="s">
        <v>248</v>
      </c>
      <c r="E33" s="22">
        <v>124766.54473151547</v>
      </c>
      <c r="F33" s="22">
        <v>100700.7528841497</v>
      </c>
      <c r="G33" s="22">
        <v>80987.590270135202</v>
      </c>
      <c r="H33" s="22">
        <v>73856.780958310308</v>
      </c>
      <c r="I33" s="22">
        <v>56485.983835399675</v>
      </c>
      <c r="J33" s="22">
        <v>43849.567457814846</v>
      </c>
      <c r="K33" s="22">
        <v>36996.79681945117</v>
      </c>
      <c r="L33" s="22">
        <v>30540.12095796279</v>
      </c>
      <c r="M33" s="22">
        <v>23888.156028209982</v>
      </c>
      <c r="N33" s="22">
        <v>19153.775282884177</v>
      </c>
      <c r="O33" s="22">
        <v>15219.30738779403</v>
      </c>
      <c r="P33" s="22">
        <v>11983.246160564806</v>
      </c>
      <c r="Q33" s="22">
        <v>9380.49524510837</v>
      </c>
      <c r="R33" s="22">
        <v>7037.0264259352125</v>
      </c>
      <c r="S33" s="22">
        <v>4950.6330469067561</v>
      </c>
      <c r="T33" s="22">
        <v>3110.2818273300977</v>
      </c>
      <c r="U33" s="22">
        <v>2473.6615313494426</v>
      </c>
      <c r="V33" s="42">
        <f>SUM(E33:U33)</f>
        <v>645380.72085082205</v>
      </c>
    </row>
    <row r="34" spans="1:22" x14ac:dyDescent="0.35">
      <c r="A34" s="1" t="s">
        <v>91</v>
      </c>
      <c r="B34" s="1" t="s">
        <v>90</v>
      </c>
      <c r="C34" s="1" t="s">
        <v>90</v>
      </c>
      <c r="D34" s="3" t="s">
        <v>247</v>
      </c>
      <c r="E34" s="22">
        <v>130346.07477791785</v>
      </c>
      <c r="F34" s="22">
        <v>105036.83219646162</v>
      </c>
      <c r="G34" s="22">
        <v>81284.385520774362</v>
      </c>
      <c r="H34" s="22">
        <v>73209.127381636747</v>
      </c>
      <c r="I34" s="22">
        <v>55422.375576603568</v>
      </c>
      <c r="J34" s="22">
        <v>41150.827000330137</v>
      </c>
      <c r="K34" s="22">
        <v>29491.959292136751</v>
      </c>
      <c r="L34" s="22">
        <v>22440.589601300762</v>
      </c>
      <c r="M34" s="22">
        <v>18560.184781605854</v>
      </c>
      <c r="N34" s="22">
        <v>15468.659531453697</v>
      </c>
      <c r="O34" s="22">
        <v>12917.765035253915</v>
      </c>
      <c r="P34" s="22">
        <v>10515.819828408357</v>
      </c>
      <c r="Q34" s="22">
        <v>8123.8045741864153</v>
      </c>
      <c r="R34" s="22">
        <v>6113.5408319390108</v>
      </c>
      <c r="S34" s="22">
        <v>4194.8533194427209</v>
      </c>
      <c r="T34" s="22">
        <v>2715.290378524076</v>
      </c>
      <c r="U34" s="22">
        <v>2790.3166872358343</v>
      </c>
      <c r="V34" s="42">
        <f t="shared" si="0"/>
        <v>619782.40631521179</v>
      </c>
    </row>
    <row r="35" spans="1:22" x14ac:dyDescent="0.35">
      <c r="A35" s="1" t="s">
        <v>91</v>
      </c>
      <c r="B35" s="1" t="s">
        <v>90</v>
      </c>
      <c r="C35" s="1" t="s">
        <v>90</v>
      </c>
      <c r="D35" s="3" t="s">
        <v>246</v>
      </c>
      <c r="E35" s="22">
        <v>255113.7228375026</v>
      </c>
      <c r="F35" s="22">
        <v>205737.58508061132</v>
      </c>
      <c r="G35" s="22">
        <v>162271.97579090958</v>
      </c>
      <c r="H35" s="22">
        <v>147065.90833994705</v>
      </c>
      <c r="I35" s="22">
        <v>111908.35941200325</v>
      </c>
      <c r="J35" s="22">
        <v>85000.394458144976</v>
      </c>
      <c r="K35" s="22">
        <v>66488.756111587907</v>
      </c>
      <c r="L35" s="22">
        <v>52980.710559263556</v>
      </c>
      <c r="M35" s="22">
        <v>42447.237481746546</v>
      </c>
      <c r="N35" s="22">
        <v>34622.434814337867</v>
      </c>
      <c r="O35" s="22">
        <v>28137.072423047943</v>
      </c>
      <c r="P35" s="22">
        <v>22499.065988973165</v>
      </c>
      <c r="Q35" s="22">
        <v>17503.196491225495</v>
      </c>
      <c r="R35" s="22">
        <v>13149.463929804931</v>
      </c>
      <c r="S35" s="22">
        <v>9145.4863663494798</v>
      </c>
      <c r="T35" s="22">
        <v>5826.6755339234642</v>
      </c>
      <c r="U35" s="22">
        <v>5265.0815466545673</v>
      </c>
      <c r="V35" s="42">
        <f>SUM(E35:U35)</f>
        <v>1265163.1271660337</v>
      </c>
    </row>
    <row r="36" spans="1:22" x14ac:dyDescent="0.35">
      <c r="A36" s="1" t="s">
        <v>101</v>
      </c>
      <c r="B36" s="1" t="s">
        <v>100</v>
      </c>
      <c r="C36" s="1" t="s">
        <v>100</v>
      </c>
      <c r="D36" s="3" t="s">
        <v>248</v>
      </c>
      <c r="E36" s="22">
        <v>92903.423524183803</v>
      </c>
      <c r="F36" s="22">
        <v>74841.964394569775</v>
      </c>
      <c r="G36" s="22">
        <v>60949.977106789083</v>
      </c>
      <c r="H36" s="22">
        <v>54229.613786173388</v>
      </c>
      <c r="I36" s="22">
        <v>41530.322730470441</v>
      </c>
      <c r="J36" s="22">
        <v>32719.155191735095</v>
      </c>
      <c r="K36" s="22">
        <v>28372.047740868926</v>
      </c>
      <c r="L36" s="22">
        <v>23318.81116092805</v>
      </c>
      <c r="M36" s="22">
        <v>16901.862700461639</v>
      </c>
      <c r="N36" s="22">
        <v>12814.03703917759</v>
      </c>
      <c r="O36" s="22">
        <v>10046.893514616078</v>
      </c>
      <c r="P36" s="22">
        <v>7681.3609322158072</v>
      </c>
      <c r="Q36" s="22">
        <v>5569.5935055767586</v>
      </c>
      <c r="R36" s="22">
        <v>3994.0428863288162</v>
      </c>
      <c r="S36" s="22">
        <v>2820.1032092421142</v>
      </c>
      <c r="T36" s="22">
        <v>1806.1459129614011</v>
      </c>
      <c r="U36" s="22">
        <v>1651.6801659763089</v>
      </c>
      <c r="V36" s="42">
        <f>SUM(E36:U36)</f>
        <v>472151.0355022751</v>
      </c>
    </row>
    <row r="37" spans="1:22" x14ac:dyDescent="0.35">
      <c r="A37" s="1" t="s">
        <v>101</v>
      </c>
      <c r="B37" s="1" t="s">
        <v>100</v>
      </c>
      <c r="C37" s="1" t="s">
        <v>100</v>
      </c>
      <c r="D37" s="3" t="s">
        <v>247</v>
      </c>
      <c r="E37" s="22">
        <v>97058.552118082778</v>
      </c>
      <c r="F37" s="22">
        <v>78065.885199501499</v>
      </c>
      <c r="G37" s="22">
        <v>60669.73210868756</v>
      </c>
      <c r="H37" s="22">
        <v>53342.539067773287</v>
      </c>
      <c r="I37" s="22">
        <v>41599.832316613734</v>
      </c>
      <c r="J37" s="22">
        <v>31944.619803281279</v>
      </c>
      <c r="K37" s="22">
        <v>23209.581811274307</v>
      </c>
      <c r="L37" s="22">
        <v>17620.128423942322</v>
      </c>
      <c r="M37" s="22">
        <v>13865.507445440398</v>
      </c>
      <c r="N37" s="22">
        <v>11198.766656419197</v>
      </c>
      <c r="O37" s="22">
        <v>9410.2739716846609</v>
      </c>
      <c r="P37" s="22">
        <v>7539.0317796366853</v>
      </c>
      <c r="Q37" s="22">
        <v>5484.6373447349579</v>
      </c>
      <c r="R37" s="22">
        <v>3910.1900522511951</v>
      </c>
      <c r="S37" s="22">
        <v>2521.101656149543</v>
      </c>
      <c r="T37" s="22">
        <v>1553.4840839643573</v>
      </c>
      <c r="U37" s="22">
        <v>1594.3071742389891</v>
      </c>
      <c r="V37" s="42">
        <f t="shared" ref="V37:V49" si="1">SUM(E37:U37)</f>
        <v>460588.17101367685</v>
      </c>
    </row>
    <row r="38" spans="1:22" x14ac:dyDescent="0.35">
      <c r="A38" s="1" t="s">
        <v>101</v>
      </c>
      <c r="B38" s="1" t="s">
        <v>100</v>
      </c>
      <c r="C38" s="1" t="s">
        <v>100</v>
      </c>
      <c r="D38" s="3" t="s">
        <v>246</v>
      </c>
      <c r="E38" s="22">
        <v>189961.9756422666</v>
      </c>
      <c r="F38" s="22">
        <v>152907.8495940713</v>
      </c>
      <c r="G38" s="22">
        <v>121619.70921547664</v>
      </c>
      <c r="H38" s="22">
        <v>107572.15285394668</v>
      </c>
      <c r="I38" s="22">
        <v>83130.155047084176</v>
      </c>
      <c r="J38" s="22">
        <v>64664.878321780547</v>
      </c>
      <c r="K38" s="22">
        <v>51581.629552143233</v>
      </c>
      <c r="L38" s="22">
        <v>40938.939584870364</v>
      </c>
      <c r="M38" s="22">
        <v>30767.370145902034</v>
      </c>
      <c r="N38" s="22">
        <v>24012.803695596784</v>
      </c>
      <c r="O38" s="22">
        <v>19457.167486300739</v>
      </c>
      <c r="P38" s="22">
        <v>15220.392711852493</v>
      </c>
      <c r="Q38" s="22">
        <v>11054.230850311715</v>
      </c>
      <c r="R38" s="22">
        <v>7904.2329385800103</v>
      </c>
      <c r="S38" s="22">
        <v>5341.2048653916572</v>
      </c>
      <c r="T38" s="22">
        <v>3359.6299969257589</v>
      </c>
      <c r="U38" s="22">
        <v>3247.0906669794776</v>
      </c>
      <c r="V38" s="42">
        <f>SUM(E38:U38)</f>
        <v>932741.41316948016</v>
      </c>
    </row>
    <row r="39" spans="1:22" x14ac:dyDescent="0.35">
      <c r="A39" s="1" t="s">
        <v>107</v>
      </c>
      <c r="B39" s="1" t="s">
        <v>106</v>
      </c>
      <c r="C39" s="1" t="s">
        <v>106</v>
      </c>
      <c r="D39" s="3" t="s">
        <v>248</v>
      </c>
      <c r="E39" s="22">
        <v>94043.378452049423</v>
      </c>
      <c r="F39" s="22">
        <v>77664.454603902239</v>
      </c>
      <c r="G39" s="22">
        <v>61520.539902245793</v>
      </c>
      <c r="H39" s="22">
        <v>54265.04625284089</v>
      </c>
      <c r="I39" s="22">
        <v>40925.794698506135</v>
      </c>
      <c r="J39" s="22">
        <v>32189.633093276796</v>
      </c>
      <c r="K39" s="22">
        <v>28710.835727617785</v>
      </c>
      <c r="L39" s="22">
        <v>24379.164792769297</v>
      </c>
      <c r="M39" s="22">
        <v>19290.609940114882</v>
      </c>
      <c r="N39" s="22">
        <v>15260.147911332013</v>
      </c>
      <c r="O39" s="22">
        <v>11304.71227673399</v>
      </c>
      <c r="P39" s="22">
        <v>8271.6599588790468</v>
      </c>
      <c r="Q39" s="22">
        <v>5810.1322320204163</v>
      </c>
      <c r="R39" s="22">
        <v>4010.6021009104079</v>
      </c>
      <c r="S39" s="22">
        <v>2729.6367531368232</v>
      </c>
      <c r="T39" s="22">
        <v>1661.613965329044</v>
      </c>
      <c r="U39" s="22">
        <v>1282.0686770998334</v>
      </c>
      <c r="V39" s="42">
        <f>SUM(E39:U39)</f>
        <v>483320.03133876482</v>
      </c>
    </row>
    <row r="40" spans="1:22" x14ac:dyDescent="0.35">
      <c r="A40" s="1" t="s">
        <v>107</v>
      </c>
      <c r="B40" s="1" t="s">
        <v>106</v>
      </c>
      <c r="C40" s="1" t="s">
        <v>106</v>
      </c>
      <c r="D40" s="3" t="s">
        <v>247</v>
      </c>
      <c r="E40" s="22">
        <v>98249.269843705653</v>
      </c>
      <c r="F40" s="22">
        <v>81009.74912108526</v>
      </c>
      <c r="G40" s="22">
        <v>63079.544240233809</v>
      </c>
      <c r="H40" s="22">
        <v>55827.360578807631</v>
      </c>
      <c r="I40" s="22">
        <v>42300.543039010772</v>
      </c>
      <c r="J40" s="22">
        <v>32073.783514020786</v>
      </c>
      <c r="K40" s="22">
        <v>24401.231379294248</v>
      </c>
      <c r="L40" s="22">
        <v>19435.146081853327</v>
      </c>
      <c r="M40" s="22">
        <v>16244.317670344964</v>
      </c>
      <c r="N40" s="22">
        <v>13725.416818521453</v>
      </c>
      <c r="O40" s="22">
        <v>11939.126639326418</v>
      </c>
      <c r="P40" s="22">
        <v>9661.8549099511547</v>
      </c>
      <c r="Q40" s="22">
        <v>6831.81518812579</v>
      </c>
      <c r="R40" s="22">
        <v>4684.736319247756</v>
      </c>
      <c r="S40" s="22">
        <v>2849.8996496978225</v>
      </c>
      <c r="T40" s="22">
        <v>1596.5175350804293</v>
      </c>
      <c r="U40" s="22">
        <v>1247.8654679861547</v>
      </c>
      <c r="V40" s="42">
        <f t="shared" si="1"/>
        <v>485158.17799629335</v>
      </c>
    </row>
    <row r="41" spans="1:22" x14ac:dyDescent="0.35">
      <c r="A41" s="1" t="s">
        <v>107</v>
      </c>
      <c r="B41" s="1" t="s">
        <v>106</v>
      </c>
      <c r="C41" s="1" t="s">
        <v>106</v>
      </c>
      <c r="D41" s="3" t="s">
        <v>246</v>
      </c>
      <c r="E41" s="22">
        <v>192293.75162508129</v>
      </c>
      <c r="F41" s="22">
        <v>158673.1003956612</v>
      </c>
      <c r="G41" s="22">
        <v>124600.08414247961</v>
      </c>
      <c r="H41" s="22">
        <v>110092.40683164854</v>
      </c>
      <c r="I41" s="22">
        <v>83226.337737516893</v>
      </c>
      <c r="J41" s="22">
        <v>64263.4166072976</v>
      </c>
      <c r="K41" s="22">
        <v>53112.067106912036</v>
      </c>
      <c r="L41" s="22">
        <v>43814.310874622628</v>
      </c>
      <c r="M41" s="22">
        <v>35534.927610459847</v>
      </c>
      <c r="N41" s="22">
        <v>28985.564729853464</v>
      </c>
      <c r="O41" s="22">
        <v>23243.838916060406</v>
      </c>
      <c r="P41" s="22">
        <v>17933.5148688302</v>
      </c>
      <c r="Q41" s="22">
        <v>12641.947420146207</v>
      </c>
      <c r="R41" s="22">
        <v>8695.3384201581648</v>
      </c>
      <c r="S41" s="22">
        <v>5579.5364028346457</v>
      </c>
      <c r="T41" s="22">
        <v>3257.028171083226</v>
      </c>
      <c r="U41" s="22">
        <v>2529.9341450859883</v>
      </c>
      <c r="V41" s="42">
        <f>SUM(E41:U41)</f>
        <v>968477.10600573185</v>
      </c>
    </row>
    <row r="42" spans="1:22" x14ac:dyDescent="0.35">
      <c r="A42" s="1" t="s">
        <v>112</v>
      </c>
      <c r="B42" s="1" t="s">
        <v>207</v>
      </c>
      <c r="C42" s="1" t="s">
        <v>204</v>
      </c>
      <c r="D42" s="3" t="s">
        <v>248</v>
      </c>
      <c r="E42" s="22">
        <v>114806.80225002956</v>
      </c>
      <c r="F42" s="22">
        <v>95750.119837242964</v>
      </c>
      <c r="G42" s="22">
        <v>75114.574957301549</v>
      </c>
      <c r="H42" s="22">
        <v>68426.200201262152</v>
      </c>
      <c r="I42" s="22">
        <v>49415.857567385756</v>
      </c>
      <c r="J42" s="22">
        <v>37549.564182165741</v>
      </c>
      <c r="K42" s="22">
        <v>35231.471908586267</v>
      </c>
      <c r="L42" s="22">
        <v>30769.613196375234</v>
      </c>
      <c r="M42" s="22">
        <v>24871.221337947878</v>
      </c>
      <c r="N42" s="22">
        <v>19900.728385793889</v>
      </c>
      <c r="O42" s="22">
        <v>14681.986618049526</v>
      </c>
      <c r="P42" s="22">
        <v>10640.495900238193</v>
      </c>
      <c r="Q42" s="22">
        <v>7006.133239995077</v>
      </c>
      <c r="R42" s="22">
        <v>4827.0603031462151</v>
      </c>
      <c r="S42" s="22">
        <v>3838.4783530618697</v>
      </c>
      <c r="T42" s="22">
        <v>2635.8507575351555</v>
      </c>
      <c r="U42" s="22">
        <v>2612.6808680800541</v>
      </c>
      <c r="V42" s="42">
        <f>SUM(E42:U42)</f>
        <v>598078.83986419707</v>
      </c>
    </row>
    <row r="43" spans="1:22" x14ac:dyDescent="0.35">
      <c r="A43" s="1" t="s">
        <v>112</v>
      </c>
      <c r="B43" s="1" t="s">
        <v>207</v>
      </c>
      <c r="C43" s="1" t="s">
        <v>204</v>
      </c>
      <c r="D43" s="3" t="s">
        <v>247</v>
      </c>
      <c r="E43" s="22">
        <v>119940.58775643854</v>
      </c>
      <c r="F43" s="22">
        <v>99874.360160251075</v>
      </c>
      <c r="G43" s="22">
        <v>76682.40414376343</v>
      </c>
      <c r="H43" s="22">
        <v>70102.155538514518</v>
      </c>
      <c r="I43" s="22">
        <v>50657.101645337636</v>
      </c>
      <c r="J43" s="22">
        <v>35800.789192340191</v>
      </c>
      <c r="K43" s="22">
        <v>24854.671416908521</v>
      </c>
      <c r="L43" s="22">
        <v>19331.411102039961</v>
      </c>
      <c r="M43" s="22">
        <v>18633.004434179034</v>
      </c>
      <c r="N43" s="22">
        <v>16808.099807572442</v>
      </c>
      <c r="O43" s="22">
        <v>14461.321004191412</v>
      </c>
      <c r="P43" s="22">
        <v>11624.664538045376</v>
      </c>
      <c r="Q43" s="22">
        <v>7770.7395920134368</v>
      </c>
      <c r="R43" s="22">
        <v>5417.3408202166656</v>
      </c>
      <c r="S43" s="22">
        <v>4115.4136984538009</v>
      </c>
      <c r="T43" s="22">
        <v>2709.7737381776237</v>
      </c>
      <c r="U43" s="22">
        <v>2531.0345909525522</v>
      </c>
      <c r="V43" s="42">
        <f t="shared" si="1"/>
        <v>581314.87317939627</v>
      </c>
    </row>
    <row r="44" spans="1:22" x14ac:dyDescent="0.35">
      <c r="A44" s="1" t="s">
        <v>112</v>
      </c>
      <c r="B44" s="1" t="s">
        <v>207</v>
      </c>
      <c r="C44" s="1" t="s">
        <v>204</v>
      </c>
      <c r="D44" s="3" t="s">
        <v>246</v>
      </c>
      <c r="E44" s="22">
        <v>234747.39000646814</v>
      </c>
      <c r="F44" s="22">
        <v>195624.47999749403</v>
      </c>
      <c r="G44" s="22">
        <v>151798.08242913426</v>
      </c>
      <c r="H44" s="22">
        <v>138527.25241170736</v>
      </c>
      <c r="I44" s="22">
        <v>100072.95921272336</v>
      </c>
      <c r="J44" s="22">
        <v>73351.456702575233</v>
      </c>
      <c r="K44" s="22">
        <v>60086.143325494784</v>
      </c>
      <c r="L44" s="22">
        <v>50101.024298415192</v>
      </c>
      <c r="M44" s="22">
        <v>43504.225772126905</v>
      </c>
      <c r="N44" s="22">
        <v>36708.828193366338</v>
      </c>
      <c r="O44" s="22">
        <v>29143.307622240936</v>
      </c>
      <c r="P44" s="22">
        <v>22265.160438283569</v>
      </c>
      <c r="Q44" s="22">
        <v>14776.872832008512</v>
      </c>
      <c r="R44" s="22">
        <v>10244.401123362879</v>
      </c>
      <c r="S44" s="22">
        <v>7954.9953795849606</v>
      </c>
      <c r="T44" s="22">
        <v>5345.6244957127792</v>
      </c>
      <c r="U44" s="22">
        <v>5144.8187871018963</v>
      </c>
      <c r="V44" s="42">
        <f>SUM(E44:U44)</f>
        <v>1179397.0230278012</v>
      </c>
    </row>
    <row r="45" spans="1:22" x14ac:dyDescent="0.35">
      <c r="A45" s="1" t="s">
        <v>120</v>
      </c>
      <c r="B45" s="1" t="s">
        <v>119</v>
      </c>
      <c r="C45" s="1" t="s">
        <v>119</v>
      </c>
      <c r="D45" s="3" t="s">
        <v>248</v>
      </c>
      <c r="E45" s="22">
        <v>48713.145717336607</v>
      </c>
      <c r="F45" s="22">
        <v>40395.136939211516</v>
      </c>
      <c r="G45" s="22">
        <v>32282.347637506551</v>
      </c>
      <c r="H45" s="22">
        <v>28948.082810938831</v>
      </c>
      <c r="I45" s="22">
        <v>20843.016822862581</v>
      </c>
      <c r="J45" s="22">
        <v>15969.605923143983</v>
      </c>
      <c r="K45" s="22">
        <v>15305.400951074571</v>
      </c>
      <c r="L45" s="22">
        <v>13266.446153094048</v>
      </c>
      <c r="M45" s="22">
        <v>9996.174496592821</v>
      </c>
      <c r="N45" s="22">
        <v>7654.907136574062</v>
      </c>
      <c r="O45" s="22">
        <v>5565.1991347477024</v>
      </c>
      <c r="P45" s="22">
        <v>4034.8797057439233</v>
      </c>
      <c r="Q45" s="22">
        <v>2843.2827458851771</v>
      </c>
      <c r="R45" s="22">
        <v>2031.2314843518084</v>
      </c>
      <c r="S45" s="22">
        <v>1544.6627257428199</v>
      </c>
      <c r="T45" s="22">
        <v>1026.0973821005875</v>
      </c>
      <c r="U45" s="22">
        <v>968.72419514442572</v>
      </c>
      <c r="V45" s="42">
        <f>SUM(E45:U45)</f>
        <v>251388.34196205201</v>
      </c>
    </row>
    <row r="46" spans="1:22" x14ac:dyDescent="0.35">
      <c r="A46" s="1" t="s">
        <v>120</v>
      </c>
      <c r="B46" s="1" t="s">
        <v>119</v>
      </c>
      <c r="C46" s="1" t="s">
        <v>119</v>
      </c>
      <c r="D46" s="3" t="s">
        <v>247</v>
      </c>
      <c r="E46" s="22">
        <v>50891.120160633982</v>
      </c>
      <c r="F46" s="22">
        <v>42135.08916670896</v>
      </c>
      <c r="G46" s="22">
        <v>33935.136754051367</v>
      </c>
      <c r="H46" s="22">
        <v>30535.775426898774</v>
      </c>
      <c r="I46" s="22">
        <v>21304.208979548654</v>
      </c>
      <c r="J46" s="22">
        <v>14748.219039288768</v>
      </c>
      <c r="K46" s="22">
        <v>10280.833770336854</v>
      </c>
      <c r="L46" s="22">
        <v>7958.3230291306863</v>
      </c>
      <c r="M46" s="22">
        <v>7542.3674236985116</v>
      </c>
      <c r="N46" s="22">
        <v>6728.1095011283687</v>
      </c>
      <c r="O46" s="22">
        <v>5651.2589151819457</v>
      </c>
      <c r="P46" s="22">
        <v>4546.8250662758292</v>
      </c>
      <c r="Q46" s="22">
        <v>3259.2383513173504</v>
      </c>
      <c r="R46" s="22">
        <v>2354.507326239413</v>
      </c>
      <c r="S46" s="22">
        <v>1703.542320390653</v>
      </c>
      <c r="T46" s="22">
        <v>1091.1938826854637</v>
      </c>
      <c r="U46" s="22">
        <v>1002.9274412144453</v>
      </c>
      <c r="V46" s="42">
        <f t="shared" si="1"/>
        <v>245668.67655473002</v>
      </c>
    </row>
    <row r="47" spans="1:22" x14ac:dyDescent="0.35">
      <c r="A47" s="1" t="s">
        <v>120</v>
      </c>
      <c r="B47" s="1" t="s">
        <v>119</v>
      </c>
      <c r="C47" s="1" t="s">
        <v>119</v>
      </c>
      <c r="D47" s="3" t="s">
        <v>246</v>
      </c>
      <c r="E47" s="22">
        <v>99604.265877970582</v>
      </c>
      <c r="F47" s="22">
        <v>82530.226105920476</v>
      </c>
      <c r="G47" s="22">
        <v>66217.484391557911</v>
      </c>
      <c r="H47" s="22">
        <v>59483.858237837609</v>
      </c>
      <c r="I47" s="22">
        <v>42147.225802411231</v>
      </c>
      <c r="J47" s="22">
        <v>30717.824962432751</v>
      </c>
      <c r="K47" s="22">
        <v>25586.234721411427</v>
      </c>
      <c r="L47" s="22">
        <v>21224.769182224733</v>
      </c>
      <c r="M47" s="22">
        <v>17537.438589772944</v>
      </c>
      <c r="N47" s="22">
        <v>14383.016637702431</v>
      </c>
      <c r="O47" s="22">
        <v>11215.35471941126</v>
      </c>
      <c r="P47" s="22">
        <v>8581.7047720197534</v>
      </c>
      <c r="Q47" s="22">
        <v>6102.521097202527</v>
      </c>
      <c r="R47" s="22">
        <v>4385.7388105912214</v>
      </c>
      <c r="S47" s="22">
        <v>3248.2050461334729</v>
      </c>
      <c r="T47" s="22">
        <v>2117.2912647860512</v>
      </c>
      <c r="U47" s="22">
        <v>1971.6516363588707</v>
      </c>
      <c r="V47" s="42">
        <f>SUM(E47:U47)</f>
        <v>497054.81185574527</v>
      </c>
    </row>
    <row r="48" spans="1:22" x14ac:dyDescent="0.35">
      <c r="A48" s="1" t="s">
        <v>127</v>
      </c>
      <c r="B48" s="1" t="s">
        <v>208</v>
      </c>
      <c r="C48" s="1" t="s">
        <v>203</v>
      </c>
      <c r="D48" s="3" t="s">
        <v>248</v>
      </c>
      <c r="E48" s="22">
        <v>108872.0005653156</v>
      </c>
      <c r="F48" s="22">
        <v>88959.135570759521</v>
      </c>
      <c r="G48" s="22">
        <v>71334.572991912064</v>
      </c>
      <c r="H48" s="22">
        <v>63358.614379010585</v>
      </c>
      <c r="I48" s="22">
        <v>48346.732668243181</v>
      </c>
      <c r="J48" s="22">
        <v>37978.758801119759</v>
      </c>
      <c r="K48" s="22">
        <v>32636.444289614858</v>
      </c>
      <c r="L48" s="22">
        <v>27277.579857070592</v>
      </c>
      <c r="M48" s="22">
        <v>21702.463122945377</v>
      </c>
      <c r="N48" s="22">
        <v>17378.520419395656</v>
      </c>
      <c r="O48" s="22">
        <v>13356.889606831559</v>
      </c>
      <c r="P48" s="22">
        <v>10095.451834008652</v>
      </c>
      <c r="Q48" s="22">
        <v>7292.9985380106227</v>
      </c>
      <c r="R48" s="22">
        <v>5173.5053169034509</v>
      </c>
      <c r="S48" s="22">
        <v>3635.4659883124059</v>
      </c>
      <c r="T48" s="22">
        <v>2240.8593087291338</v>
      </c>
      <c r="U48" s="22">
        <v>1610.8589811642221</v>
      </c>
      <c r="V48" s="42">
        <f>SUM(E48:U48)</f>
        <v>561250.8522393473</v>
      </c>
    </row>
    <row r="49" spans="1:22" x14ac:dyDescent="0.35">
      <c r="A49" s="1" t="s">
        <v>127</v>
      </c>
      <c r="B49" s="1" t="s">
        <v>208</v>
      </c>
      <c r="C49" s="1" t="s">
        <v>203</v>
      </c>
      <c r="D49" s="3" t="s">
        <v>247</v>
      </c>
      <c r="E49" s="22">
        <v>113740.98733509486</v>
      </c>
      <c r="F49" s="22">
        <v>92790.993955405662</v>
      </c>
      <c r="G49" s="22">
        <v>71588.338447848888</v>
      </c>
      <c r="H49" s="22">
        <v>63278.071429952382</v>
      </c>
      <c r="I49" s="22">
        <v>48656.767855713828</v>
      </c>
      <c r="J49" s="22">
        <v>36417.549583073618</v>
      </c>
      <c r="K49" s="22">
        <v>24790.678388889661</v>
      </c>
      <c r="L49" s="22">
        <v>18383.652290519363</v>
      </c>
      <c r="M49" s="22">
        <v>15886.820869714818</v>
      </c>
      <c r="N49" s="22">
        <v>13498.115599700748</v>
      </c>
      <c r="O49" s="22">
        <v>11153.543452458303</v>
      </c>
      <c r="P49" s="22">
        <v>9007.5703576881588</v>
      </c>
      <c r="Q49" s="22">
        <v>7035.9230978659207</v>
      </c>
      <c r="R49" s="22">
        <v>5153.6454116562209</v>
      </c>
      <c r="S49" s="22">
        <v>3173.1715272796596</v>
      </c>
      <c r="T49" s="22">
        <v>1818.2846581908479</v>
      </c>
      <c r="U49" s="22">
        <v>1511.5594549280713</v>
      </c>
      <c r="V49" s="42">
        <f t="shared" si="1"/>
        <v>537885.67371598096</v>
      </c>
    </row>
    <row r="50" spans="1:22" x14ac:dyDescent="0.35">
      <c r="A50" s="1" t="s">
        <v>127</v>
      </c>
      <c r="B50" s="1" t="s">
        <v>208</v>
      </c>
      <c r="C50" s="1" t="s">
        <v>203</v>
      </c>
      <c r="D50" s="3" t="s">
        <v>246</v>
      </c>
      <c r="E50" s="22">
        <v>222612.98790041046</v>
      </c>
      <c r="F50" s="22">
        <v>181750.12952616517</v>
      </c>
      <c r="G50" s="22">
        <v>142922.91143976097</v>
      </c>
      <c r="H50" s="22">
        <v>126636.68580896295</v>
      </c>
      <c r="I50" s="22">
        <v>97003.500523957016</v>
      </c>
      <c r="J50" s="22">
        <v>74396.308384193384</v>
      </c>
      <c r="K50" s="22">
        <v>57426.019350435243</v>
      </c>
      <c r="L50" s="22">
        <v>45661.232147589952</v>
      </c>
      <c r="M50" s="22">
        <v>37589.283992660196</v>
      </c>
      <c r="N50" s="22">
        <v>30877.739347165701</v>
      </c>
      <c r="O50" s="22">
        <v>24510.433059289862</v>
      </c>
      <c r="P50" s="22">
        <v>19103.022191696811</v>
      </c>
      <c r="Q50" s="22">
        <v>14328.921635876544</v>
      </c>
      <c r="R50" s="22">
        <v>10327.150728559671</v>
      </c>
      <c r="S50" s="22">
        <v>6809.7408436613568</v>
      </c>
      <c r="T50" s="22">
        <v>4059.1439669199817</v>
      </c>
      <c r="U50" s="22">
        <v>3123.5217641615841</v>
      </c>
      <c r="V50" s="42">
        <f>SUM(E50:U50)</f>
        <v>1099138.7326114667</v>
      </c>
    </row>
    <row r="51" spans="1:22" x14ac:dyDescent="0.35">
      <c r="A51" s="1" t="s">
        <v>131</v>
      </c>
      <c r="B51" s="1" t="s">
        <v>130</v>
      </c>
      <c r="C51" s="1" t="s">
        <v>130</v>
      </c>
      <c r="D51" s="3" t="s">
        <v>248</v>
      </c>
      <c r="E51" s="22">
        <v>82655.712795423344</v>
      </c>
      <c r="F51" s="22">
        <v>67270.926581455744</v>
      </c>
      <c r="G51" s="22">
        <v>51103.881802822107</v>
      </c>
      <c r="H51" s="22">
        <v>48984.391389954086</v>
      </c>
      <c r="I51" s="22">
        <v>37280.302738364269</v>
      </c>
      <c r="J51" s="22">
        <v>28379.766996247472</v>
      </c>
      <c r="K51" s="22">
        <v>24304.078508410676</v>
      </c>
      <c r="L51" s="22">
        <v>20445.745362237067</v>
      </c>
      <c r="M51" s="22">
        <v>17004.469673671021</v>
      </c>
      <c r="N51" s="22">
        <v>13810.339145168713</v>
      </c>
      <c r="O51" s="22">
        <v>10233.354283889093</v>
      </c>
      <c r="P51" s="22">
        <v>7438.6279872755013</v>
      </c>
      <c r="Q51" s="22">
        <v>4855.7403992879681</v>
      </c>
      <c r="R51" s="22">
        <v>3335.356334253016</v>
      </c>
      <c r="S51" s="22">
        <v>2692.1169221228456</v>
      </c>
      <c r="T51" s="22">
        <v>1858.0020069077343</v>
      </c>
      <c r="U51" s="22">
        <v>1867.9319463745808</v>
      </c>
      <c r="V51" s="42">
        <v>423520.74487386516</v>
      </c>
    </row>
    <row r="52" spans="1:22" x14ac:dyDescent="0.35">
      <c r="A52" s="1" t="s">
        <v>131</v>
      </c>
      <c r="B52" s="1" t="s">
        <v>130</v>
      </c>
      <c r="C52" s="1" t="s">
        <v>130</v>
      </c>
      <c r="D52" s="3" t="s">
        <v>247</v>
      </c>
      <c r="E52" s="22">
        <v>86351.856930305104</v>
      </c>
      <c r="F52" s="22">
        <v>70168.262252560075</v>
      </c>
      <c r="G52" s="22">
        <v>53659.186225623969</v>
      </c>
      <c r="H52" s="22">
        <v>51214.214463564851</v>
      </c>
      <c r="I52" s="22">
        <v>37978.708480865804</v>
      </c>
      <c r="J52" s="22">
        <v>26439.015493782677</v>
      </c>
      <c r="K52" s="22">
        <v>16335.85374957002</v>
      </c>
      <c r="L52" s="22">
        <v>11594.8593174545</v>
      </c>
      <c r="M52" s="22">
        <v>11355.437443642755</v>
      </c>
      <c r="N52" s="22">
        <v>10369.063456602664</v>
      </c>
      <c r="O52" s="22">
        <v>9000.9384633926929</v>
      </c>
      <c r="P52" s="22">
        <v>7477.2444185354607</v>
      </c>
      <c r="Q52" s="22">
        <v>5589.4525932271863</v>
      </c>
      <c r="R52" s="22">
        <v>4220.2242734097881</v>
      </c>
      <c r="S52" s="22">
        <v>3202.9571413617296</v>
      </c>
      <c r="T52" s="22">
        <v>2139.3502918017202</v>
      </c>
      <c r="U52" s="22">
        <v>2107.3538201863257</v>
      </c>
      <c r="V52" s="42">
        <v>409203.97881588741</v>
      </c>
    </row>
    <row r="53" spans="1:22" x14ac:dyDescent="0.35">
      <c r="A53" s="1" t="s">
        <v>131</v>
      </c>
      <c r="B53" s="1" t="s">
        <v>130</v>
      </c>
      <c r="C53" s="1" t="s">
        <v>130</v>
      </c>
      <c r="D53" s="3" t="s">
        <v>246</v>
      </c>
      <c r="E53" s="22">
        <v>169007.56972572848</v>
      </c>
      <c r="F53" s="22">
        <v>137439.18883401583</v>
      </c>
      <c r="G53" s="22">
        <v>104763.06802844608</v>
      </c>
      <c r="H53" s="22">
        <v>100198.60585351894</v>
      </c>
      <c r="I53" s="22">
        <v>75259.011219230088</v>
      </c>
      <c r="J53" s="22">
        <v>54818.782490030157</v>
      </c>
      <c r="K53" s="22">
        <v>40639.93225798069</v>
      </c>
      <c r="L53" s="22">
        <v>32040.604679691569</v>
      </c>
      <c r="M53" s="22">
        <v>28359.907117313782</v>
      </c>
      <c r="N53" s="22">
        <v>24179.40260177138</v>
      </c>
      <c r="O53" s="22">
        <v>19234.292747281786</v>
      </c>
      <c r="P53" s="22">
        <v>14915.872405810962</v>
      </c>
      <c r="Q53" s="22">
        <v>10444.089665907726</v>
      </c>
      <c r="R53" s="22">
        <v>7555.580607662806</v>
      </c>
      <c r="S53" s="22">
        <v>5896.1773900920025</v>
      </c>
      <c r="T53" s="22">
        <v>3998.4556253168817</v>
      </c>
      <c r="U53" s="22">
        <v>3975.2857665609067</v>
      </c>
      <c r="V53" s="42">
        <v>832725.82701636036</v>
      </c>
    </row>
    <row r="54" spans="1:22" x14ac:dyDescent="0.35">
      <c r="A54" s="1" t="s">
        <v>139</v>
      </c>
      <c r="B54" s="1" t="s">
        <v>138</v>
      </c>
      <c r="C54" s="1" t="s">
        <v>137</v>
      </c>
      <c r="D54" s="3" t="s">
        <v>248</v>
      </c>
      <c r="E54" s="22">
        <v>169613.41424014294</v>
      </c>
      <c r="F54" s="22">
        <v>139063.38251616558</v>
      </c>
      <c r="G54" s="22">
        <v>114536.41493972666</v>
      </c>
      <c r="H54" s="22">
        <v>101914.34975419086</v>
      </c>
      <c r="I54" s="22">
        <v>74723.949891223645</v>
      </c>
      <c r="J54" s="22">
        <v>57504.319528403954</v>
      </c>
      <c r="K54" s="22">
        <v>51561.798279339622</v>
      </c>
      <c r="L54" s="22">
        <v>43772.307002251961</v>
      </c>
      <c r="M54" s="22">
        <v>34154.602262539047</v>
      </c>
      <c r="N54" s="22">
        <v>26995.11091735182</v>
      </c>
      <c r="O54" s="22">
        <v>20559.402331055455</v>
      </c>
      <c r="P54" s="22">
        <v>15411.276792968905</v>
      </c>
      <c r="Q54" s="22">
        <v>11029.963781451184</v>
      </c>
      <c r="R54" s="22">
        <v>7800.5245508512426</v>
      </c>
      <c r="S54" s="22">
        <v>5489.0536973811786</v>
      </c>
      <c r="T54" s="22">
        <v>3449.0013784951889</v>
      </c>
      <c r="U54" s="22">
        <v>2877.4777975417319</v>
      </c>
      <c r="V54" s="42">
        <v>880456.3496610811</v>
      </c>
    </row>
    <row r="55" spans="1:22" x14ac:dyDescent="0.35">
      <c r="A55" s="1" t="s">
        <v>139</v>
      </c>
      <c r="B55" s="1" t="s">
        <v>138</v>
      </c>
      <c r="C55" s="1" t="s">
        <v>137</v>
      </c>
      <c r="D55" s="3" t="s">
        <v>247</v>
      </c>
      <c r="E55" s="22">
        <v>182847.82611955746</v>
      </c>
      <c r="F55" s="22">
        <v>136508.0763125204</v>
      </c>
      <c r="G55" s="22">
        <v>119621.65081736082</v>
      </c>
      <c r="H55" s="22">
        <v>106194.15664708363</v>
      </c>
      <c r="I55" s="22">
        <v>78277.767370472866</v>
      </c>
      <c r="J55" s="22">
        <v>57519.766111672958</v>
      </c>
      <c r="K55" s="22">
        <v>41705.774826333378</v>
      </c>
      <c r="L55" s="22">
        <v>32417.964972151516</v>
      </c>
      <c r="M55" s="22">
        <v>28154.707989904102</v>
      </c>
      <c r="N55" s="22">
        <v>24056.950114110397</v>
      </c>
      <c r="O55" s="22">
        <v>20108.14143412502</v>
      </c>
      <c r="P55" s="22">
        <v>16164.849391021437</v>
      </c>
      <c r="Q55" s="22">
        <v>11951.242140710136</v>
      </c>
      <c r="R55" s="22">
        <v>8608.1601903453175</v>
      </c>
      <c r="S55" s="22">
        <v>5658.9661133403142</v>
      </c>
      <c r="T55" s="22">
        <v>3434.6581226025341</v>
      </c>
      <c r="U55" s="22">
        <v>3094.833290684262</v>
      </c>
      <c r="V55" s="42">
        <v>876325.49196399655</v>
      </c>
    </row>
    <row r="56" spans="1:22" x14ac:dyDescent="0.35">
      <c r="A56" s="1" t="s">
        <v>139</v>
      </c>
      <c r="B56" s="1" t="s">
        <v>138</v>
      </c>
      <c r="C56" s="1" t="s">
        <v>137</v>
      </c>
      <c r="D56" s="3" t="s">
        <v>246</v>
      </c>
      <c r="E56" s="22">
        <v>349660.99547850387</v>
      </c>
      <c r="F56" s="22">
        <v>286449.16343219968</v>
      </c>
      <c r="G56" s="22">
        <v>232356.3321514948</v>
      </c>
      <c r="H56" s="22">
        <v>206509.78503293166</v>
      </c>
      <c r="I56" s="22">
        <v>151820.05364161709</v>
      </c>
      <c r="J56" s="22">
        <v>114177.83354241031</v>
      </c>
      <c r="K56" s="22">
        <v>92734.665982892067</v>
      </c>
      <c r="L56" s="22">
        <v>75805.210720054514</v>
      </c>
      <c r="M56" s="22">
        <v>61944.108890868643</v>
      </c>
      <c r="N56" s="22">
        <v>50722.166145931165</v>
      </c>
      <c r="O56" s="22">
        <v>40375.162010445601</v>
      </c>
      <c r="P56" s="22">
        <v>31332.290833815219</v>
      </c>
      <c r="Q56" s="22">
        <v>22796.950250309532</v>
      </c>
      <c r="R56" s="22">
        <v>16275.182128657241</v>
      </c>
      <c r="S56" s="22">
        <v>11064.166930118283</v>
      </c>
      <c r="T56" s="22">
        <v>6834.009769161612</v>
      </c>
      <c r="U56" s="22">
        <v>5924.8680110425985</v>
      </c>
      <c r="V56" s="42">
        <v>1756782.944952454</v>
      </c>
    </row>
    <row r="57" spans="1:22" x14ac:dyDescent="0.35">
      <c r="A57" s="1" t="s">
        <v>143</v>
      </c>
      <c r="B57" s="1" t="s">
        <v>142</v>
      </c>
      <c r="C57" s="1" t="s">
        <v>142</v>
      </c>
      <c r="D57" s="3" t="s">
        <v>248</v>
      </c>
      <c r="E57" s="22">
        <v>39033.435912219014</v>
      </c>
      <c r="F57" s="22">
        <v>31688.600622840251</v>
      </c>
      <c r="G57" s="22">
        <v>21798.39429356411</v>
      </c>
      <c r="H57" s="22">
        <v>21050.339865713908</v>
      </c>
      <c r="I57" s="22">
        <v>17989.715997194049</v>
      </c>
      <c r="J57" s="22">
        <v>14445.835728381584</v>
      </c>
      <c r="K57" s="22">
        <v>10985.808168295685</v>
      </c>
      <c r="L57" s="22">
        <v>8864.1139724904642</v>
      </c>
      <c r="M57" s="22">
        <v>7948.3541271871172</v>
      </c>
      <c r="N57" s="22">
        <v>6816.3425593784004</v>
      </c>
      <c r="O57" s="22">
        <v>5480.2158453273751</v>
      </c>
      <c r="P57" s="22">
        <v>4151.8124070801114</v>
      </c>
      <c r="Q57" s="22">
        <v>2663.426827183468</v>
      </c>
      <c r="R57" s="22">
        <v>1691.3974010241325</v>
      </c>
      <c r="S57" s="22">
        <v>1086.7752381009593</v>
      </c>
      <c r="T57" s="22">
        <v>623.37868987516936</v>
      </c>
      <c r="U57" s="22">
        <v>443.53669615897019</v>
      </c>
      <c r="V57" s="42">
        <v>196761.4843520147</v>
      </c>
    </row>
    <row r="58" spans="1:22" x14ac:dyDescent="0.35">
      <c r="A58" s="1" t="s">
        <v>143</v>
      </c>
      <c r="B58" s="1" t="s">
        <v>142</v>
      </c>
      <c r="C58" s="1" t="s">
        <v>142</v>
      </c>
      <c r="D58" s="3" t="s">
        <v>247</v>
      </c>
      <c r="E58" s="22">
        <v>40778.896243869494</v>
      </c>
      <c r="F58" s="22">
        <v>33053.413789876686</v>
      </c>
      <c r="G58" s="22">
        <v>26330.853865258265</v>
      </c>
      <c r="H58" s="22">
        <v>26266.861008598516</v>
      </c>
      <c r="I58" s="22">
        <v>22414.04970763552</v>
      </c>
      <c r="J58" s="22">
        <v>17158.912185732097</v>
      </c>
      <c r="K58" s="22">
        <v>10434.145610884032</v>
      </c>
      <c r="L58" s="22">
        <v>7045.8341832616488</v>
      </c>
      <c r="M58" s="22">
        <v>5786.9402272482548</v>
      </c>
      <c r="N58" s="22">
        <v>5144.8050104210888</v>
      </c>
      <c r="O58" s="22">
        <v>5449.3227421123229</v>
      </c>
      <c r="P58" s="22">
        <v>4912.003411193371</v>
      </c>
      <c r="Q58" s="22">
        <v>3643.179529146566</v>
      </c>
      <c r="R58" s="22">
        <v>2698.7332308578129</v>
      </c>
      <c r="S58" s="22">
        <v>1956.1954285817264</v>
      </c>
      <c r="T58" s="22">
        <v>1234.6208034872825</v>
      </c>
      <c r="U58" s="22">
        <v>960.99617501110197</v>
      </c>
      <c r="V58" s="42">
        <v>215269.76315317577</v>
      </c>
    </row>
    <row r="59" spans="1:22" x14ac:dyDescent="0.35">
      <c r="A59" s="1" t="s">
        <v>143</v>
      </c>
      <c r="B59" s="1" t="s">
        <v>142</v>
      </c>
      <c r="C59" s="1" t="s">
        <v>142</v>
      </c>
      <c r="D59" s="3" t="s">
        <v>246</v>
      </c>
      <c r="E59" s="22">
        <v>79811.22883097369</v>
      </c>
      <c r="F59" s="22">
        <v>64742.014412716933</v>
      </c>
      <c r="G59" s="22">
        <v>48130.3514839372</v>
      </c>
      <c r="H59" s="22">
        <v>47317.200874312424</v>
      </c>
      <c r="I59" s="22">
        <v>40403.765704829559</v>
      </c>
      <c r="J59" s="22">
        <v>31604.747914113683</v>
      </c>
      <c r="K59" s="22">
        <v>21419.953779179716</v>
      </c>
      <c r="L59" s="22">
        <v>15911.051480866938</v>
      </c>
      <c r="M59" s="22">
        <v>13735.294354435373</v>
      </c>
      <c r="N59" s="22">
        <v>11961.14756979949</v>
      </c>
      <c r="O59" s="22">
        <v>10928.435262324872</v>
      </c>
      <c r="P59" s="22">
        <v>9063.8158182734824</v>
      </c>
      <c r="Q59" s="22">
        <v>6306.606356330034</v>
      </c>
      <c r="R59" s="22">
        <v>4390.1306318819461</v>
      </c>
      <c r="S59" s="22">
        <v>3041.8673415678622</v>
      </c>
      <c r="T59" s="22">
        <v>1857.9994933624519</v>
      </c>
      <c r="U59" s="22">
        <v>1404.532871170072</v>
      </c>
      <c r="V59" s="42">
        <v>412030.14418007573</v>
      </c>
    </row>
    <row r="60" spans="1:22" ht="15" thickBot="1" x14ac:dyDescent="0.4">
      <c r="A60" s="1" t="s">
        <v>155</v>
      </c>
      <c r="B60" s="1" t="s">
        <v>154</v>
      </c>
      <c r="C60" s="1" t="s">
        <v>154</v>
      </c>
      <c r="D60" s="3" t="s">
        <v>248</v>
      </c>
      <c r="E60" s="22">
        <v>58372.571284277707</v>
      </c>
      <c r="F60" s="22">
        <v>47958.276112609135</v>
      </c>
      <c r="G60" s="22">
        <v>41150.754001241934</v>
      </c>
      <c r="H60" s="22">
        <v>39317.026003009792</v>
      </c>
      <c r="I60" s="22">
        <v>27566.602909644997</v>
      </c>
      <c r="J60" s="22">
        <v>19759.467340757747</v>
      </c>
      <c r="K60" s="22">
        <v>16896.33607998013</v>
      </c>
      <c r="L60" s="22">
        <v>14387.372501171536</v>
      </c>
      <c r="M60" s="22">
        <v>12780.929682022321</v>
      </c>
      <c r="N60" s="22">
        <v>10608.480567389901</v>
      </c>
      <c r="O60" s="22">
        <v>7430.9013646771682</v>
      </c>
      <c r="P60" s="22">
        <v>5154.7395955117645</v>
      </c>
      <c r="Q60" s="22">
        <v>3243.7787694359131</v>
      </c>
      <c r="R60" s="22">
        <v>2148.175940167253</v>
      </c>
      <c r="S60" s="22">
        <v>1757.5984965004798</v>
      </c>
      <c r="T60" s="22">
        <v>1187.1788965690623</v>
      </c>
      <c r="U60" s="22">
        <v>1030.5065886575319</v>
      </c>
      <c r="V60" s="43">
        <v>310750.69613362435</v>
      </c>
    </row>
    <row r="61" spans="1:22" ht="15" thickBot="1" x14ac:dyDescent="0.4">
      <c r="A61" s="1" t="s">
        <v>155</v>
      </c>
      <c r="B61" s="1" t="s">
        <v>154</v>
      </c>
      <c r="C61" s="1" t="s">
        <v>154</v>
      </c>
      <c r="D61" s="3" t="s">
        <v>247</v>
      </c>
      <c r="E61" s="22">
        <v>60983.040865395167</v>
      </c>
      <c r="F61" s="22">
        <v>50023.702594372407</v>
      </c>
      <c r="G61" s="22">
        <v>47390.063164901818</v>
      </c>
      <c r="H61" s="22">
        <v>43147.774264057916</v>
      </c>
      <c r="I61" s="22">
        <v>28853.081156298831</v>
      </c>
      <c r="J61" s="22">
        <v>18875.703125003271</v>
      </c>
      <c r="K61" s="22">
        <v>11161.246949528469</v>
      </c>
      <c r="L61" s="22">
        <v>7977.0477901434197</v>
      </c>
      <c r="M61" s="22">
        <v>8967.8346387670445</v>
      </c>
      <c r="N61" s="22">
        <v>8665.5232840645131</v>
      </c>
      <c r="O61" s="22">
        <v>7760.7958721810255</v>
      </c>
      <c r="P61" s="22">
        <v>6325.368600400031</v>
      </c>
      <c r="Q61" s="22">
        <v>4106.5797890613849</v>
      </c>
      <c r="R61" s="22">
        <v>2747.2820190120492</v>
      </c>
      <c r="S61" s="22">
        <v>1958.4038488941312</v>
      </c>
      <c r="T61" s="22">
        <v>1226.8986366029712</v>
      </c>
      <c r="U61" s="22">
        <v>1041.539849778062</v>
      </c>
      <c r="V61" s="43">
        <v>311211.88644846249</v>
      </c>
    </row>
    <row r="62" spans="1:22" ht="15" thickBot="1" x14ac:dyDescent="0.4">
      <c r="A62" s="1" t="s">
        <v>155</v>
      </c>
      <c r="B62" s="1" t="s">
        <v>154</v>
      </c>
      <c r="C62" s="1" t="s">
        <v>154</v>
      </c>
      <c r="D62" s="3" t="s">
        <v>246</v>
      </c>
      <c r="E62" s="22">
        <v>119354.50882356083</v>
      </c>
      <c r="F62" s="22">
        <v>97981.978706981536</v>
      </c>
      <c r="G62" s="22">
        <v>88540.817166143752</v>
      </c>
      <c r="H62" s="22">
        <v>82464.800267067694</v>
      </c>
      <c r="I62" s="22">
        <v>56419.684065943831</v>
      </c>
      <c r="J62" s="22">
        <v>38635.17046576101</v>
      </c>
      <c r="K62" s="22">
        <v>28057.583029508602</v>
      </c>
      <c r="L62" s="22">
        <v>22364.420291314957</v>
      </c>
      <c r="M62" s="22">
        <v>21748.764320789363</v>
      </c>
      <c r="N62" s="22">
        <v>19274.003851454414</v>
      </c>
      <c r="O62" s="22">
        <v>15191.697236858194</v>
      </c>
      <c r="P62" s="22">
        <v>11480.108195911796</v>
      </c>
      <c r="Q62" s="22">
        <v>7351.4618846093508</v>
      </c>
      <c r="R62" s="22">
        <v>4895.4579591793026</v>
      </c>
      <c r="S62" s="22">
        <v>3716.0023453946114</v>
      </c>
      <c r="T62" s="22">
        <v>2415.1808592840866</v>
      </c>
      <c r="U62" s="22">
        <v>2072.0464384355937</v>
      </c>
      <c r="V62" s="43">
        <v>621963.68590819882</v>
      </c>
    </row>
    <row r="63" spans="1:22" ht="15" thickBot="1" x14ac:dyDescent="0.4">
      <c r="A63" s="1" t="s">
        <v>161</v>
      </c>
      <c r="B63" s="1" t="s">
        <v>160</v>
      </c>
      <c r="C63" s="1" t="s">
        <v>160</v>
      </c>
      <c r="D63" s="3" t="s">
        <v>248</v>
      </c>
      <c r="E63" s="22">
        <v>4059.1439669199817</v>
      </c>
      <c r="F63" s="22">
        <v>3413.6970463850025</v>
      </c>
      <c r="G63" s="22">
        <v>1873.4510616553764</v>
      </c>
      <c r="H63" s="22">
        <v>1758.7049424491579</v>
      </c>
      <c r="I63" s="22">
        <v>1748.7749898255424</v>
      </c>
      <c r="J63" s="22">
        <v>1539.1426566603359</v>
      </c>
      <c r="K63" s="22">
        <v>1222.4875007739438</v>
      </c>
      <c r="L63" s="22">
        <v>997.40857463866917</v>
      </c>
      <c r="M63" s="22">
        <v>837.42600459153755</v>
      </c>
      <c r="N63" s="22">
        <v>696.20001172234538</v>
      </c>
      <c r="O63" s="22">
        <v>551.66403464528173</v>
      </c>
      <c r="P63" s="22">
        <v>422.57465053828571</v>
      </c>
      <c r="Q63" s="22">
        <v>308.93185940135771</v>
      </c>
      <c r="R63" s="22">
        <v>209.632333165207</v>
      </c>
      <c r="S63" s="22">
        <v>113.64279113692801</v>
      </c>
      <c r="T63" s="22">
        <v>62.8896999495621</v>
      </c>
      <c r="U63" s="22">
        <v>60.683043810980976</v>
      </c>
      <c r="V63" s="43">
        <v>19876.455168269495</v>
      </c>
    </row>
    <row r="64" spans="1:22" ht="15" thickBot="1" x14ac:dyDescent="0.4">
      <c r="A64" s="1" t="s">
        <v>161</v>
      </c>
      <c r="B64" s="1" t="s">
        <v>160</v>
      </c>
      <c r="C64" s="1" t="s">
        <v>160</v>
      </c>
      <c r="D64" s="3" t="s">
        <v>247</v>
      </c>
      <c r="E64" s="22">
        <v>4241.1930983529255</v>
      </c>
      <c r="F64" s="22">
        <v>3560.4396796006481</v>
      </c>
      <c r="G64" s="22">
        <v>2318.0922735794729</v>
      </c>
      <c r="H64" s="22">
        <v>2151.4897351165982</v>
      </c>
      <c r="I64" s="22">
        <v>1948.4773703671344</v>
      </c>
      <c r="J64" s="22">
        <v>1629.6155583421616</v>
      </c>
      <c r="K64" s="22">
        <v>1239.0374218133027</v>
      </c>
      <c r="L64" s="22">
        <v>983.06530973789177</v>
      </c>
      <c r="M64" s="22">
        <v>771.22632043410374</v>
      </c>
      <c r="N64" s="22">
        <v>657.5835292971758</v>
      </c>
      <c r="O64" s="22">
        <v>668.61680999008126</v>
      </c>
      <c r="P64" s="22">
        <v>578.14390830825516</v>
      </c>
      <c r="Q64" s="22">
        <v>381.75151197453482</v>
      </c>
      <c r="R64" s="22">
        <v>262.59208049115409</v>
      </c>
      <c r="S64" s="22">
        <v>191.97908405655801</v>
      </c>
      <c r="T64" s="22">
        <v>122.46941569125252</v>
      </c>
      <c r="U64" s="22">
        <v>104.8161665826035</v>
      </c>
      <c r="V64" s="43">
        <v>21810.589273735855</v>
      </c>
    </row>
    <row r="65" spans="1:22" ht="15" thickBot="1" x14ac:dyDescent="0.4">
      <c r="A65" s="1" t="s">
        <v>161</v>
      </c>
      <c r="B65" s="1" t="s">
        <v>160</v>
      </c>
      <c r="C65" s="1" t="s">
        <v>160</v>
      </c>
      <c r="D65" s="3" t="s">
        <v>246</v>
      </c>
      <c r="E65" s="22">
        <v>8301.4403933421963</v>
      </c>
      <c r="F65" s="22">
        <v>6974.1367259856515</v>
      </c>
      <c r="G65" s="22">
        <v>4191.54333523485</v>
      </c>
      <c r="H65" s="22">
        <v>3910.1946775657557</v>
      </c>
      <c r="I65" s="22">
        <v>3698.3556882619678</v>
      </c>
      <c r="J65" s="22">
        <v>3168.7582150024978</v>
      </c>
      <c r="K65" s="22">
        <v>2461.5249225872462</v>
      </c>
      <c r="L65" s="22">
        <v>1980.4738843765608</v>
      </c>
      <c r="M65" s="22">
        <v>1608.6523250256412</v>
      </c>
      <c r="N65" s="22">
        <v>1353.7835410195212</v>
      </c>
      <c r="O65" s="22">
        <v>1220.2808446353629</v>
      </c>
      <c r="P65" s="22">
        <v>1000.7185588465409</v>
      </c>
      <c r="Q65" s="22">
        <v>690.68337137589253</v>
      </c>
      <c r="R65" s="22">
        <v>472.22441365636104</v>
      </c>
      <c r="S65" s="22">
        <v>305.62187519348595</v>
      </c>
      <c r="T65" s="22">
        <v>184.25578757152405</v>
      </c>
      <c r="U65" s="22">
        <v>165.49921039358449</v>
      </c>
      <c r="V65" s="43">
        <v>41688.147770074633</v>
      </c>
    </row>
    <row r="66" spans="1:22" x14ac:dyDescent="0.35">
      <c r="A66" s="1" t="s">
        <v>167</v>
      </c>
      <c r="B66" s="1" t="s">
        <v>166</v>
      </c>
      <c r="C66" s="1" t="s">
        <v>166</v>
      </c>
      <c r="D66" s="3" t="s">
        <v>248</v>
      </c>
      <c r="E66" s="22">
        <v>9333.9085672661913</v>
      </c>
      <c r="F66" s="22">
        <v>7832.7563850589677</v>
      </c>
      <c r="G66" s="22">
        <v>4484.3386626349502</v>
      </c>
      <c r="H66" s="22">
        <v>4383.1731932052244</v>
      </c>
      <c r="I66" s="22">
        <v>4144.5979326209508</v>
      </c>
      <c r="J66" s="22">
        <v>3522.0718353033894</v>
      </c>
      <c r="K66" s="22">
        <v>2784.8384340655098</v>
      </c>
      <c r="L66" s="22">
        <v>2271.8418804218622</v>
      </c>
      <c r="M66" s="22">
        <v>1923.3387869139506</v>
      </c>
      <c r="N66" s="22">
        <v>1612.6731721297547</v>
      </c>
      <c r="O66" s="22">
        <v>1353.7851598095915</v>
      </c>
      <c r="P66" s="22">
        <v>1029.5777105348027</v>
      </c>
      <c r="Q66" s="22">
        <v>593.45098208775858</v>
      </c>
      <c r="R66" s="22">
        <v>343.72362251123207</v>
      </c>
      <c r="S66" s="22">
        <v>229.01631859091358</v>
      </c>
      <c r="T66" s="22">
        <v>133.02860940759155</v>
      </c>
      <c r="U66" s="22">
        <v>85.632188690515505</v>
      </c>
      <c r="V66" s="42">
        <f>SUM(E66:U66)</f>
        <v>46061.753441253153</v>
      </c>
    </row>
    <row r="67" spans="1:22" x14ac:dyDescent="0.35">
      <c r="A67" s="1" t="s">
        <v>167</v>
      </c>
      <c r="B67" s="1" t="s">
        <v>166</v>
      </c>
      <c r="C67" s="1" t="s">
        <v>166</v>
      </c>
      <c r="D67" s="3" t="s">
        <v>247</v>
      </c>
      <c r="E67" s="22">
        <v>9751.3157009762381</v>
      </c>
      <c r="F67" s="22">
        <v>8169.7090903249018</v>
      </c>
      <c r="G67" s="22">
        <v>5538.6103066525993</v>
      </c>
      <c r="H67" s="22">
        <v>5672.8337838093603</v>
      </c>
      <c r="I67" s="22">
        <v>5402.3953832472198</v>
      </c>
      <c r="J67" s="22">
        <v>4511.0240423664118</v>
      </c>
      <c r="K67" s="22">
        <v>3312.5716899489184</v>
      </c>
      <c r="L67" s="22">
        <v>2465.0121665376769</v>
      </c>
      <c r="M67" s="22">
        <v>1631.3927668667513</v>
      </c>
      <c r="N67" s="22">
        <v>1248.6367978826331</v>
      </c>
      <c r="O67" s="22">
        <v>1316.3459703355988</v>
      </c>
      <c r="P67" s="22">
        <v>1163.0046091921181</v>
      </c>
      <c r="Q67" s="22">
        <v>816.89125118254572</v>
      </c>
      <c r="R67" s="22">
        <v>585.48519709329207</v>
      </c>
      <c r="S67" s="22">
        <v>435.72843919732077</v>
      </c>
      <c r="T67" s="22">
        <v>273.22642531020296</v>
      </c>
      <c r="U67" s="22">
        <v>185.60279037107082</v>
      </c>
      <c r="V67" s="42">
        <f t="shared" ref="V67" si="2">SUM(E67:U67)</f>
        <v>52479.786411294874</v>
      </c>
    </row>
    <row r="68" spans="1:22" x14ac:dyDescent="0.35">
      <c r="A68" s="1" t="s">
        <v>167</v>
      </c>
      <c r="B68" s="1" t="s">
        <v>166</v>
      </c>
      <c r="C68" s="1" t="s">
        <v>166</v>
      </c>
      <c r="D68" s="3" t="s">
        <v>246</v>
      </c>
      <c r="E68" s="22">
        <v>19084.825978992707</v>
      </c>
      <c r="F68" s="22">
        <v>16002.465475383869</v>
      </c>
      <c r="G68" s="22">
        <v>10023.347258537269</v>
      </c>
      <c r="H68" s="22">
        <v>10056.006977014586</v>
      </c>
      <c r="I68" s="22">
        <v>9546.9933158681706</v>
      </c>
      <c r="J68" s="22">
        <v>8033.4941669195241</v>
      </c>
      <c r="K68" s="22">
        <v>6097.4101240144282</v>
      </c>
      <c r="L68" s="22">
        <v>4736.8540469595391</v>
      </c>
      <c r="M68" s="22">
        <v>3554.3332645309783</v>
      </c>
      <c r="N68" s="22">
        <v>2861.309970012388</v>
      </c>
      <c r="O68" s="22">
        <v>2669.7328408954672</v>
      </c>
      <c r="P68" s="22">
        <v>2192.9806089766435</v>
      </c>
      <c r="Q68" s="22">
        <v>1410.3422332703044</v>
      </c>
      <c r="R68" s="22">
        <v>929.60710885424749</v>
      </c>
      <c r="S68" s="22">
        <v>664.74475778823432</v>
      </c>
      <c r="T68" s="22">
        <v>405.85674546807115</v>
      </c>
      <c r="U68" s="22">
        <v>271.23497906158627</v>
      </c>
      <c r="V68" s="42">
        <f>SUM(E68:U68)</f>
        <v>98541.539852548041</v>
      </c>
    </row>
    <row r="69" spans="1:22" x14ac:dyDescent="0.35">
      <c r="A69" s="1" t="s">
        <v>149</v>
      </c>
      <c r="B69" s="1" t="s">
        <v>148</v>
      </c>
      <c r="C69" s="1" t="s">
        <v>148</v>
      </c>
      <c r="D69" s="3" t="s">
        <v>248</v>
      </c>
      <c r="E69" s="22">
        <v>16522.584736558154</v>
      </c>
      <c r="F69" s="22">
        <v>13865.293425609243</v>
      </c>
      <c r="G69" s="22">
        <v>7938.0320695074979</v>
      </c>
      <c r="H69" s="22">
        <v>7758.9522093374217</v>
      </c>
      <c r="I69" s="22">
        <v>7336.6339564166483</v>
      </c>
      <c r="J69" s="22">
        <v>6234.6582814330595</v>
      </c>
      <c r="K69" s="22">
        <v>4929.6314264141074</v>
      </c>
      <c r="L69" s="22">
        <v>4021.5414268115082</v>
      </c>
      <c r="M69" s="22">
        <v>3404.6324596901773</v>
      </c>
      <c r="N69" s="22">
        <v>2854.7021804277342</v>
      </c>
      <c r="O69" s="22">
        <v>2396.4269477090315</v>
      </c>
      <c r="P69" s="22">
        <v>1822.5253485813025</v>
      </c>
      <c r="Q69" s="22">
        <v>1050.5078411551801</v>
      </c>
      <c r="R69" s="22">
        <v>608.44850128652376</v>
      </c>
      <c r="S69" s="22">
        <v>405.39732125116012</v>
      </c>
      <c r="T69" s="22">
        <v>235.4829657354565</v>
      </c>
      <c r="U69" s="22">
        <v>151.58334620695555</v>
      </c>
      <c r="V69" s="42">
        <v>81537.034444131161</v>
      </c>
    </row>
    <row r="70" spans="1:22" x14ac:dyDescent="0.35">
      <c r="A70" s="1" t="s">
        <v>149</v>
      </c>
      <c r="B70" s="1" t="s">
        <v>148</v>
      </c>
      <c r="C70" s="1" t="s">
        <v>148</v>
      </c>
      <c r="D70" s="3" t="s">
        <v>247</v>
      </c>
      <c r="E70" s="22">
        <v>17261.465419464617</v>
      </c>
      <c r="F70" s="22">
        <v>14461.756266963122</v>
      </c>
      <c r="G70" s="22">
        <v>9804.2698249019704</v>
      </c>
      <c r="H70" s="22">
        <v>10041.867907096128</v>
      </c>
      <c r="I70" s="22">
        <v>9563.1465486099751</v>
      </c>
      <c r="J70" s="22">
        <v>7985.2696704185037</v>
      </c>
      <c r="K70" s="22">
        <v>5863.8078623406946</v>
      </c>
      <c r="L70" s="22">
        <v>4363.4852543016177</v>
      </c>
      <c r="M70" s="22">
        <v>2887.8390049473942</v>
      </c>
      <c r="N70" s="22">
        <v>2210.2966993432819</v>
      </c>
      <c r="O70" s="22">
        <v>2330.1532986697111</v>
      </c>
      <c r="P70" s="22">
        <v>2058.7133531363265</v>
      </c>
      <c r="Q70" s="22">
        <v>1446.0346189323993</v>
      </c>
      <c r="R70" s="22">
        <v>1036.4070647638355</v>
      </c>
      <c r="S70" s="22">
        <v>771.31246860655506</v>
      </c>
      <c r="T70" s="22">
        <v>483.65663022312322</v>
      </c>
      <c r="U70" s="22">
        <v>328.54808991833147</v>
      </c>
      <c r="V70" s="42">
        <f t="shared" ref="V70" si="3">SUM(E70:U70)</f>
        <v>92898.029982637585</v>
      </c>
    </row>
    <row r="71" spans="1:22" x14ac:dyDescent="0.35">
      <c r="A71" s="1" t="s">
        <v>149</v>
      </c>
      <c r="B71" s="1" t="s">
        <v>148</v>
      </c>
      <c r="C71" s="1" t="s">
        <v>148</v>
      </c>
      <c r="D71" s="3" t="s">
        <v>246</v>
      </c>
      <c r="E71" s="22">
        <v>33783.3451172032</v>
      </c>
      <c r="F71" s="22">
        <v>28327.049692572367</v>
      </c>
      <c r="G71" s="22">
        <v>17743.00693322904</v>
      </c>
      <c r="H71" s="22">
        <v>17800.820116433551</v>
      </c>
      <c r="I71" s="22">
        <v>16899.780505026622</v>
      </c>
      <c r="J71" s="22">
        <v>14220.632990671129</v>
      </c>
      <c r="K71" s="22">
        <v>10793.4392887548</v>
      </c>
      <c r="L71" s="22">
        <v>8385.0266811131241</v>
      </c>
      <c r="M71" s="22">
        <v>6291.7664258180039</v>
      </c>
      <c r="N71" s="22">
        <v>5064.9988797710166</v>
      </c>
      <c r="O71" s="22">
        <v>4725.8752075591765</v>
      </c>
      <c r="P71" s="22">
        <v>3881.9437405371959</v>
      </c>
      <c r="Q71" s="22">
        <v>2496.5424600875795</v>
      </c>
      <c r="R71" s="22">
        <v>1645.5606048699265</v>
      </c>
      <c r="S71" s="22">
        <v>1176.7097898577151</v>
      </c>
      <c r="T71" s="22">
        <v>718.43455713901233</v>
      </c>
      <c r="U71" s="22">
        <v>480.131436125287</v>
      </c>
      <c r="V71" s="42">
        <f>SUM(E71:U71)</f>
        <v>174435.06442676869</v>
      </c>
    </row>
    <row r="72" spans="1:22" x14ac:dyDescent="0.35">
      <c r="A72" s="1" t="s">
        <v>9</v>
      </c>
      <c r="D72" s="3"/>
      <c r="E72" s="3"/>
      <c r="F72" s="3"/>
      <c r="G72" s="3"/>
      <c r="H72" s="3"/>
      <c r="I72" s="3"/>
      <c r="J72" s="3"/>
      <c r="K72" s="3"/>
      <c r="L72" s="3"/>
      <c r="M72" s="3"/>
      <c r="N72" s="3"/>
      <c r="O72" s="3"/>
      <c r="P72" s="3"/>
      <c r="Q72" s="3"/>
      <c r="R72" s="3"/>
      <c r="S72" s="3"/>
      <c r="T72" s="3"/>
      <c r="U72" s="3"/>
      <c r="V72" s="3">
        <f t="shared" ref="V72" si="4">SUM(E72:U72)</f>
        <v>0</v>
      </c>
    </row>
    <row r="73" spans="1:22" x14ac:dyDescent="0.35">
      <c r="A73" s="55"/>
      <c r="B73" s="55"/>
      <c r="C73" s="55"/>
      <c r="D73" s="54"/>
      <c r="E73" s="54"/>
      <c r="F73" s="54"/>
      <c r="G73" s="54"/>
      <c r="H73" s="54"/>
      <c r="I73" s="54"/>
      <c r="J73" s="54"/>
      <c r="K73" s="54"/>
      <c r="L73" s="54"/>
      <c r="M73" s="54"/>
      <c r="N73" s="54"/>
      <c r="O73" s="54"/>
      <c r="P73" s="54"/>
      <c r="Q73" s="54"/>
      <c r="R73" s="54"/>
      <c r="S73" s="54"/>
      <c r="T73" s="54"/>
      <c r="U73" s="54"/>
      <c r="V73" s="54"/>
    </row>
    <row r="74" spans="1:22" x14ac:dyDescent="0.35">
      <c r="A74" s="55"/>
      <c r="B74" s="55"/>
      <c r="C74" s="55"/>
      <c r="D74" s="54"/>
      <c r="E74" s="54"/>
      <c r="F74" s="54"/>
      <c r="G74" s="54"/>
      <c r="H74" s="54"/>
      <c r="I74" s="54"/>
      <c r="J74" s="54"/>
      <c r="K74" s="54"/>
      <c r="L74" s="54"/>
      <c r="M74" s="54"/>
      <c r="N74" s="54"/>
      <c r="O74" s="54"/>
      <c r="P74" s="54"/>
      <c r="Q74" s="54"/>
      <c r="R74" s="54"/>
      <c r="S74" s="54"/>
      <c r="T74" s="54"/>
      <c r="U74" s="54"/>
      <c r="V74" s="54">
        <f t="shared" ref="V74" si="5">SUM(E74:U74)</f>
        <v>0</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100"/>
  <sheetViews>
    <sheetView workbookViewId="0">
      <selection activeCell="P92" sqref="P92"/>
    </sheetView>
  </sheetViews>
  <sheetFormatPr baseColWidth="10" defaultColWidth="8.7265625" defaultRowHeight="14.5" x14ac:dyDescent="0.35"/>
  <cols>
    <col min="2" max="2" width="11.26953125" bestFit="1" customWidth="1"/>
    <col min="3" max="5" width="10.1796875" bestFit="1" customWidth="1"/>
  </cols>
  <sheetData>
    <row r="1" spans="1:5" x14ac:dyDescent="0.35">
      <c r="A1" s="67" t="s">
        <v>339</v>
      </c>
      <c r="B1" s="73" t="s">
        <v>327</v>
      </c>
      <c r="C1" s="74"/>
      <c r="D1" s="74"/>
      <c r="E1" s="75"/>
    </row>
    <row r="2" spans="1:5" x14ac:dyDescent="0.35">
      <c r="A2" s="59"/>
      <c r="B2" s="60" t="s">
        <v>246</v>
      </c>
      <c r="C2" s="60" t="s">
        <v>340</v>
      </c>
      <c r="D2" s="61" t="s">
        <v>341</v>
      </c>
      <c r="E2" s="9" t="s">
        <v>302</v>
      </c>
    </row>
    <row r="3" spans="1:5" x14ac:dyDescent="0.35">
      <c r="A3" s="60">
        <v>0</v>
      </c>
      <c r="B3" s="62">
        <v>779433</v>
      </c>
      <c r="C3" s="62">
        <v>398358</v>
      </c>
      <c r="D3" s="62">
        <v>381075</v>
      </c>
      <c r="E3" s="62">
        <f>D3+C3</f>
        <v>779433</v>
      </c>
    </row>
    <row r="4" spans="1:5" x14ac:dyDescent="0.35">
      <c r="A4" s="60">
        <v>1</v>
      </c>
      <c r="B4" s="62">
        <v>731950</v>
      </c>
      <c r="C4" s="62">
        <v>373880</v>
      </c>
      <c r="D4" s="62">
        <v>358070</v>
      </c>
      <c r="E4" s="62">
        <f t="shared" ref="E4:E8" si="0">D4+C4</f>
        <v>731950</v>
      </c>
    </row>
    <row r="5" spans="1:5" x14ac:dyDescent="0.35">
      <c r="A5" s="60">
        <v>2</v>
      </c>
      <c r="B5" s="62">
        <v>696878</v>
      </c>
      <c r="C5" s="62">
        <v>356138</v>
      </c>
      <c r="D5" s="62">
        <v>340740</v>
      </c>
      <c r="E5" s="62">
        <f t="shared" si="0"/>
        <v>696878</v>
      </c>
    </row>
    <row r="6" spans="1:5" x14ac:dyDescent="0.35">
      <c r="A6" s="60">
        <v>3</v>
      </c>
      <c r="B6" s="62">
        <v>665713</v>
      </c>
      <c r="C6" s="62">
        <v>340311</v>
      </c>
      <c r="D6" s="62">
        <v>325402</v>
      </c>
      <c r="E6" s="62">
        <f t="shared" si="0"/>
        <v>665713</v>
      </c>
    </row>
    <row r="7" spans="1:5" x14ac:dyDescent="0.35">
      <c r="A7" s="60">
        <v>4</v>
      </c>
      <c r="B7" s="62">
        <v>638099</v>
      </c>
      <c r="C7" s="62">
        <v>326265</v>
      </c>
      <c r="D7" s="62">
        <v>311834</v>
      </c>
      <c r="E7" s="62">
        <f t="shared" si="0"/>
        <v>638099</v>
      </c>
    </row>
    <row r="8" spans="1:5" x14ac:dyDescent="0.35">
      <c r="A8" s="60" t="s">
        <v>342</v>
      </c>
      <c r="B8" s="42">
        <v>3512073</v>
      </c>
      <c r="C8" s="42">
        <f t="shared" ref="C8:D8" si="1">SUM(C3:C7)</f>
        <v>1794952</v>
      </c>
      <c r="D8" s="42">
        <f t="shared" si="1"/>
        <v>1717121</v>
      </c>
      <c r="E8" s="30">
        <f t="shared" si="0"/>
        <v>3512073</v>
      </c>
    </row>
    <row r="9" spans="1:5" x14ac:dyDescent="0.35">
      <c r="A9" s="60">
        <v>5</v>
      </c>
      <c r="B9" s="62">
        <v>613894</v>
      </c>
      <c r="C9" s="62">
        <v>313784</v>
      </c>
      <c r="D9" s="62">
        <v>300110</v>
      </c>
      <c r="E9" s="62">
        <f>D9+C9</f>
        <v>613894</v>
      </c>
    </row>
    <row r="10" spans="1:5" x14ac:dyDescent="0.35">
      <c r="A10" s="60">
        <v>6</v>
      </c>
      <c r="B10" s="62">
        <v>592549</v>
      </c>
      <c r="C10" s="62">
        <v>302798</v>
      </c>
      <c r="D10" s="62">
        <v>289751</v>
      </c>
      <c r="E10" s="62">
        <f t="shared" ref="E10:E14" si="2">D10+C10</f>
        <v>592549</v>
      </c>
    </row>
    <row r="11" spans="1:5" x14ac:dyDescent="0.35">
      <c r="A11" s="60">
        <v>7</v>
      </c>
      <c r="B11" s="62">
        <v>573414</v>
      </c>
      <c r="C11" s="62">
        <v>292966</v>
      </c>
      <c r="D11" s="62">
        <v>280448</v>
      </c>
      <c r="E11" s="62">
        <f t="shared" si="2"/>
        <v>573414</v>
      </c>
    </row>
    <row r="12" spans="1:5" x14ac:dyDescent="0.35">
      <c r="A12" s="60">
        <v>8</v>
      </c>
      <c r="B12" s="62">
        <v>555804</v>
      </c>
      <c r="C12" s="62">
        <v>283937</v>
      </c>
      <c r="D12" s="62">
        <v>271867</v>
      </c>
      <c r="E12" s="62">
        <f t="shared" si="2"/>
        <v>555804</v>
      </c>
    </row>
    <row r="13" spans="1:5" x14ac:dyDescent="0.35">
      <c r="A13" s="60">
        <v>9</v>
      </c>
      <c r="B13" s="62">
        <v>536008</v>
      </c>
      <c r="C13" s="62">
        <v>273804</v>
      </c>
      <c r="D13" s="62">
        <v>262204</v>
      </c>
      <c r="E13" s="62">
        <f t="shared" si="2"/>
        <v>536008</v>
      </c>
    </row>
    <row r="14" spans="1:5" x14ac:dyDescent="0.35">
      <c r="A14" s="63">
        <v>44809</v>
      </c>
      <c r="B14" s="64">
        <v>2871669</v>
      </c>
      <c r="C14" s="64">
        <f t="shared" ref="C14:D14" si="3">SUM(C9:C13)</f>
        <v>1467289</v>
      </c>
      <c r="D14" s="64">
        <f t="shared" si="3"/>
        <v>1404380</v>
      </c>
      <c r="E14" s="30">
        <f t="shared" si="2"/>
        <v>2871669</v>
      </c>
    </row>
    <row r="15" spans="1:5" x14ac:dyDescent="0.35">
      <c r="A15" s="60">
        <v>10</v>
      </c>
      <c r="B15" s="60">
        <v>517274</v>
      </c>
      <c r="C15" s="60">
        <v>264191</v>
      </c>
      <c r="D15" s="60">
        <v>253083</v>
      </c>
      <c r="E15" s="62">
        <f>C15+D15</f>
        <v>517274</v>
      </c>
    </row>
    <row r="16" spans="1:5" x14ac:dyDescent="0.35">
      <c r="A16" s="60">
        <v>11</v>
      </c>
      <c r="B16" s="60">
        <v>499508</v>
      </c>
      <c r="C16" s="60">
        <v>255075</v>
      </c>
      <c r="D16" s="60">
        <v>244433</v>
      </c>
      <c r="E16" s="62">
        <f t="shared" ref="E16:E19" si="4">C16+D16</f>
        <v>499508</v>
      </c>
    </row>
    <row r="17" spans="1:5" x14ac:dyDescent="0.35">
      <c r="A17" s="60">
        <v>12</v>
      </c>
      <c r="B17" s="60">
        <v>482458</v>
      </c>
      <c r="C17" s="60">
        <v>246348</v>
      </c>
      <c r="D17" s="60">
        <v>236110</v>
      </c>
      <c r="E17" s="62">
        <f t="shared" si="4"/>
        <v>482458</v>
      </c>
    </row>
    <row r="18" spans="1:5" x14ac:dyDescent="0.35">
      <c r="A18" s="60">
        <v>13</v>
      </c>
      <c r="B18" s="60">
        <v>465303</v>
      </c>
      <c r="C18" s="60">
        <v>237587</v>
      </c>
      <c r="D18" s="60">
        <v>227716</v>
      </c>
      <c r="E18" s="62">
        <f t="shared" si="4"/>
        <v>465303</v>
      </c>
    </row>
    <row r="19" spans="1:5" x14ac:dyDescent="0.35">
      <c r="A19" s="60">
        <v>14</v>
      </c>
      <c r="B19" s="60">
        <v>444565</v>
      </c>
      <c r="C19" s="60">
        <v>225015</v>
      </c>
      <c r="D19" s="60">
        <v>219550</v>
      </c>
      <c r="E19" s="62">
        <f t="shared" si="4"/>
        <v>444565</v>
      </c>
    </row>
    <row r="20" spans="1:5" x14ac:dyDescent="0.35">
      <c r="A20" s="65">
        <v>41913</v>
      </c>
      <c r="B20" s="64">
        <f>SUM(B15:B19)</f>
        <v>2409108</v>
      </c>
      <c r="C20" s="64">
        <f t="shared" ref="C20:E20" si="5">SUM(C15:C19)</f>
        <v>1228216</v>
      </c>
      <c r="D20" s="64">
        <f t="shared" si="5"/>
        <v>1180892</v>
      </c>
      <c r="E20" s="64">
        <f t="shared" si="5"/>
        <v>2409108</v>
      </c>
    </row>
    <row r="21" spans="1:5" x14ac:dyDescent="0.35">
      <c r="A21" s="60">
        <v>15</v>
      </c>
      <c r="B21" s="60">
        <v>442016</v>
      </c>
      <c r="C21" s="60">
        <v>223742</v>
      </c>
      <c r="D21" s="60">
        <v>218274</v>
      </c>
      <c r="E21" s="62">
        <f>D21+C21</f>
        <v>442016</v>
      </c>
    </row>
    <row r="22" spans="1:5" x14ac:dyDescent="0.35">
      <c r="A22" s="60">
        <v>16</v>
      </c>
      <c r="B22" s="60">
        <v>439717</v>
      </c>
      <c r="C22" s="60">
        <v>222641</v>
      </c>
      <c r="D22" s="60">
        <v>217076</v>
      </c>
      <c r="E22" s="62">
        <f t="shared" ref="E22:E25" si="6">D22+C22</f>
        <v>439717</v>
      </c>
    </row>
    <row r="23" spans="1:5" x14ac:dyDescent="0.35">
      <c r="A23" s="60">
        <v>17</v>
      </c>
      <c r="B23" s="60">
        <v>437430</v>
      </c>
      <c r="C23" s="60">
        <v>221542</v>
      </c>
      <c r="D23" s="60">
        <v>215888</v>
      </c>
      <c r="E23" s="62">
        <f t="shared" si="6"/>
        <v>437430</v>
      </c>
    </row>
    <row r="24" spans="1:5" x14ac:dyDescent="0.35">
      <c r="A24" s="60">
        <v>18</v>
      </c>
      <c r="B24" s="60">
        <v>435115</v>
      </c>
      <c r="C24" s="60">
        <v>220398</v>
      </c>
      <c r="D24" s="60">
        <v>214717</v>
      </c>
      <c r="E24" s="62">
        <f t="shared" si="6"/>
        <v>435115</v>
      </c>
    </row>
    <row r="25" spans="1:5" x14ac:dyDescent="0.35">
      <c r="A25" s="60">
        <v>19</v>
      </c>
      <c r="B25" s="60">
        <v>391641</v>
      </c>
      <c r="C25" s="60">
        <v>198582</v>
      </c>
      <c r="D25" s="60">
        <v>193059</v>
      </c>
      <c r="E25" s="62">
        <f t="shared" si="6"/>
        <v>391641</v>
      </c>
    </row>
    <row r="26" spans="1:5" x14ac:dyDescent="0.35">
      <c r="A26" s="60" t="s">
        <v>343</v>
      </c>
      <c r="B26" s="64">
        <f>SUM(B21:B25)</f>
        <v>2145919</v>
      </c>
      <c r="C26" s="64">
        <f t="shared" ref="C26:E26" si="7">SUM(C21:C25)</f>
        <v>1086905</v>
      </c>
      <c r="D26" s="64">
        <f t="shared" si="7"/>
        <v>1059014</v>
      </c>
      <c r="E26" s="64">
        <f t="shared" si="7"/>
        <v>2145919</v>
      </c>
    </row>
    <row r="27" spans="1:5" x14ac:dyDescent="0.35">
      <c r="A27" s="60">
        <v>20</v>
      </c>
      <c r="B27" s="60">
        <v>372385</v>
      </c>
      <c r="C27" s="60">
        <v>188883</v>
      </c>
      <c r="D27" s="60">
        <v>183502</v>
      </c>
      <c r="E27" s="62">
        <f>D27+C27</f>
        <v>372385</v>
      </c>
    </row>
    <row r="28" spans="1:5" x14ac:dyDescent="0.35">
      <c r="A28" s="60">
        <v>21</v>
      </c>
      <c r="B28" s="60">
        <v>352125</v>
      </c>
      <c r="C28" s="60">
        <v>178625</v>
      </c>
      <c r="D28" s="60">
        <v>173500</v>
      </c>
      <c r="E28" s="62">
        <f t="shared" ref="E28:E91" si="8">D28+C28</f>
        <v>352125</v>
      </c>
    </row>
    <row r="29" spans="1:5" x14ac:dyDescent="0.35">
      <c r="A29" s="60">
        <v>22</v>
      </c>
      <c r="B29" s="60">
        <v>331001</v>
      </c>
      <c r="C29" s="60">
        <v>167894</v>
      </c>
      <c r="D29" s="60">
        <v>163107</v>
      </c>
      <c r="E29" s="62">
        <f t="shared" si="8"/>
        <v>331001</v>
      </c>
    </row>
    <row r="30" spans="1:5" x14ac:dyDescent="0.35">
      <c r="A30" s="60">
        <v>23</v>
      </c>
      <c r="B30" s="60">
        <v>309649</v>
      </c>
      <c r="C30" s="60">
        <v>157033</v>
      </c>
      <c r="D30" s="60">
        <v>152616</v>
      </c>
      <c r="E30" s="62">
        <f t="shared" si="8"/>
        <v>309649</v>
      </c>
    </row>
    <row r="31" spans="1:5" x14ac:dyDescent="0.35">
      <c r="A31" s="60">
        <v>24</v>
      </c>
      <c r="B31" s="60">
        <v>288515</v>
      </c>
      <c r="C31" s="60">
        <v>146290</v>
      </c>
      <c r="D31" s="60">
        <v>142225</v>
      </c>
      <c r="E31" s="62">
        <f t="shared" si="8"/>
        <v>288515</v>
      </c>
    </row>
    <row r="32" spans="1:5" x14ac:dyDescent="0.35">
      <c r="A32" s="60" t="s">
        <v>344</v>
      </c>
      <c r="B32" s="64">
        <f>SUM(B27:B31)</f>
        <v>1653675</v>
      </c>
      <c r="C32" s="64">
        <f t="shared" ref="C32:E32" si="9">SUM(C27:C31)</f>
        <v>838725</v>
      </c>
      <c r="D32" s="64">
        <f t="shared" si="9"/>
        <v>814950</v>
      </c>
      <c r="E32" s="64">
        <f t="shared" si="9"/>
        <v>1653675</v>
      </c>
    </row>
    <row r="33" spans="1:5" x14ac:dyDescent="0.35">
      <c r="A33" s="60">
        <v>25</v>
      </c>
      <c r="B33" s="60">
        <v>268593</v>
      </c>
      <c r="C33" s="60">
        <v>136091</v>
      </c>
      <c r="D33" s="60">
        <v>132502</v>
      </c>
      <c r="E33" s="62">
        <f t="shared" si="8"/>
        <v>268593</v>
      </c>
    </row>
    <row r="34" spans="1:5" x14ac:dyDescent="0.35">
      <c r="A34" s="60">
        <v>26</v>
      </c>
      <c r="B34" s="60">
        <v>251044</v>
      </c>
      <c r="C34" s="60">
        <v>126983</v>
      </c>
      <c r="D34" s="60">
        <v>124061</v>
      </c>
      <c r="E34" s="62">
        <f t="shared" si="8"/>
        <v>251044</v>
      </c>
    </row>
    <row r="35" spans="1:5" x14ac:dyDescent="0.35">
      <c r="A35" s="60">
        <v>27</v>
      </c>
      <c r="B35" s="60">
        <v>236569</v>
      </c>
      <c r="C35" s="60">
        <v>119299</v>
      </c>
      <c r="D35" s="60">
        <v>117270</v>
      </c>
      <c r="E35" s="62">
        <f t="shared" si="8"/>
        <v>236569</v>
      </c>
    </row>
    <row r="36" spans="1:5" x14ac:dyDescent="0.35">
      <c r="A36" s="60">
        <v>28</v>
      </c>
      <c r="B36" s="60">
        <v>224463</v>
      </c>
      <c r="C36" s="60">
        <v>112697</v>
      </c>
      <c r="D36" s="60">
        <v>111766</v>
      </c>
      <c r="E36" s="62">
        <f t="shared" si="8"/>
        <v>224463</v>
      </c>
    </row>
    <row r="37" spans="1:5" x14ac:dyDescent="0.35">
      <c r="A37" s="60">
        <v>29</v>
      </c>
      <c r="B37" s="60">
        <v>213914</v>
      </c>
      <c r="C37" s="60">
        <v>106920</v>
      </c>
      <c r="D37" s="60">
        <v>106994</v>
      </c>
      <c r="E37" s="62">
        <f t="shared" si="8"/>
        <v>213914</v>
      </c>
    </row>
    <row r="38" spans="1:5" x14ac:dyDescent="0.35">
      <c r="A38" s="60" t="s">
        <v>345</v>
      </c>
      <c r="B38" s="64">
        <f>SUM(B33:B37)</f>
        <v>1194583</v>
      </c>
      <c r="C38" s="64">
        <f t="shared" ref="C38:E38" si="10">SUM(C33:C37)</f>
        <v>601990</v>
      </c>
      <c r="D38" s="64">
        <f t="shared" si="10"/>
        <v>592593</v>
      </c>
      <c r="E38" s="64">
        <f t="shared" si="10"/>
        <v>1194583</v>
      </c>
    </row>
    <row r="39" spans="1:5" x14ac:dyDescent="0.35">
      <c r="A39" s="60">
        <v>30</v>
      </c>
      <c r="B39" s="60">
        <v>203947</v>
      </c>
      <c r="C39" s="60">
        <v>101339</v>
      </c>
      <c r="D39" s="60">
        <v>102608</v>
      </c>
      <c r="E39" s="62">
        <f t="shared" si="8"/>
        <v>203947</v>
      </c>
    </row>
    <row r="40" spans="1:5" x14ac:dyDescent="0.35">
      <c r="A40" s="60">
        <v>31</v>
      </c>
      <c r="B40" s="60">
        <v>194967</v>
      </c>
      <c r="C40" s="60">
        <v>95782</v>
      </c>
      <c r="D40" s="60">
        <v>99185</v>
      </c>
      <c r="E40" s="62">
        <f t="shared" si="8"/>
        <v>194967</v>
      </c>
    </row>
    <row r="41" spans="1:5" x14ac:dyDescent="0.35">
      <c r="A41" s="60">
        <v>32</v>
      </c>
      <c r="B41" s="60">
        <v>186738</v>
      </c>
      <c r="C41" s="60">
        <v>90007</v>
      </c>
      <c r="D41" s="60">
        <v>96731</v>
      </c>
      <c r="E41" s="62">
        <f t="shared" si="8"/>
        <v>186738</v>
      </c>
    </row>
    <row r="42" spans="1:5" x14ac:dyDescent="0.35">
      <c r="A42" s="60">
        <v>33</v>
      </c>
      <c r="B42" s="60">
        <v>179140</v>
      </c>
      <c r="C42" s="60">
        <v>84184</v>
      </c>
      <c r="D42" s="60">
        <v>94956</v>
      </c>
      <c r="E42" s="62">
        <f t="shared" si="8"/>
        <v>179140</v>
      </c>
    </row>
    <row r="43" spans="1:5" x14ac:dyDescent="0.35">
      <c r="A43" s="60">
        <v>34</v>
      </c>
      <c r="B43" s="60">
        <v>172315</v>
      </c>
      <c r="C43" s="60">
        <v>78608</v>
      </c>
      <c r="D43" s="60">
        <v>93707</v>
      </c>
      <c r="E43" s="62">
        <f t="shared" si="8"/>
        <v>172315</v>
      </c>
    </row>
    <row r="44" spans="1:5" x14ac:dyDescent="0.35">
      <c r="A44" s="60" t="s">
        <v>346</v>
      </c>
      <c r="B44" s="64">
        <f>SUM(B39:B43)</f>
        <v>937107</v>
      </c>
      <c r="C44" s="64">
        <f t="shared" ref="C44:E44" si="11">SUM(C39:C43)</f>
        <v>449920</v>
      </c>
      <c r="D44" s="64">
        <f t="shared" si="11"/>
        <v>487187</v>
      </c>
      <c r="E44" s="64">
        <f t="shared" si="11"/>
        <v>937107</v>
      </c>
    </row>
    <row r="45" spans="1:5" x14ac:dyDescent="0.35">
      <c r="A45" s="60">
        <v>35</v>
      </c>
      <c r="B45" s="60">
        <v>166020</v>
      </c>
      <c r="C45" s="60">
        <v>73594</v>
      </c>
      <c r="D45" s="60">
        <v>92426</v>
      </c>
      <c r="E45" s="62">
        <f t="shared" si="8"/>
        <v>166020</v>
      </c>
    </row>
    <row r="46" spans="1:5" x14ac:dyDescent="0.35">
      <c r="A46" s="60">
        <v>36</v>
      </c>
      <c r="B46" s="60">
        <v>159743</v>
      </c>
      <c r="C46" s="60">
        <v>69215</v>
      </c>
      <c r="D46" s="60">
        <v>90528</v>
      </c>
      <c r="E46" s="62">
        <f t="shared" si="8"/>
        <v>159743</v>
      </c>
    </row>
    <row r="47" spans="1:5" x14ac:dyDescent="0.35">
      <c r="A47" s="60">
        <v>37</v>
      </c>
      <c r="B47" s="60">
        <v>153330</v>
      </c>
      <c r="C47" s="60">
        <v>65623</v>
      </c>
      <c r="D47" s="60">
        <v>87707</v>
      </c>
      <c r="E47" s="62">
        <f t="shared" si="8"/>
        <v>153330</v>
      </c>
    </row>
    <row r="48" spans="1:5" x14ac:dyDescent="0.35">
      <c r="A48" s="60">
        <v>38</v>
      </c>
      <c r="B48" s="60">
        <v>146998</v>
      </c>
      <c r="C48" s="60">
        <v>62719</v>
      </c>
      <c r="D48" s="60">
        <v>84279</v>
      </c>
      <c r="E48" s="62">
        <f t="shared" si="8"/>
        <v>146998</v>
      </c>
    </row>
    <row r="49" spans="1:5" x14ac:dyDescent="0.35">
      <c r="A49" s="60">
        <v>39</v>
      </c>
      <c r="B49" s="60">
        <v>140994</v>
      </c>
      <c r="C49" s="60">
        <v>60154</v>
      </c>
      <c r="D49" s="60">
        <v>80840</v>
      </c>
      <c r="E49" s="62">
        <f t="shared" si="8"/>
        <v>140994</v>
      </c>
    </row>
    <row r="50" spans="1:5" x14ac:dyDescent="0.35">
      <c r="A50" s="60" t="s">
        <v>347</v>
      </c>
      <c r="B50" s="64">
        <f>SUM(B45:B49)</f>
        <v>767085</v>
      </c>
      <c r="C50" s="64">
        <f t="shared" ref="C50:E50" si="12">SUM(C45:C49)</f>
        <v>331305</v>
      </c>
      <c r="D50" s="64">
        <f t="shared" si="12"/>
        <v>435780</v>
      </c>
      <c r="E50" s="64">
        <f t="shared" si="12"/>
        <v>767085</v>
      </c>
    </row>
    <row r="51" spans="1:5" x14ac:dyDescent="0.35">
      <c r="A51" s="60">
        <v>40</v>
      </c>
      <c r="B51" s="60">
        <v>135394</v>
      </c>
      <c r="C51" s="60">
        <v>57781</v>
      </c>
      <c r="D51" s="60">
        <v>77613</v>
      </c>
      <c r="E51" s="62">
        <f t="shared" si="8"/>
        <v>135394</v>
      </c>
    </row>
    <row r="52" spans="1:5" x14ac:dyDescent="0.35">
      <c r="A52" s="60">
        <v>41</v>
      </c>
      <c r="B52" s="60">
        <v>130066</v>
      </c>
      <c r="C52" s="60">
        <v>55767</v>
      </c>
      <c r="D52" s="60">
        <v>74299</v>
      </c>
      <c r="E52" s="62">
        <f t="shared" si="8"/>
        <v>130066</v>
      </c>
    </row>
    <row r="53" spans="1:5" x14ac:dyDescent="0.35">
      <c r="A53" s="60">
        <v>42</v>
      </c>
      <c r="B53" s="60">
        <v>125072</v>
      </c>
      <c r="C53" s="60">
        <v>54111</v>
      </c>
      <c r="D53" s="60">
        <v>70961</v>
      </c>
      <c r="E53" s="62">
        <f t="shared" si="8"/>
        <v>125072</v>
      </c>
    </row>
    <row r="54" spans="1:5" x14ac:dyDescent="0.35">
      <c r="A54" s="60">
        <v>43</v>
      </c>
      <c r="B54" s="60">
        <v>120350</v>
      </c>
      <c r="C54" s="60">
        <v>52726</v>
      </c>
      <c r="D54" s="60">
        <v>67624</v>
      </c>
      <c r="E54" s="62">
        <f t="shared" si="8"/>
        <v>120350</v>
      </c>
    </row>
    <row r="55" spans="1:5" x14ac:dyDescent="0.35">
      <c r="A55" s="60">
        <v>44</v>
      </c>
      <c r="B55" s="60">
        <v>115807</v>
      </c>
      <c r="C55" s="60">
        <v>51593</v>
      </c>
      <c r="D55" s="60">
        <v>64214</v>
      </c>
      <c r="E55" s="62">
        <f t="shared" si="8"/>
        <v>115807</v>
      </c>
    </row>
    <row r="56" spans="1:5" x14ac:dyDescent="0.35">
      <c r="A56" s="60" t="s">
        <v>348</v>
      </c>
      <c r="B56" s="64">
        <f>SUM(B51:B55)</f>
        <v>626689</v>
      </c>
      <c r="C56" s="64">
        <f t="shared" ref="C56:E56" si="13">SUM(C51:C55)</f>
        <v>271978</v>
      </c>
      <c r="D56" s="64">
        <f t="shared" si="13"/>
        <v>354711</v>
      </c>
      <c r="E56" s="64">
        <f t="shared" si="13"/>
        <v>626689</v>
      </c>
    </row>
    <row r="57" spans="1:5" x14ac:dyDescent="0.35">
      <c r="A57" s="60">
        <v>45</v>
      </c>
      <c r="B57" s="60">
        <v>111369</v>
      </c>
      <c r="C57" s="60">
        <v>50531</v>
      </c>
      <c r="D57" s="60">
        <v>60838</v>
      </c>
      <c r="E57" s="62">
        <f t="shared" si="8"/>
        <v>111369</v>
      </c>
    </row>
    <row r="58" spans="1:5" x14ac:dyDescent="0.35">
      <c r="A58" s="60">
        <v>46</v>
      </c>
      <c r="B58" s="60">
        <v>107065</v>
      </c>
      <c r="C58" s="60">
        <v>49314</v>
      </c>
      <c r="D58" s="60">
        <v>57751</v>
      </c>
      <c r="E58" s="62">
        <f t="shared" si="8"/>
        <v>107065</v>
      </c>
    </row>
    <row r="59" spans="1:5" x14ac:dyDescent="0.35">
      <c r="A59" s="60">
        <v>47</v>
      </c>
      <c r="B59" s="60">
        <v>102913</v>
      </c>
      <c r="C59" s="60">
        <v>47824</v>
      </c>
      <c r="D59" s="60">
        <v>55089</v>
      </c>
      <c r="E59" s="62">
        <f t="shared" si="8"/>
        <v>102913</v>
      </c>
    </row>
    <row r="60" spans="1:5" x14ac:dyDescent="0.35">
      <c r="A60" s="60">
        <v>48</v>
      </c>
      <c r="B60" s="60">
        <v>98961</v>
      </c>
      <c r="C60" s="60">
        <v>46169</v>
      </c>
      <c r="D60" s="60">
        <v>52792</v>
      </c>
      <c r="E60" s="62">
        <f t="shared" si="8"/>
        <v>98961</v>
      </c>
    </row>
    <row r="61" spans="1:5" x14ac:dyDescent="0.35">
      <c r="A61" s="60">
        <v>49</v>
      </c>
      <c r="B61" s="60">
        <v>95154</v>
      </c>
      <c r="C61" s="60">
        <v>44500</v>
      </c>
      <c r="D61" s="60">
        <v>50654</v>
      </c>
      <c r="E61" s="62">
        <f t="shared" si="8"/>
        <v>95154</v>
      </c>
    </row>
    <row r="62" spans="1:5" x14ac:dyDescent="0.35">
      <c r="A62" s="60" t="s">
        <v>349</v>
      </c>
      <c r="B62" s="64">
        <f>SUM(B57:B61)</f>
        <v>515462</v>
      </c>
      <c r="C62" s="64">
        <f t="shared" ref="C62:E62" si="14">SUM(C57:C61)</f>
        <v>238338</v>
      </c>
      <c r="D62" s="64">
        <f t="shared" si="14"/>
        <v>277124</v>
      </c>
      <c r="E62" s="64">
        <f t="shared" si="14"/>
        <v>515462</v>
      </c>
    </row>
    <row r="63" spans="1:5" x14ac:dyDescent="0.35">
      <c r="A63" s="60">
        <v>50</v>
      </c>
      <c r="B63" s="60">
        <v>91475</v>
      </c>
      <c r="C63" s="60">
        <v>42958</v>
      </c>
      <c r="D63" s="60">
        <v>48517</v>
      </c>
      <c r="E63" s="62">
        <f t="shared" si="8"/>
        <v>91475</v>
      </c>
    </row>
    <row r="64" spans="1:5" x14ac:dyDescent="0.35">
      <c r="A64" s="60">
        <v>51</v>
      </c>
      <c r="B64" s="60">
        <v>87835</v>
      </c>
      <c r="C64" s="60">
        <v>41527</v>
      </c>
      <c r="D64" s="60">
        <v>46308</v>
      </c>
      <c r="E64" s="62">
        <f t="shared" si="8"/>
        <v>87835</v>
      </c>
    </row>
    <row r="65" spans="1:5" x14ac:dyDescent="0.35">
      <c r="A65" s="60">
        <v>52</v>
      </c>
      <c r="B65" s="60">
        <v>84144</v>
      </c>
      <c r="C65" s="60">
        <v>40234</v>
      </c>
      <c r="D65" s="60">
        <v>43910</v>
      </c>
      <c r="E65" s="62">
        <f t="shared" si="8"/>
        <v>84144</v>
      </c>
    </row>
    <row r="66" spans="1:5" x14ac:dyDescent="0.35">
      <c r="A66" s="60">
        <v>53</v>
      </c>
      <c r="B66" s="60">
        <v>80403</v>
      </c>
      <c r="C66" s="60">
        <v>39028</v>
      </c>
      <c r="D66" s="60">
        <v>41375</v>
      </c>
      <c r="E66" s="62">
        <f t="shared" si="8"/>
        <v>80403</v>
      </c>
    </row>
    <row r="67" spans="1:5" x14ac:dyDescent="0.35">
      <c r="A67" s="60">
        <v>54</v>
      </c>
      <c r="B67" s="60">
        <v>76605</v>
      </c>
      <c r="C67" s="60">
        <v>37815</v>
      </c>
      <c r="D67" s="60">
        <v>38790</v>
      </c>
      <c r="E67" s="62">
        <f t="shared" si="8"/>
        <v>76605</v>
      </c>
    </row>
    <row r="68" spans="1:5" x14ac:dyDescent="0.35">
      <c r="A68" s="60" t="s">
        <v>350</v>
      </c>
      <c r="B68" s="64">
        <f>SUM(B63:B67)</f>
        <v>420462</v>
      </c>
      <c r="C68" s="64">
        <f t="shared" ref="C68:E68" si="15">SUM(C63:C67)</f>
        <v>201562</v>
      </c>
      <c r="D68" s="64">
        <f t="shared" si="15"/>
        <v>218900</v>
      </c>
      <c r="E68" s="64">
        <f t="shared" si="15"/>
        <v>420462</v>
      </c>
    </row>
    <row r="69" spans="1:5" x14ac:dyDescent="0.35">
      <c r="A69" s="60">
        <v>55</v>
      </c>
      <c r="B69" s="60">
        <v>72808</v>
      </c>
      <c r="C69" s="60">
        <v>36518</v>
      </c>
      <c r="D69" s="60">
        <v>36290</v>
      </c>
      <c r="E69" s="62">
        <f t="shared" si="8"/>
        <v>72808</v>
      </c>
    </row>
    <row r="70" spans="1:5" x14ac:dyDescent="0.35">
      <c r="A70" s="60">
        <v>56</v>
      </c>
      <c r="B70" s="60">
        <v>69112</v>
      </c>
      <c r="C70" s="60">
        <v>35133</v>
      </c>
      <c r="D70" s="60">
        <v>33979</v>
      </c>
      <c r="E70" s="62">
        <f t="shared" si="8"/>
        <v>69112</v>
      </c>
    </row>
    <row r="71" spans="1:5" x14ac:dyDescent="0.35">
      <c r="A71" s="60">
        <v>57</v>
      </c>
      <c r="B71" s="60">
        <v>65640</v>
      </c>
      <c r="C71" s="60">
        <v>33664</v>
      </c>
      <c r="D71" s="60">
        <v>31976</v>
      </c>
      <c r="E71" s="62">
        <f t="shared" si="8"/>
        <v>65640</v>
      </c>
    </row>
    <row r="72" spans="1:5" x14ac:dyDescent="0.35">
      <c r="A72" s="60">
        <v>58</v>
      </c>
      <c r="B72" s="60">
        <v>62415</v>
      </c>
      <c r="C72" s="60">
        <v>32152</v>
      </c>
      <c r="D72" s="60">
        <v>30263</v>
      </c>
      <c r="E72" s="62">
        <f t="shared" si="8"/>
        <v>62415</v>
      </c>
    </row>
    <row r="73" spans="1:5" x14ac:dyDescent="0.35">
      <c r="A73" s="60">
        <v>59</v>
      </c>
      <c r="B73" s="60">
        <v>59383</v>
      </c>
      <c r="C73" s="60">
        <v>30665</v>
      </c>
      <c r="D73" s="60">
        <v>28718</v>
      </c>
      <c r="E73" s="62">
        <f t="shared" si="8"/>
        <v>59383</v>
      </c>
    </row>
    <row r="74" spans="1:5" x14ac:dyDescent="0.35">
      <c r="A74" s="60" t="s">
        <v>351</v>
      </c>
      <c r="B74" s="64">
        <f>SUM(B69:B73)</f>
        <v>329358</v>
      </c>
      <c r="C74" s="64">
        <f t="shared" ref="C74:E74" si="16">SUM(C69:C73)</f>
        <v>168132</v>
      </c>
      <c r="D74" s="64">
        <f t="shared" si="16"/>
        <v>161226</v>
      </c>
      <c r="E74" s="64">
        <f t="shared" si="16"/>
        <v>329358</v>
      </c>
    </row>
    <row r="75" spans="1:5" x14ac:dyDescent="0.35">
      <c r="A75" s="60">
        <v>60</v>
      </c>
      <c r="B75" s="60">
        <v>56358</v>
      </c>
      <c r="C75" s="60">
        <v>29175</v>
      </c>
      <c r="D75" s="60">
        <v>27183</v>
      </c>
      <c r="E75" s="62">
        <f t="shared" si="8"/>
        <v>56358</v>
      </c>
    </row>
    <row r="76" spans="1:5" x14ac:dyDescent="0.35">
      <c r="A76" s="60">
        <v>61</v>
      </c>
      <c r="B76" s="60">
        <v>53142</v>
      </c>
      <c r="C76" s="60">
        <v>27580</v>
      </c>
      <c r="D76" s="60">
        <v>25562</v>
      </c>
      <c r="E76" s="62">
        <f t="shared" si="8"/>
        <v>53142</v>
      </c>
    </row>
    <row r="77" spans="1:5" x14ac:dyDescent="0.35">
      <c r="A77" s="60">
        <v>62</v>
      </c>
      <c r="B77" s="60">
        <v>49642</v>
      </c>
      <c r="C77" s="60">
        <v>25849</v>
      </c>
      <c r="D77" s="60">
        <v>23793</v>
      </c>
      <c r="E77" s="62">
        <f t="shared" si="8"/>
        <v>49642</v>
      </c>
    </row>
    <row r="78" spans="1:5" x14ac:dyDescent="0.35">
      <c r="A78" s="60">
        <v>63</v>
      </c>
      <c r="B78" s="60">
        <v>45968</v>
      </c>
      <c r="C78" s="60">
        <v>24039</v>
      </c>
      <c r="D78" s="60">
        <v>21929</v>
      </c>
      <c r="E78" s="62">
        <f t="shared" si="8"/>
        <v>45968</v>
      </c>
    </row>
    <row r="79" spans="1:5" x14ac:dyDescent="0.35">
      <c r="A79" s="60">
        <v>64</v>
      </c>
      <c r="B79" s="60">
        <v>42272</v>
      </c>
      <c r="C79" s="60">
        <v>22200</v>
      </c>
      <c r="D79" s="60">
        <v>20072</v>
      </c>
      <c r="E79" s="62">
        <f t="shared" si="8"/>
        <v>42272</v>
      </c>
    </row>
    <row r="80" spans="1:5" x14ac:dyDescent="0.35">
      <c r="A80" s="60" t="s">
        <v>352</v>
      </c>
      <c r="B80" s="64">
        <f>SUM(B75:B79)</f>
        <v>247382</v>
      </c>
      <c r="C80" s="64">
        <f t="shared" ref="C80:E80" si="17">SUM(C75:C79)</f>
        <v>128843</v>
      </c>
      <c r="D80" s="64">
        <f t="shared" si="17"/>
        <v>118539</v>
      </c>
      <c r="E80" s="64">
        <f t="shared" si="17"/>
        <v>247382</v>
      </c>
    </row>
    <row r="81" spans="1:5" x14ac:dyDescent="0.35">
      <c r="A81" s="60">
        <v>65</v>
      </c>
      <c r="B81" s="60">
        <v>38807</v>
      </c>
      <c r="C81" s="60">
        <v>20452</v>
      </c>
      <c r="D81" s="60">
        <v>18355</v>
      </c>
      <c r="E81" s="62">
        <f t="shared" si="8"/>
        <v>38807</v>
      </c>
    </row>
    <row r="82" spans="1:5" x14ac:dyDescent="0.35">
      <c r="A82" s="60">
        <v>66</v>
      </c>
      <c r="B82" s="60">
        <v>35715</v>
      </c>
      <c r="C82" s="60">
        <v>18883</v>
      </c>
      <c r="D82" s="60">
        <v>16832</v>
      </c>
      <c r="E82" s="62">
        <f t="shared" si="8"/>
        <v>35715</v>
      </c>
    </row>
    <row r="83" spans="1:5" x14ac:dyDescent="0.35">
      <c r="A83" s="60">
        <v>67</v>
      </c>
      <c r="B83" s="60">
        <v>33071</v>
      </c>
      <c r="C83" s="60">
        <v>17540</v>
      </c>
      <c r="D83" s="60">
        <v>15531</v>
      </c>
      <c r="E83" s="62">
        <f t="shared" si="8"/>
        <v>33071</v>
      </c>
    </row>
    <row r="84" spans="1:5" x14ac:dyDescent="0.35">
      <c r="A84" s="60">
        <v>68</v>
      </c>
      <c r="B84" s="60">
        <v>30769</v>
      </c>
      <c r="C84" s="60">
        <v>16362</v>
      </c>
      <c r="D84" s="60">
        <v>14407</v>
      </c>
      <c r="E84" s="62">
        <f t="shared" si="8"/>
        <v>30769</v>
      </c>
    </row>
    <row r="85" spans="1:5" x14ac:dyDescent="0.35">
      <c r="A85" s="60">
        <v>69</v>
      </c>
      <c r="B85" s="60">
        <v>28617</v>
      </c>
      <c r="C85" s="60">
        <v>15253</v>
      </c>
      <c r="D85" s="60">
        <v>13364</v>
      </c>
      <c r="E85" s="62">
        <f t="shared" si="8"/>
        <v>28617</v>
      </c>
    </row>
    <row r="86" spans="1:5" x14ac:dyDescent="0.35">
      <c r="A86" s="60" t="s">
        <v>353</v>
      </c>
      <c r="B86" s="64">
        <f>SUM(B81:B85)</f>
        <v>166979</v>
      </c>
      <c r="C86" s="64">
        <f t="shared" ref="C86:E86" si="18">SUM(C81:C85)</f>
        <v>88490</v>
      </c>
      <c r="D86" s="64">
        <f t="shared" si="18"/>
        <v>78489</v>
      </c>
      <c r="E86" s="64">
        <f t="shared" si="18"/>
        <v>166979</v>
      </c>
    </row>
    <row r="87" spans="1:5" x14ac:dyDescent="0.35">
      <c r="A87" s="60">
        <v>70</v>
      </c>
      <c r="B87" s="60">
        <v>26516</v>
      </c>
      <c r="C87" s="60">
        <v>14153</v>
      </c>
      <c r="D87" s="60">
        <v>12363</v>
      </c>
      <c r="E87" s="62">
        <f t="shared" si="8"/>
        <v>26516</v>
      </c>
    </row>
    <row r="88" spans="1:5" x14ac:dyDescent="0.35">
      <c r="A88" s="60">
        <v>71</v>
      </c>
      <c r="B88" s="60">
        <v>24501</v>
      </c>
      <c r="C88" s="60">
        <v>13067</v>
      </c>
      <c r="D88" s="60">
        <v>11434</v>
      </c>
      <c r="E88" s="62">
        <f t="shared" si="8"/>
        <v>24501</v>
      </c>
    </row>
    <row r="89" spans="1:5" x14ac:dyDescent="0.35">
      <c r="A89" s="60">
        <v>72</v>
      </c>
      <c r="B89" s="60">
        <v>22511</v>
      </c>
      <c r="C89" s="60">
        <v>11962</v>
      </c>
      <c r="D89" s="60">
        <v>10549</v>
      </c>
      <c r="E89" s="62">
        <f t="shared" si="8"/>
        <v>22511</v>
      </c>
    </row>
    <row r="90" spans="1:5" x14ac:dyDescent="0.35">
      <c r="A90" s="60">
        <v>73</v>
      </c>
      <c r="B90" s="60">
        <v>20548</v>
      </c>
      <c r="C90" s="60">
        <v>10851</v>
      </c>
      <c r="D90" s="60">
        <v>9697</v>
      </c>
      <c r="E90" s="62">
        <f t="shared" si="8"/>
        <v>20548</v>
      </c>
    </row>
    <row r="91" spans="1:5" x14ac:dyDescent="0.35">
      <c r="A91" s="60">
        <v>74</v>
      </c>
      <c r="B91" s="60">
        <v>18668</v>
      </c>
      <c r="C91" s="60">
        <v>9777</v>
      </c>
      <c r="D91" s="60">
        <v>8891</v>
      </c>
      <c r="E91" s="62">
        <f t="shared" si="8"/>
        <v>18668</v>
      </c>
    </row>
    <row r="92" spans="1:5" x14ac:dyDescent="0.35">
      <c r="A92" s="60" t="s">
        <v>354</v>
      </c>
      <c r="B92" s="64">
        <f>SUM(B87:B91)</f>
        <v>112744</v>
      </c>
      <c r="C92" s="64">
        <f t="shared" ref="C92:E92" si="19">SUM(C87:C91)</f>
        <v>59810</v>
      </c>
      <c r="D92" s="64">
        <f t="shared" si="19"/>
        <v>52934</v>
      </c>
      <c r="E92" s="64">
        <f t="shared" si="19"/>
        <v>112744</v>
      </c>
    </row>
    <row r="93" spans="1:5" x14ac:dyDescent="0.35">
      <c r="A93" s="60">
        <v>75</v>
      </c>
      <c r="B93" s="60">
        <v>16902</v>
      </c>
      <c r="C93" s="60">
        <v>8776</v>
      </c>
      <c r="D93" s="60">
        <v>8126</v>
      </c>
      <c r="E93" s="62">
        <f t="shared" ref="E93:E100" si="20">D93+C93</f>
        <v>16902</v>
      </c>
    </row>
    <row r="94" spans="1:5" x14ac:dyDescent="0.35">
      <c r="A94" s="60">
        <v>76</v>
      </c>
      <c r="B94" s="60">
        <v>15229</v>
      </c>
      <c r="C94" s="60">
        <v>7851</v>
      </c>
      <c r="D94" s="60">
        <v>7378</v>
      </c>
      <c r="E94" s="62">
        <f t="shared" si="20"/>
        <v>15229</v>
      </c>
    </row>
    <row r="95" spans="1:5" x14ac:dyDescent="0.35">
      <c r="A95" s="60">
        <v>77</v>
      </c>
      <c r="B95" s="60">
        <v>13646</v>
      </c>
      <c r="C95" s="60">
        <v>7006</v>
      </c>
      <c r="D95" s="60">
        <v>6640</v>
      </c>
      <c r="E95" s="62">
        <f t="shared" si="20"/>
        <v>13646</v>
      </c>
    </row>
    <row r="96" spans="1:5" x14ac:dyDescent="0.35">
      <c r="A96" s="60">
        <v>78</v>
      </c>
      <c r="B96" s="60">
        <v>12154</v>
      </c>
      <c r="C96" s="60">
        <v>6231</v>
      </c>
      <c r="D96" s="60">
        <v>5923</v>
      </c>
      <c r="E96" s="62">
        <f t="shared" si="20"/>
        <v>12154</v>
      </c>
    </row>
    <row r="97" spans="1:5" x14ac:dyDescent="0.35">
      <c r="A97" s="60">
        <v>79</v>
      </c>
      <c r="B97" s="60">
        <v>10751</v>
      </c>
      <c r="C97" s="60">
        <v>5509</v>
      </c>
      <c r="D97" s="60">
        <v>5242</v>
      </c>
      <c r="E97" s="62">
        <f t="shared" si="20"/>
        <v>10751</v>
      </c>
    </row>
    <row r="98" spans="1:5" x14ac:dyDescent="0.35">
      <c r="A98" s="60" t="s">
        <v>355</v>
      </c>
      <c r="B98" s="64">
        <f>SUM(B93:B97)</f>
        <v>68682</v>
      </c>
      <c r="C98" s="64">
        <f t="shared" ref="C98:E98" si="21">SUM(C93:C97)</f>
        <v>35373</v>
      </c>
      <c r="D98" s="64">
        <f t="shared" si="21"/>
        <v>33309</v>
      </c>
      <c r="E98" s="64">
        <f t="shared" si="21"/>
        <v>68682</v>
      </c>
    </row>
    <row r="99" spans="1:5" x14ac:dyDescent="0.35">
      <c r="A99" s="60" t="s">
        <v>356</v>
      </c>
      <c r="B99" s="60">
        <v>54757</v>
      </c>
      <c r="C99" s="60">
        <v>28206</v>
      </c>
      <c r="D99" s="60">
        <v>26551</v>
      </c>
      <c r="E99" s="62">
        <f t="shared" si="20"/>
        <v>54757</v>
      </c>
    </row>
    <row r="100" spans="1:5" x14ac:dyDescent="0.35">
      <c r="A100" s="60" t="s">
        <v>246</v>
      </c>
      <c r="B100" s="66" t="s">
        <v>357</v>
      </c>
      <c r="C100" s="64">
        <v>9020035</v>
      </c>
      <c r="D100" s="64">
        <v>9013702</v>
      </c>
      <c r="E100" s="30">
        <f t="shared" si="20"/>
        <v>18033737</v>
      </c>
    </row>
  </sheetData>
  <mergeCells count="1">
    <mergeCell ref="B1:E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8572FE39E13E742976E9C59B6B41BAA" ma:contentTypeVersion="18" ma:contentTypeDescription="Create a new document." ma:contentTypeScope="" ma:versionID="8f18ee81b04948b724c506ebe0571e36">
  <xsd:schema xmlns:xsd="http://www.w3.org/2001/XMLSchema" xmlns:xs="http://www.w3.org/2001/XMLSchema" xmlns:p="http://schemas.microsoft.com/office/2006/metadata/properties" xmlns:ns2="6cde2714-8169-4028-90b7-3bbab0f678f9" xmlns:ns3="741e3717-621b-44d1-9f13-cee523b329f7" xmlns:ns4="985ec44e-1bab-4c0b-9df0-6ba128686fc9" targetNamespace="http://schemas.microsoft.com/office/2006/metadata/properties" ma:root="true" ma:fieldsID="4906abb72e2a9d5e4f92e11db58276d2" ns2:_="" ns3:_="" ns4:_="">
    <xsd:import namespace="6cde2714-8169-4028-90b7-3bbab0f678f9"/>
    <xsd:import namespace="741e3717-621b-44d1-9f13-cee523b329f7"/>
    <xsd:import namespace="985ec44e-1bab-4c0b-9df0-6ba128686fc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DateTaken" minOccurs="0"/>
                <xsd:element ref="ns2:MediaServiceOCR" minOccurs="0"/>
                <xsd:element ref="ns2:MediaServiceLocation" minOccurs="0"/>
                <xsd:element ref="ns3:SharedWithUsers" minOccurs="0"/>
                <xsd:element ref="ns3:SharedWithDetails" minOccurs="0"/>
                <xsd:element ref="ns2:MediaServiceGenerationTime" minOccurs="0"/>
                <xsd:element ref="ns2:MediaServiceEventHashCode" minOccurs="0"/>
                <xsd:element ref="ns2:MediaServiceAutoKeyPoints" minOccurs="0"/>
                <xsd:element ref="ns2:MediaServiceKeyPoints" minOccurs="0"/>
                <xsd:element ref="ns2:MediaLengthInSeconds" minOccurs="0"/>
                <xsd:element ref="ns4:TaxCatchAll" minOccurs="0"/>
                <xsd:element ref="ns2: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cde2714-8169-4028-90b7-3bbab0f678f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MediaServiceAutoTags" ma:internalName="MediaServiceAutoTags" ma:readOnly="true">
      <xsd:simpleType>
        <xsd:restriction base="dms:Text"/>
      </xsd:simpleType>
    </xsd:element>
    <xsd:element name="MediaServiceDateTaken" ma:index="11" nillable="true" ma:displayName="MediaServiceDateTaken" ma:hidden="true" ma:internalName="MediaServiceDateTaken" ma:readOnly="true">
      <xsd:simpleType>
        <xsd:restriction base="dms:Text"/>
      </xsd:simpleType>
    </xsd:element>
    <xsd:element name="MediaServiceOCR" ma:index="12" nillable="true" ma:displayName="MediaServiceOCR" ma:internalName="MediaServiceOCR" ma:readOnly="true">
      <xsd:simpleType>
        <xsd:restriction base="dms:Note">
          <xsd:maxLength value="255"/>
        </xsd:restriction>
      </xsd:simpleType>
    </xsd:element>
    <xsd:element name="MediaServiceLocation" ma:index="13" nillable="true" ma:displayName="MediaServiceLocation"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78175662-8596-484a-92c7-351d01561e22"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741e3717-621b-44d1-9f13-cee523b329f7"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85ec44e-1bab-4c0b-9df0-6ba128686fc9"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c06afca5-daf8-43ef-93f5-08f281837b25}" ma:internalName="TaxCatchAll" ma:showField="CatchAllData" ma:web="741e3717-621b-44d1-9f13-cee523b329f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985ec44e-1bab-4c0b-9df0-6ba128686fc9" xsi:nil="true"/>
    <lcf76f155ced4ddcb4097134ff3c332f xmlns="6cde2714-8169-4028-90b7-3bbab0f678f9">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2333CB6D-35F9-42A8-8943-2D48E7D69BB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cde2714-8169-4028-90b7-3bbab0f678f9"/>
    <ds:schemaRef ds:uri="741e3717-621b-44d1-9f13-cee523b329f7"/>
    <ds:schemaRef ds:uri="985ec44e-1bab-4c0b-9df0-6ba128686fc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8559D51-E00E-49E7-B4B4-4C0677E39098}">
  <ds:schemaRefs>
    <ds:schemaRef ds:uri="http://schemas.microsoft.com/sharepoint/v3/contenttype/forms"/>
  </ds:schemaRefs>
</ds:datastoreItem>
</file>

<file path=customXml/itemProps3.xml><?xml version="1.0" encoding="utf-8"?>
<ds:datastoreItem xmlns:ds="http://schemas.openxmlformats.org/officeDocument/2006/customXml" ds:itemID="{D4D1D603-0C34-4B4C-ADDB-12FCDBE89360}">
  <ds:schemaRefs>
    <ds:schemaRef ds:uri="http://www.w3.org/XML/1998/namespace"/>
    <ds:schemaRef ds:uri="http://purl.org/dc/dcmitype/"/>
    <ds:schemaRef ds:uri="http://purl.org/dc/terms/"/>
    <ds:schemaRef ds:uri="http://schemas.microsoft.com/office/2006/metadata/properties"/>
    <ds:schemaRef ds:uri="http://schemas.microsoft.com/office/infopath/2007/PartnerControls"/>
    <ds:schemaRef ds:uri="http://schemas.microsoft.com/office/2006/documentManagement/types"/>
    <ds:schemaRef ds:uri="http://purl.org/dc/elements/1.1/"/>
    <ds:schemaRef ds:uri="http://schemas.openxmlformats.org/package/2006/metadata/core-properties"/>
    <ds:schemaRef ds:uri="741e3717-621b-44d1-9f13-cee523b329f7"/>
    <ds:schemaRef ds:uri="6cde2714-8169-4028-90b7-3bbab0f678f9"/>
    <ds:schemaRef ds:uri="985ec44e-1bab-4c0b-9df0-6ba128686fc9"/>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10</vt:i4>
      </vt:variant>
    </vt:vector>
  </HeadingPairs>
  <TitlesOfParts>
    <vt:vector size="10" baseType="lpstr">
      <vt:lpstr>Pop_2022_2023</vt:lpstr>
      <vt:lpstr>ProjPop20_21_22_23admin2</vt:lpstr>
      <vt:lpstr>Calcul_projPop21_22_23admin2</vt:lpstr>
      <vt:lpstr>ProjPop21_22_23_admin2</vt:lpstr>
      <vt:lpstr>ProjPop20_21_22_23_admin1</vt:lpstr>
      <vt:lpstr>ProjPop2020_admin1_GroupesAge</vt:lpstr>
      <vt:lpstr>Admin1_Ndjam</vt:lpstr>
      <vt:lpstr>ProjPop2021_admin1_GroupesAge</vt:lpstr>
      <vt:lpstr>ProjPop2023_admin1_Grpe age</vt:lpstr>
      <vt:lpstr>Pop_2023_âge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Remi Galinier</dc:creator>
  <cp:lastModifiedBy>Nafissah Pouye</cp:lastModifiedBy>
  <dcterms:created xsi:type="dcterms:W3CDTF">2016-06-19T15:58:22Z</dcterms:created>
  <dcterms:modified xsi:type="dcterms:W3CDTF">2022-11-30T11:32:16Z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rder">
    <vt:r8>100</vt:r8>
  </property>
  <property fmtid="{D5CDD505-2E9C-101B-9397-08002B2CF9AE}" pid="3" name="ContentTypeId">
    <vt:lpwstr>0x010100D8572FE39E13E742976E9C59B6B41BAA</vt:lpwstr>
  </property>
  <property fmtid="{D5CDD505-2E9C-101B-9397-08002B2CF9AE}" pid="4" name="MediaServiceImageTags">
    <vt:lpwstr/>
  </property>
</Properties>
</file>