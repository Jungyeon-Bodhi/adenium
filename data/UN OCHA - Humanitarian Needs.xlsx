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data/"/>
    </mc:Choice>
  </mc:AlternateContent>
  <xr:revisionPtr revIDLastSave="0" documentId="13_ncr:1_{95E9584A-94BB-9B44-9FBC-0B0B2740E865}" xr6:coauthVersionLast="47" xr6:coauthVersionMax="47" xr10:uidLastSave="{00000000-0000-0000-0000-000000000000}"/>
  <bookViews>
    <workbookView xWindow="960" yWindow="500" windowWidth="18720" windowHeight="21100" xr2:uid="{00000000-000D-0000-FFFF-FFFF00000000}"/>
  </bookViews>
  <sheets>
    <sheet name="Raw Data" sheetId="1" r:id="rId1"/>
    <sheet name="Data by Year" sheetId="2" r:id="rId2"/>
    <sheet name="Data by Plan" sheetId="3" r:id="rId3"/>
    <sheet name="Funding received" sheetId="4" state="hidden" r:id="rId4"/>
    <sheet name="Funding requirements" sheetId="5" r:id="rId5"/>
    <sheet name="People in Need OUSG Metric" sheetId="6" r:id="rId6"/>
    <sheet name="People in Need and People targe" sheetId="7" r:id="rId7"/>
    <sheet name="Chart1" sheetId="8" r:id="rId8"/>
    <sheet name="Raw data 2011 - 2013" sheetId="9" state="hidden" r:id="rId9"/>
    <sheet name="Temporary" sheetId="10" state="hidden" r:id="rId10"/>
  </sheets>
  <definedNames>
    <definedName name="_xlnm._FilterDatabase" localSheetId="0" hidden="1">'Raw Data'!$A$1:$J$1260</definedName>
    <definedName name="Z_EB1E6E7C_D94A_4C14_AEFB_33018963F29D_.wvu.FilterData" localSheetId="0" hidden="1">'Raw Data'!$A$1:$F$747</definedName>
  </definedNames>
  <calcPr calcId="191029"/>
  <customWorkbookViews>
    <customWorkbookView name="Filter 1" guid="{EB1E6E7C-D94A-4C14-AEFB-33018963F29D}" maximized="1" windowWidth="0" windowHeight="0" activeSheetId="0"/>
  </customWorkbookViews>
  <pivotCaches>
    <pivotCache cacheId="41" r:id="rId11"/>
    <pivotCache cacheId="46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3" i="9" l="1"/>
  <c r="H162" i="9"/>
  <c r="H161" i="9"/>
  <c r="H160" i="9"/>
  <c r="H159" i="9"/>
  <c r="H158" i="9"/>
  <c r="H157" i="9"/>
  <c r="H156" i="9"/>
  <c r="H155" i="9"/>
  <c r="H154" i="9"/>
  <c r="H153" i="9"/>
  <c r="H152" i="9"/>
  <c r="H151" i="9"/>
  <c r="H150" i="9"/>
  <c r="H149" i="9"/>
  <c r="H148" i="9"/>
  <c r="H147" i="9"/>
  <c r="H146" i="9"/>
  <c r="H145" i="9"/>
  <c r="H144" i="9"/>
  <c r="H143" i="9"/>
  <c r="H104" i="9"/>
  <c r="H103" i="9"/>
  <c r="H102" i="9"/>
  <c r="H101" i="9"/>
  <c r="H100" i="9"/>
  <c r="H99" i="9"/>
  <c r="H98" i="9"/>
  <c r="H97" i="9"/>
  <c r="H96" i="9"/>
  <c r="H95" i="9"/>
  <c r="H94" i="9"/>
  <c r="H49" i="9"/>
  <c r="H48" i="9"/>
  <c r="H47" i="9"/>
  <c r="H46" i="9"/>
  <c r="H45" i="9"/>
  <c r="H44" i="9"/>
  <c r="H43" i="9"/>
  <c r="H42" i="9"/>
  <c r="J4" i="1"/>
  <c r="J3" i="1"/>
  <c r="J2" i="1"/>
</calcChain>
</file>

<file path=xl/sharedStrings.xml><?xml version="1.0" encoding="utf-8"?>
<sst xmlns="http://schemas.openxmlformats.org/spreadsheetml/2006/main" count="9712" uniqueCount="339">
  <si>
    <t>Year</t>
  </si>
  <si>
    <t>Plan</t>
  </si>
  <si>
    <t>Crisis Country</t>
  </si>
  <si>
    <t>Country Code</t>
  </si>
  <si>
    <t>Metric</t>
  </si>
  <si>
    <t>Value</t>
  </si>
  <si>
    <t>Standardised Plan</t>
  </si>
  <si>
    <t>Appeal Type</t>
  </si>
  <si>
    <t>PiN Value for Dataviz</t>
  </si>
  <si>
    <t>OUSG Metric</t>
  </si>
  <si>
    <t>Afghanistan</t>
  </si>
  <si>
    <t>AFG</t>
  </si>
  <si>
    <t>People targeted</t>
  </si>
  <si>
    <t>Consolidated Appeal Process (CAP)</t>
  </si>
  <si>
    <t>Funding received</t>
  </si>
  <si>
    <t>Funding requirements</t>
  </si>
  <si>
    <t>People in need</t>
  </si>
  <si>
    <t>Humanitarian Response Plan (HRP)</t>
  </si>
  <si>
    <t>Afghanistan Flash Appeal</t>
  </si>
  <si>
    <t>Afghanistan Humanitarian Action Plan</t>
  </si>
  <si>
    <t>Bangladesh</t>
  </si>
  <si>
    <t>BGD</t>
  </si>
  <si>
    <t>Other</t>
  </si>
  <si>
    <t>Humanitarian response plan</t>
  </si>
  <si>
    <t>Burkina Faso</t>
  </si>
  <si>
    <t>BFA</t>
  </si>
  <si>
    <t>Bangladesh (Intersectoral)</t>
  </si>
  <si>
    <t>COVID-19 (Intersectoral)</t>
  </si>
  <si>
    <t>yes</t>
  </si>
  <si>
    <t>Burkina Faso Emergency Humanitarian Action Plan</t>
  </si>
  <si>
    <t>Burundi</t>
  </si>
  <si>
    <t>BDI</t>
  </si>
  <si>
    <t>Benin</t>
  </si>
  <si>
    <t>BEN</t>
  </si>
  <si>
    <t>COVID-19</t>
  </si>
  <si>
    <t>Burundi Regional Refugee Response Plan</t>
  </si>
  <si>
    <t>Refugee Response Plan</t>
  </si>
  <si>
    <t>Burundi Refugee Response Plan</t>
  </si>
  <si>
    <t>Cameroon</t>
  </si>
  <si>
    <t>CMR</t>
  </si>
  <si>
    <t>Central African Republic Regional Refugee Response Plan</t>
  </si>
  <si>
    <t>Central African Republic</t>
  </si>
  <si>
    <t>CAF</t>
  </si>
  <si>
    <t>Central African Republic Refugee Response Plan</t>
  </si>
  <si>
    <t>Chad</t>
  </si>
  <si>
    <t>TCD</t>
  </si>
  <si>
    <t>Burundi RRP</t>
  </si>
  <si>
    <t>Regional Response Plan</t>
  </si>
  <si>
    <t>Cote d'Ivoire</t>
  </si>
  <si>
    <t>CIV</t>
  </si>
  <si>
    <t>Cuba</t>
  </si>
  <si>
    <t>CUB</t>
  </si>
  <si>
    <t>Cuba Plan of Action</t>
  </si>
  <si>
    <t>Democratic People's Republic of Korea</t>
  </si>
  <si>
    <t>PRK</t>
  </si>
  <si>
    <t>Democratic People's Republic of Korea Overview of Needs and Assistance</t>
  </si>
  <si>
    <t>Democratic People's Republic of Korea : Overview of Needs and Assistance</t>
  </si>
  <si>
    <t>Democratic Republic of the Congo</t>
  </si>
  <si>
    <t>COD</t>
  </si>
  <si>
    <t>Dominica Flash Appeal</t>
  </si>
  <si>
    <t>Dominica</t>
  </si>
  <si>
    <t>DMA</t>
  </si>
  <si>
    <t>Gambia</t>
  </si>
  <si>
    <t>GMB</t>
  </si>
  <si>
    <t>Guatemala</t>
  </si>
  <si>
    <t>GTM</t>
  </si>
  <si>
    <t>Guatemala Flash Appeal (Revised)</t>
  </si>
  <si>
    <t>Flash appeal</t>
  </si>
  <si>
    <t>Guatemala Food Insecurity and Acute Malnutrition Appeal</t>
  </si>
  <si>
    <t>Honduras</t>
  </si>
  <si>
    <t>HND</t>
  </si>
  <si>
    <t>Democratic Republic of the Congo Regional Response Plan</t>
  </si>
  <si>
    <t>Burundi (RRP)</t>
  </si>
  <si>
    <t>Regional response plan</t>
  </si>
  <si>
    <t>Djibouti</t>
  </si>
  <si>
    <t>DJI</t>
  </si>
  <si>
    <t>Djibouti Appeal</t>
  </si>
  <si>
    <t>Djibouti Drought Appeal</t>
  </si>
  <si>
    <t>Ethiopia</t>
  </si>
  <si>
    <t>ETH</t>
  </si>
  <si>
    <t>Colombia</t>
  </si>
  <si>
    <t>COL</t>
  </si>
  <si>
    <t>Haiti</t>
  </si>
  <si>
    <t>HTI</t>
  </si>
  <si>
    <t>Haiti Flash Appeal</t>
  </si>
  <si>
    <t>Haiti Humanitarian Action Plan</t>
  </si>
  <si>
    <t>Kyrgyzstan Flash Appeal (Revised)</t>
  </si>
  <si>
    <t>Kyrgyzstan</t>
  </si>
  <si>
    <t>KGZ</t>
  </si>
  <si>
    <t>Liberia</t>
  </si>
  <si>
    <t>LBR</t>
  </si>
  <si>
    <t>Haiti Humanitarian Appeal (Revised)</t>
  </si>
  <si>
    <t>Indonesia</t>
  </si>
  <si>
    <t>IDN</t>
  </si>
  <si>
    <t>Iran</t>
  </si>
  <si>
    <t>IRN</t>
  </si>
  <si>
    <t>Iraq</t>
  </si>
  <si>
    <t>IRQ</t>
  </si>
  <si>
    <t>Sri Lanka Common Humanitarian Action Plan</t>
  </si>
  <si>
    <t>Sri Lanka</t>
  </si>
  <si>
    <t>LKA</t>
  </si>
  <si>
    <t>Sri Lanka Joint Plan of Assistance to the Northern Province (JPA)</t>
  </si>
  <si>
    <t>Lesotho Food Insecurity</t>
  </si>
  <si>
    <t>Lesotho</t>
  </si>
  <si>
    <t>LSO</t>
  </si>
  <si>
    <t>Madagascar</t>
  </si>
  <si>
    <t>MDG</t>
  </si>
  <si>
    <t>Flash Appeal</t>
  </si>
  <si>
    <t>Madagascar Flash Appeal</t>
  </si>
  <si>
    <t>Iraq Humanitarian Action Plan</t>
  </si>
  <si>
    <t>Mosul Flash Appeal</t>
  </si>
  <si>
    <t>Kenya Emergency Humanitarian Response Plan</t>
  </si>
  <si>
    <t>Kenya</t>
  </si>
  <si>
    <t>KEN</t>
  </si>
  <si>
    <t>Kenya Flash Appeal</t>
  </si>
  <si>
    <t>Libya</t>
  </si>
  <si>
    <t>LBY</t>
  </si>
  <si>
    <t>Libya Flash Appeal</t>
  </si>
  <si>
    <t>Regional Flash Appeal for the Libyan Crisis</t>
  </si>
  <si>
    <t>Mongolia Dzud Appeal</t>
  </si>
  <si>
    <t>Mongolia</t>
  </si>
  <si>
    <t>MNG</t>
  </si>
  <si>
    <t>Democratic Republic of the Congo RRP</t>
  </si>
  <si>
    <t>Mozambique</t>
  </si>
  <si>
    <t>MOZ</t>
  </si>
  <si>
    <t>Djibouti (Intersectoral)</t>
  </si>
  <si>
    <t>Mozambique Flash Appeal</t>
  </si>
  <si>
    <t>Mauritania</t>
  </si>
  <si>
    <t>MRT</t>
  </si>
  <si>
    <t>Mali</t>
  </si>
  <si>
    <t>MLI</t>
  </si>
  <si>
    <t>Djibouti Flash Appeal</t>
  </si>
  <si>
    <t>Humanitarian Flash Appeal</t>
  </si>
  <si>
    <t>Ecuador (Intersectoral)</t>
  </si>
  <si>
    <t>Ecuador</t>
  </si>
  <si>
    <t>ECU</t>
  </si>
  <si>
    <t>Myanmar</t>
  </si>
  <si>
    <t>MMR</t>
  </si>
  <si>
    <t>Myanmar - Kachin Response Plan</t>
  </si>
  <si>
    <t>Myanmar - Rakhine Response Plan</t>
  </si>
  <si>
    <t>Namibia Flash Appeal</t>
  </si>
  <si>
    <t>Namibia</t>
  </si>
  <si>
    <t>NAM</t>
  </si>
  <si>
    <t>Niger</t>
  </si>
  <si>
    <t>NER</t>
  </si>
  <si>
    <t>Nepal</t>
  </si>
  <si>
    <t>NPL</t>
  </si>
  <si>
    <t>Nepal Earthquake Flash Appeal</t>
  </si>
  <si>
    <t>Nepal Humanitarian Transition Appeal</t>
  </si>
  <si>
    <t>Peru Flash Appeal</t>
  </si>
  <si>
    <t>Peru</t>
  </si>
  <si>
    <t>PER</t>
  </si>
  <si>
    <t>El Salvador Flash Appeal</t>
  </si>
  <si>
    <t>El Salvador</t>
  </si>
  <si>
    <t>SLW</t>
  </si>
  <si>
    <t>Nigeria</t>
  </si>
  <si>
    <t>NGA</t>
  </si>
  <si>
    <t>Democratic Republic of Congo</t>
  </si>
  <si>
    <t>Democratic Republic of Congo (RRP)</t>
  </si>
  <si>
    <t>Nigeria Regional Refugee Response Plan</t>
  </si>
  <si>
    <t>Nigeria Refugee Response Plan</t>
  </si>
  <si>
    <t>Nigeria Refugee Response Pan</t>
  </si>
  <si>
    <t>Nigeria Regional</t>
  </si>
  <si>
    <t>occupied Palestinian territory</t>
  </si>
  <si>
    <t>PSE</t>
  </si>
  <si>
    <t>Nicaragua Flash Appeal</t>
  </si>
  <si>
    <t>Nicaragua</t>
  </si>
  <si>
    <t>NIC</t>
  </si>
  <si>
    <t>Pakistan</t>
  </si>
  <si>
    <t>PAK</t>
  </si>
  <si>
    <t>Pakistan Early Recovery Framework</t>
  </si>
  <si>
    <t>Pakistan Floods Relief and Early Recovery Response Plan (Revised)</t>
  </si>
  <si>
    <t>Pakistan Humanitarian Response Plan</t>
  </si>
  <si>
    <t>Pakistan Rapid Response Plan Floods</t>
  </si>
  <si>
    <t>Philippines</t>
  </si>
  <si>
    <t>PHL</t>
  </si>
  <si>
    <t>Philippines (Typhoon Haiyan and Zamboaga)</t>
  </si>
  <si>
    <t>Philippines Humanitarian Action Plan</t>
  </si>
  <si>
    <t>Philippines Mindanao Action Plan</t>
  </si>
  <si>
    <t>Philippines Typhoon Haiyan</t>
  </si>
  <si>
    <t>Mindanao Humanitarian Action Plan</t>
  </si>
  <si>
    <t>Republic of Congo</t>
  </si>
  <si>
    <t>COG</t>
  </si>
  <si>
    <t>Senegal</t>
  </si>
  <si>
    <t>SEN</t>
  </si>
  <si>
    <t>Somalia</t>
  </si>
  <si>
    <t>SOM</t>
  </si>
  <si>
    <t>Republic of South Sudan</t>
  </si>
  <si>
    <t>South Sudan</t>
  </si>
  <si>
    <t>SSD</t>
  </si>
  <si>
    <t>Jordan (Intersectoral)</t>
  </si>
  <si>
    <t>Jordan</t>
  </si>
  <si>
    <t>JOR</t>
  </si>
  <si>
    <t>Kenya (Intersectoral)</t>
  </si>
  <si>
    <t>Lebanon</t>
  </si>
  <si>
    <t>LBN</t>
  </si>
  <si>
    <t>Lebanon Flash Appeal</t>
  </si>
  <si>
    <t>South Sudan Regional Refugee Response Plan</t>
  </si>
  <si>
    <t>South Sudan Regional</t>
  </si>
  <si>
    <t>Lesotho Flash Appeal</t>
  </si>
  <si>
    <t>South Sudan Regional Refugee Response Plan (Ethiopia, Kenya, and Uganda)</t>
  </si>
  <si>
    <t>South Sudan Regional Refugee Response Plan (Ethiopia, Kenya, Sudan and Uganda)</t>
  </si>
  <si>
    <t>South Sudan Refugee Response Plan</t>
  </si>
  <si>
    <t>Sudan</t>
  </si>
  <si>
    <t>SDN</t>
  </si>
  <si>
    <t>Syria</t>
  </si>
  <si>
    <t>SYR</t>
  </si>
  <si>
    <t xml:space="preserve">Syria Regional Refugee Response Plan </t>
  </si>
  <si>
    <t>Syria Humanitarian Assistance Response Plan (SHARP)</t>
  </si>
  <si>
    <t>Syria Regional</t>
  </si>
  <si>
    <t>Syria Regional Refugee and Resilience Plan</t>
  </si>
  <si>
    <t>Syria Regional Refugee and Resilience Plan (3RP)</t>
  </si>
  <si>
    <t>Syria Regional Refugee Response Plan (RRP)</t>
  </si>
  <si>
    <t>Syria Response Plan</t>
  </si>
  <si>
    <t xml:space="preserve">Syria </t>
  </si>
  <si>
    <t>Regional Refugee Response Plan (RRP)</t>
  </si>
  <si>
    <t>Uganda</t>
  </si>
  <si>
    <t>UGA</t>
  </si>
  <si>
    <t>Ukraine</t>
  </si>
  <si>
    <t>UKR</t>
  </si>
  <si>
    <t>Vanuatu</t>
  </si>
  <si>
    <t>VUT</t>
  </si>
  <si>
    <t>Venezuela</t>
  </si>
  <si>
    <t>VEN</t>
  </si>
  <si>
    <t>Venezuela Regional</t>
  </si>
  <si>
    <t>Yemen</t>
  </si>
  <si>
    <t>YEM</t>
  </si>
  <si>
    <t>Sri Lanka Floods Flash Appeal (Revised)</t>
  </si>
  <si>
    <t>Zimbabwe</t>
  </si>
  <si>
    <t>ZWE</t>
  </si>
  <si>
    <t>West Africa</t>
  </si>
  <si>
    <t>Caribbean Regional Refugee Response Plan</t>
  </si>
  <si>
    <t>Multiple Countries in the Caribbean</t>
  </si>
  <si>
    <t>Sahel</t>
  </si>
  <si>
    <t>Multiple countries in the Sahel</t>
  </si>
  <si>
    <t>Sahel Regional</t>
  </si>
  <si>
    <t>Sahel Region</t>
  </si>
  <si>
    <t>Sahel Regional Plan</t>
  </si>
  <si>
    <t>Yemen Humanitarian Response Plan</t>
  </si>
  <si>
    <t>Yemen Regional Refugee Response Plan</t>
  </si>
  <si>
    <t>Republic of Congo (Intersectoral)</t>
  </si>
  <si>
    <t>Republic Of Congo (Intersectoral)</t>
  </si>
  <si>
    <t>South Sudan RRP</t>
  </si>
  <si>
    <t>Rohingyas (JRP)</t>
  </si>
  <si>
    <t>Syria 3RP</t>
  </si>
  <si>
    <t>Tanzania (Intersectoral)</t>
  </si>
  <si>
    <t>Tanzania</t>
  </si>
  <si>
    <t>TZA</t>
  </si>
  <si>
    <t>Togo</t>
  </si>
  <si>
    <t>TGO</t>
  </si>
  <si>
    <t>Uganda (Intersectoral)</t>
  </si>
  <si>
    <t>South Sudan (RRP)</t>
  </si>
  <si>
    <t>Syria Refugee Response and Resilience Plan (3RP)</t>
  </si>
  <si>
    <t>Syria Refugee Response and Resilience Plan</t>
  </si>
  <si>
    <t>The Horn of Africa and Yemen (MRP)</t>
  </si>
  <si>
    <t>The Horn of Africa and Yemen</t>
  </si>
  <si>
    <t>Venezuela RMRP</t>
  </si>
  <si>
    <t>Venezuela (RMRP)</t>
  </si>
  <si>
    <t>Zambia (Intersectoral)</t>
  </si>
  <si>
    <t>Zambia</t>
  </si>
  <si>
    <t>ZMB</t>
  </si>
  <si>
    <t>Honduras Flash Appeal</t>
  </si>
  <si>
    <t>Flash Appeal (FA)</t>
  </si>
  <si>
    <t>Regional Response Plan (RRP)</t>
  </si>
  <si>
    <t xml:space="preserve">Burundi </t>
  </si>
  <si>
    <t>Nepal Covid-19 Response Plan 2021</t>
  </si>
  <si>
    <t>Non Humanitarian Response Plan</t>
  </si>
  <si>
    <t>Humanitarian Needs Overview El Salvador, Guatemala &amp; Honduras</t>
  </si>
  <si>
    <t>SLV</t>
  </si>
  <si>
    <t>HRP</t>
  </si>
  <si>
    <t>Occupied Palestinian Territory</t>
  </si>
  <si>
    <t>Syrian Arab Republic</t>
  </si>
  <si>
    <t>FA</t>
  </si>
  <si>
    <t>Malawi</t>
  </si>
  <si>
    <t>MWI</t>
  </si>
  <si>
    <t>RRP</t>
  </si>
  <si>
    <t>Rohingya (JRP)</t>
  </si>
  <si>
    <t>Syrian Arab Republic (3RP)</t>
  </si>
  <si>
    <t>Lebanon (ERP)</t>
  </si>
  <si>
    <t>Non-HRP</t>
  </si>
  <si>
    <t>Syria Earthquake</t>
  </si>
  <si>
    <t>Türkiye Earthquake</t>
  </si>
  <si>
    <t>TUR</t>
  </si>
  <si>
    <t>Syria (3RP)</t>
  </si>
  <si>
    <t xml:space="preserve">Lebanon </t>
  </si>
  <si>
    <t>SUM of Value</t>
  </si>
  <si>
    <t>Source</t>
  </si>
  <si>
    <t>Note</t>
  </si>
  <si>
    <t>CAP</t>
  </si>
  <si>
    <t>Lybia</t>
  </si>
  <si>
    <t>Afghanistan Consolidated Appeal Process</t>
  </si>
  <si>
    <t>People affected</t>
  </si>
  <si>
    <t>Central African Republic Consolidated Appeal</t>
  </si>
  <si>
    <t>Central African Republic Consolidated Appeal Process</t>
  </si>
  <si>
    <t>Chad Consolidated Appeal Process</t>
  </si>
  <si>
    <t>Largest PiN taken (food security)</t>
  </si>
  <si>
    <t>Niger Global Appeal</t>
  </si>
  <si>
    <t>South Sudan Consolidated Appeal Process</t>
  </si>
  <si>
    <t>Somalia Consolidated Appeal</t>
  </si>
  <si>
    <t>Somalia Consolidated Appeal Process</t>
  </si>
  <si>
    <t>Yemen Consolidated Appeal</t>
  </si>
  <si>
    <t>Largest PiN taken (early recovery)</t>
  </si>
  <si>
    <t>Afganistan Consolidated Appeal</t>
  </si>
  <si>
    <t>This does not include categories with un-established planning
estimates)</t>
  </si>
  <si>
    <t>Central AFrican Republic</t>
  </si>
  <si>
    <t>Largest PiN taken (Wash)</t>
  </si>
  <si>
    <t>Chad Consolidated Appeal</t>
  </si>
  <si>
    <t>Largest PiN taken (Health)</t>
  </si>
  <si>
    <t>Occupied Palestinian territory Consolidated Appeal Process</t>
  </si>
  <si>
    <t>Occupied Palestinian territory</t>
  </si>
  <si>
    <t>Largest PiN taken (Health and Nutrition)</t>
  </si>
  <si>
    <t>Burkina Faso Consolidated Appeal</t>
  </si>
  <si>
    <t>Largest PiN taken (Food or Cash)</t>
  </si>
  <si>
    <t>Mali Consolidated Appeal</t>
  </si>
  <si>
    <t>Largest PiN taken (Protection)</t>
  </si>
  <si>
    <t>Largest PiN taken (Food Security)</t>
  </si>
  <si>
    <t>Philippines (Mindanao) Humanitarian Action Plan</t>
  </si>
  <si>
    <t>Philippines (Mindanao)</t>
  </si>
  <si>
    <t>HAP</t>
  </si>
  <si>
    <t>Largest PiN taken (Healh - Essential Health Services)</t>
  </si>
  <si>
    <t>Central</t>
  </si>
  <si>
    <t>Democratic</t>
  </si>
  <si>
    <t>Kenya Consolidated Appeal Process</t>
  </si>
  <si>
    <t>Republic of South Sudan Consolidated Appeal Process</t>
  </si>
  <si>
    <t>Yemen Consolidated Appeal Process</t>
  </si>
  <si>
    <t>Largest PiN taken (Agriculture and LiveStock)</t>
  </si>
  <si>
    <t>Afghanistan Common Humanitarian Action Plan</t>
  </si>
  <si>
    <t>The total figure includes a double count of some beneficiaries such as civilians in conflict zones and IDPs. Largest PiN taken (Protection)</t>
  </si>
  <si>
    <t>Democratic Republic of the Congo Humanitarian Action Plan</t>
  </si>
  <si>
    <t>Mauritania Global Appeal</t>
  </si>
  <si>
    <t>South Sudan Consolidated Appeal</t>
  </si>
  <si>
    <t>Sudan United Nations and Partners Work Plan</t>
  </si>
  <si>
    <t>United Nations and Partners Work Plan</t>
  </si>
  <si>
    <t>Source Document</t>
  </si>
  <si>
    <t>2016</t>
  </si>
  <si>
    <t>People in Need</t>
  </si>
  <si>
    <t>Humanitarian Response Plan</t>
  </si>
  <si>
    <t>https://reliefweb.int/sites/reliefweb.int/files/resources/zimbabwe_hrp_final_20sept2016.pdf</t>
  </si>
  <si>
    <t>(비어 있음)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</si>
</sst>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>
    <font>
      <sz val="10"/>
      <color rgb="FF000000"/>
      <name val="Arial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1"/>
      <color theme="1"/>
      <name val="Calibri"/>
      <family val="2"/>
    </font>
    <font>
      <sz val="10"/>
      <color rgb="FF000000"/>
      <name val="Roboto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sz val="12"/>
      <color rgb="FF0D0D0D"/>
      <name val="Söhne"/>
      <family val="3"/>
      <charset val="129"/>
    </font>
    <font>
      <sz val="10"/>
      <color theme="1"/>
      <name val="Arial"/>
      <family val="2"/>
    </font>
    <font>
      <sz val="8"/>
      <name val="Arial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2" borderId="0" xfId="0" applyFont="1" applyFill="1" applyAlignment="1">
      <alignment horizontal="right"/>
    </xf>
    <xf numFmtId="0" fontId="2" fillId="2" borderId="0" xfId="0" applyFont="1" applyFill="1"/>
    <xf numFmtId="0" fontId="1" fillId="2" borderId="0" xfId="0" applyFont="1" applyFill="1"/>
    <xf numFmtId="3" fontId="2" fillId="2" borderId="0" xfId="0" applyNumberFormat="1" applyFont="1" applyFill="1" applyAlignment="1">
      <alignment horizontal="right"/>
    </xf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right"/>
    </xf>
    <xf numFmtId="3" fontId="2" fillId="2" borderId="0" xfId="0" applyNumberFormat="1" applyFont="1" applyFill="1"/>
    <xf numFmtId="1" fontId="2" fillId="2" borderId="0" xfId="0" applyNumberFormat="1" applyFont="1" applyFill="1" applyAlignment="1">
      <alignment horizontal="right"/>
    </xf>
    <xf numFmtId="3" fontId="1" fillId="2" borderId="0" xfId="0" applyNumberFormat="1" applyFont="1" applyFill="1" applyAlignment="1">
      <alignment horizontal="right"/>
    </xf>
    <xf numFmtId="0" fontId="3" fillId="0" borderId="0" xfId="0" applyFont="1"/>
    <xf numFmtId="3" fontId="3" fillId="0" borderId="0" xfId="0" applyNumberFormat="1" applyFont="1"/>
    <xf numFmtId="0" fontId="4" fillId="2" borderId="1" xfId="0" applyFont="1" applyFill="1" applyBorder="1"/>
    <xf numFmtId="0" fontId="4" fillId="2" borderId="0" xfId="0" applyFont="1" applyFill="1"/>
    <xf numFmtId="0" fontId="5" fillId="0" borderId="0" xfId="0" applyFont="1"/>
    <xf numFmtId="0" fontId="2" fillId="2" borderId="1" xfId="0" applyFont="1" applyFill="1" applyBorder="1"/>
    <xf numFmtId="0" fontId="6" fillId="0" borderId="0" xfId="0" applyFont="1"/>
    <xf numFmtId="0" fontId="7" fillId="2" borderId="0" xfId="0" applyFont="1" applyFill="1"/>
    <xf numFmtId="3" fontId="1" fillId="2" borderId="0" xfId="0" applyNumberFormat="1" applyFont="1" applyFill="1"/>
    <xf numFmtId="1" fontId="1" fillId="2" borderId="0" xfId="0" applyNumberFormat="1" applyFont="1" applyFill="1" applyAlignment="1">
      <alignment horizontal="right"/>
    </xf>
    <xf numFmtId="0" fontId="8" fillId="0" borderId="0" xfId="0" applyFont="1"/>
    <xf numFmtId="3" fontId="9" fillId="0" borderId="0" xfId="0" applyNumberFormat="1" applyFont="1"/>
    <xf numFmtId="3" fontId="2" fillId="2" borderId="1" xfId="0" applyNumberFormat="1" applyFont="1" applyFill="1" applyBorder="1"/>
    <xf numFmtId="0" fontId="3" fillId="3" borderId="0" xfId="0" applyFont="1" applyFill="1"/>
    <xf numFmtId="0" fontId="1" fillId="3" borderId="0" xfId="0" applyFont="1" applyFill="1"/>
    <xf numFmtId="0" fontId="2" fillId="3" borderId="0" xfId="0" applyFont="1" applyFill="1"/>
    <xf numFmtId="3" fontId="9" fillId="3" borderId="0" xfId="0" applyNumberFormat="1" applyFont="1" applyFill="1"/>
    <xf numFmtId="0" fontId="4" fillId="3" borderId="0" xfId="0" applyFont="1" applyFill="1"/>
    <xf numFmtId="3" fontId="3" fillId="3" borderId="0" xfId="0" applyNumberFormat="1" applyFont="1" applyFill="1"/>
    <xf numFmtId="0" fontId="10" fillId="3" borderId="0" xfId="0" applyFont="1" applyFill="1" applyAlignment="1">
      <alignment horizontal="left"/>
    </xf>
    <xf numFmtId="1" fontId="1" fillId="2" borderId="0" xfId="0" applyNumberFormat="1" applyFont="1" applyFill="1"/>
    <xf numFmtId="0" fontId="1" fillId="2" borderId="0" xfId="0" applyFont="1" applyFill="1" applyAlignment="1">
      <alignment horizontal="left"/>
    </xf>
    <xf numFmtId="0" fontId="9" fillId="0" borderId="0" xfId="0" applyFont="1"/>
    <xf numFmtId="0" fontId="4" fillId="0" borderId="0" xfId="0" applyFont="1"/>
    <xf numFmtId="0" fontId="10" fillId="2" borderId="0" xfId="0" applyFont="1" applyFill="1" applyAlignment="1">
      <alignment horizontal="left"/>
    </xf>
    <xf numFmtId="0" fontId="9" fillId="3" borderId="0" xfId="0" applyFont="1" applyFill="1"/>
    <xf numFmtId="3" fontId="11" fillId="3" borderId="0" xfId="0" applyNumberFormat="1" applyFont="1" applyFill="1"/>
    <xf numFmtId="0" fontId="9" fillId="3" borderId="0" xfId="0" applyFont="1" applyFill="1" applyAlignment="1">
      <alignment horizontal="left"/>
    </xf>
    <xf numFmtId="3" fontId="2" fillId="3" borderId="0" xfId="0" applyNumberFormat="1" applyFont="1" applyFill="1" applyAlignment="1">
      <alignment horizontal="right"/>
    </xf>
    <xf numFmtId="3" fontId="3" fillId="3" borderId="0" xfId="0" applyNumberFormat="1" applyFont="1" applyFill="1" applyAlignment="1">
      <alignment horizontal="right"/>
    </xf>
    <xf numFmtId="0" fontId="3" fillId="0" borderId="1" xfId="0" applyFont="1" applyBorder="1"/>
    <xf numFmtId="3" fontId="3" fillId="0" borderId="0" xfId="0" applyNumberFormat="1" applyFont="1" applyAlignment="1">
      <alignment horizontal="right"/>
    </xf>
    <xf numFmtId="0" fontId="4" fillId="4" borderId="0" xfId="0" applyFont="1" applyFill="1"/>
    <xf numFmtId="0" fontId="10" fillId="2" borderId="0" xfId="0" applyFont="1" applyFill="1"/>
    <xf numFmtId="1" fontId="2" fillId="3" borderId="0" xfId="0" applyNumberFormat="1" applyFont="1" applyFill="1" applyAlignment="1">
      <alignment horizontal="right"/>
    </xf>
    <xf numFmtId="0" fontId="6" fillId="3" borderId="0" xfId="0" applyFont="1" applyFill="1"/>
    <xf numFmtId="0" fontId="12" fillId="2" borderId="0" xfId="0" applyFont="1" applyFill="1"/>
    <xf numFmtId="0" fontId="13" fillId="2" borderId="0" xfId="0" applyFont="1" applyFill="1"/>
    <xf numFmtId="3" fontId="6" fillId="0" borderId="0" xfId="0" applyNumberFormat="1" applyFont="1" applyAlignment="1">
      <alignment horizontal="right"/>
    </xf>
    <xf numFmtId="0" fontId="13" fillId="0" borderId="0" xfId="0" applyFont="1"/>
    <xf numFmtId="3" fontId="1" fillId="0" borderId="0" xfId="0" applyNumberFormat="1" applyFont="1"/>
    <xf numFmtId="3" fontId="2" fillId="0" borderId="0" xfId="0" applyNumberFormat="1" applyFont="1"/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0" fontId="2" fillId="5" borderId="1" xfId="0" applyFont="1" applyFill="1" applyBorder="1"/>
    <xf numFmtId="0" fontId="2" fillId="6" borderId="1" xfId="0" applyFont="1" applyFill="1" applyBorder="1"/>
    <xf numFmtId="0" fontId="2" fillId="0" borderId="0" xfId="0" quotePrefix="1" applyFont="1"/>
    <xf numFmtId="0" fontId="0" fillId="0" borderId="0" xfId="0" pivotButton="1"/>
    <xf numFmtId="0" fontId="0" fillId="0" borderId="2" xfId="0" pivotButton="1" applyBorder="1"/>
    <xf numFmtId="0" fontId="0" fillId="0" borderId="10" xfId="0" applyBorder="1"/>
    <xf numFmtId="0" fontId="0" fillId="0" borderId="10" xfId="0" pivotButton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2" xfId="0" applyNumberFormat="1" applyBorder="1"/>
    <xf numFmtId="0" fontId="0" fillId="0" borderId="3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1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0" xfId="0" applyNumberFormat="1"/>
  </cellXfs>
  <cellStyles count="1">
    <cellStyle name="표준" xfId="0" builtinId="0"/>
  </cellStyles>
  <dxfs count="12"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FFFFFF"/>
          <bgColor rgb="FFFFFFFF"/>
        </patternFill>
      </fill>
    </dxf>
  </dxfs>
  <tableStyles count="1">
    <tableStyle name="Google Sheets Pivot Table Style" table="0" count="12" xr9:uid="{00000000-0011-0000-FFFF-FFFF00000000}">
      <tableStyleElement type="wholeTable" dxfId="11"/>
      <tableStyleElement type="headerRow" dxfId="10"/>
      <tableStyleElement type="totalRow" dxfId="9"/>
      <tableStyleElement type="firstSubtotalRow" dxfId="8"/>
      <tableStyleElement type="secondSubtotalRow" dxfId="7"/>
      <tableStyleElement type="thirdSubtotalRow" dxfId="6"/>
      <tableStyleElement type="firstColumnSubheading" dxfId="5"/>
      <tableStyleElement type="secondColumnSubheading" dxfId="4"/>
      <tableStyleElement type="thirdColumnSubheading" dxfId="3"/>
      <tableStyleElement type="firstRowSubheading" dxfId="2"/>
      <tableStyleElement type="secondRowSubheading" dxfId="1"/>
      <tableStyleElement type="thirdRowSubheading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10600" cy="6276975"/>
    <xdr:pic>
      <xdr:nvPicPr>
        <xdr:cNvPr id="1319096205" name="Chart1" title="Chart">
          <a:extLst>
            <a:ext uri="{FF2B5EF4-FFF2-40B4-BE49-F238E27FC236}">
              <a16:creationId xmlns:a16="http://schemas.microsoft.com/office/drawing/2014/main" id="{00000000-0008-0000-0700-00008DCF9F4E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ungyeon Lee" refreshedDate="45947.47279861111" refreshedVersion="8" recordCount="1259" xr:uid="{00000000-000A-0000-FFFF-FFFF00000000}">
  <cacheSource type="worksheet">
    <worksheetSource ref="A1:H1260" sheet="Raw Data"/>
  </cacheSource>
  <cacheFields count="8">
    <cacheField name="Year" numFmtId="0">
      <sharedItems containsSemiMixedTypes="0" containsString="0" containsNumber="1" containsInteger="1" minValue="2010" maxValue="2024" count="15">
        <n v="2010"/>
        <n v="2011"/>
        <n v="2012"/>
        <n v="2013"/>
        <n v="2014"/>
        <n v="2020"/>
        <n v="2015"/>
        <n v="2016"/>
        <n v="2017"/>
        <n v="2018"/>
        <n v="2019"/>
        <n v="2021"/>
        <n v="2022"/>
        <n v="2023"/>
        <n v="2024"/>
      </sharedItems>
    </cacheField>
    <cacheField name="Plan" numFmtId="0">
      <sharedItems/>
    </cacheField>
    <cacheField name="Crisis Country" numFmtId="0">
      <sharedItems count="75">
        <s v="Afghanistan"/>
        <s v="Bangladesh"/>
        <s v="Burkina Faso"/>
        <s v="Burundi"/>
        <s v="Benin"/>
        <s v="Cameroon"/>
        <s v="Central African Republic"/>
        <s v="Chad"/>
        <s v="Cote d'Ivoire"/>
        <s v="Cuba"/>
        <s v="Democratic People's Republic of Korea"/>
        <s v="Democratic Republic of the Congo"/>
        <s v="Dominica"/>
        <s v="Gambia"/>
        <s v="Guatemala"/>
        <s v="Honduras"/>
        <s v="Djibouti"/>
        <s v="Ethiopia"/>
        <s v="Colombia"/>
        <s v="Haiti"/>
        <s v="Kyrgyzstan"/>
        <s v="Liberia"/>
        <s v="Indonesia"/>
        <s v="Iran"/>
        <s v="Iraq"/>
        <s v="Sri Lanka"/>
        <s v="Lesotho"/>
        <s v="Madagascar"/>
        <s v="Kenya"/>
        <s v="Libya"/>
        <s v="Mongolia"/>
        <s v="Mozambique"/>
        <s v="Mauritania"/>
        <s v="Mali"/>
        <s v="Ecuador"/>
        <s v="Myanmar"/>
        <s v="Namibia"/>
        <s v="Niger"/>
        <s v="Nepal"/>
        <s v="Peru"/>
        <s v="El Salvador"/>
        <s v="Nigeria"/>
        <s v="Democratic Republic of Congo"/>
        <s v="occupied Palestinian territory"/>
        <s v="Nicaragua"/>
        <s v="Pakistan"/>
        <s v="Philippines"/>
        <s v="Republic of Congo"/>
        <s v="Senegal"/>
        <s v="Somalia"/>
        <s v="South Sudan"/>
        <s v="Jordan"/>
        <s v="Lebanon"/>
        <s v="Sudan"/>
        <s v="Syria"/>
        <s v="Uganda"/>
        <s v="Ukraine"/>
        <s v="Vanuatu"/>
        <s v="Venezuela"/>
        <s v="Yemen"/>
        <s v="Zimbabwe"/>
        <s v="West Africa"/>
        <s v="Multiple Countries in the Caribbean"/>
        <s v="Multiple countries in the Sahel"/>
        <s v="Tanzania"/>
        <s v="Togo"/>
        <s v="Syria Refugee Response and Resilience Plan"/>
        <s v="The Horn of Africa and Yemen"/>
        <s v="Zambia"/>
        <s v="Burundi "/>
        <s v="Syrian Arab Republic"/>
        <s v="Malawi"/>
        <s v="Syria Earthquake"/>
        <s v="Türkiye Earthquake"/>
        <s v="Lebanon "/>
      </sharedItems>
    </cacheField>
    <cacheField name="Country Code" numFmtId="0">
      <sharedItems containsBlank="1" count="67">
        <s v="AFG"/>
        <s v="BGD"/>
        <s v="BFA"/>
        <s v="BDI"/>
        <s v="BEN"/>
        <s v="CMR"/>
        <s v="CAF"/>
        <s v="TCD"/>
        <s v="CIV"/>
        <s v="CUB"/>
        <s v="PRK"/>
        <s v="COD"/>
        <s v="DMA"/>
        <s v="GMB"/>
        <s v="GTM"/>
        <s v="HND"/>
        <s v="DJI"/>
        <s v="ETH"/>
        <s v="COL"/>
        <s v="HTI"/>
        <s v="KGZ"/>
        <s v="LBR"/>
        <s v="IDN"/>
        <s v="IRN"/>
        <s v="IRQ"/>
        <s v="LKA"/>
        <s v="LSO"/>
        <s v="MDG"/>
        <s v="KEN"/>
        <s v="LBY"/>
        <s v="MNG"/>
        <s v="MOZ"/>
        <s v="MRT"/>
        <s v="MLI"/>
        <s v="ECU"/>
        <s v="MMR"/>
        <s v="NAM"/>
        <s v="NER"/>
        <s v="NPL"/>
        <s v="PER"/>
        <s v="SLW"/>
        <s v="NGA"/>
        <s v="PSE"/>
        <s v="NIC"/>
        <s v="PAK"/>
        <s v="PHL"/>
        <s v="COG"/>
        <s v="SEN"/>
        <s v="SOM"/>
        <s v="SSD"/>
        <s v="JOR"/>
        <s v="LBN"/>
        <s v="SDN"/>
        <s v="SYR"/>
        <s v="UGA"/>
        <s v="UKR"/>
        <s v="VUT"/>
        <s v="VEN"/>
        <s v="YEM"/>
        <s v="ZWE"/>
        <m/>
        <s v="TZA"/>
        <s v="TGO"/>
        <s v="ZMB"/>
        <s v="SLV"/>
        <s v="MWI"/>
        <s v="TUR"/>
      </sharedItems>
    </cacheField>
    <cacheField name="Metric" numFmtId="0">
      <sharedItems count="4">
        <s v="People targeted"/>
        <s v="Funding received"/>
        <s v="Funding requirements"/>
        <s v="People in need"/>
      </sharedItems>
    </cacheField>
    <cacheField name="Value" numFmtId="3">
      <sharedItems containsSemiMixedTypes="0" containsString="0" containsNumber="1" minValue="0" maxValue="6080899576"/>
    </cacheField>
    <cacheField name="Standardised Plan" numFmtId="0">
      <sharedItems count="161">
        <s v="Afghanistan"/>
        <s v="Afghanistan Flash Appeal"/>
        <s v="Afghanistan Humanitarian Action Plan"/>
        <s v="Bangladesh"/>
        <s v="Burkina Faso"/>
        <s v="Bangladesh (Intersectoral)"/>
        <s v="Burkina Faso Emergency Humanitarian Action Plan"/>
        <s v="Burundi"/>
        <s v="Benin"/>
        <s v="Burundi Regional Refugee Response Plan"/>
        <s v="Burundi Refugee Response Plan"/>
        <s v="Cameroon"/>
        <s v="Central African Republic Regional Refugee Response Plan"/>
        <s v="Central African Republic"/>
        <s v="Central African Republic Refugee Response Plan"/>
        <s v="Chad"/>
        <s v="Burundi RRP"/>
        <s v="Cote d'Ivoire"/>
        <s v="Cuba"/>
        <s v="Cuba Plan of Action"/>
        <s v="Democratic People's Republic of Korea"/>
        <s v="Democratic People's Republic of Korea Overview of Needs and Assistance"/>
        <s v="Democratic People's Republic of Korea : Overview of Needs and Assistance"/>
        <s v="Democratic Republic of the Congo"/>
        <s v="Dominica Flash Appeal"/>
        <s v="Gambia"/>
        <s v="Guatemala"/>
        <s v="Guatemala Flash Appeal (Revised)"/>
        <s v="Guatemala Food Insecurity and Acute Malnutrition Appeal"/>
        <s v="Honduras"/>
        <s v="Democratic Republic of the Congo Regional Response Plan"/>
        <s v="Djibouti"/>
        <s v="Djibouti Appeal"/>
        <s v="Djibouti Drought Appeal"/>
        <s v="Ethiopia"/>
        <s v="Colombia"/>
        <s v="Haiti"/>
        <s v="Haiti Flash Appeal"/>
        <s v="Haiti Humanitarian Action Plan"/>
        <s v="Kyrgyzstan Flash Appeal (Revised)"/>
        <s v="Liberia"/>
        <s v="Haiti Humanitarian Appeal (Revised)"/>
        <s v="Indonesia"/>
        <s v="Iran"/>
        <s v="Iraq"/>
        <s v="Sri Lanka Common Humanitarian Action Plan"/>
        <s v="Sri Lanka Joint Plan of Assistance to the Northern Province (JPA)"/>
        <s v="Lesotho Food Insecurity"/>
        <s v="Madagascar"/>
        <s v="Madagascar Flash Appeal"/>
        <s v="Iraq Humanitarian Action Plan"/>
        <s v="Mosul Flash Appeal"/>
        <s v="Kenya Emergency Humanitarian Response Plan"/>
        <s v="Kenya Flash Appeal"/>
        <s v="Libya"/>
        <s v="Libya Flash Appeal"/>
        <s v="Regional Flash Appeal for the Libyan Crisis"/>
        <s v="Mongolia Dzud Appeal"/>
        <s v="Democratic Republic of the Congo RRP"/>
        <s v="Mozambique"/>
        <s v="Djibouti (Intersectoral)"/>
        <s v="Mozambique Flash Appeal"/>
        <s v="Mauritania"/>
        <s v="Mali"/>
        <s v="Djibouti Flash Appeal"/>
        <s v="Ecuador (Intersectoral)"/>
        <s v="Myanmar"/>
        <s v="Myanmar - Kachin Response Plan"/>
        <s v="Myanmar - Rakhine Response Plan"/>
        <s v="Namibia Flash Appeal"/>
        <s v="Niger"/>
        <s v="Nepal"/>
        <s v="Nepal Humanitarian Transition Appeal"/>
        <s v="Peru Flash Appeal"/>
        <s v="El Salvador Flash Appeal"/>
        <s v="Nigeria"/>
        <s v="Democratic Republic of Congo"/>
        <s v="Nigeria Regional Refugee Response Plan"/>
        <s v="Nigeria Refugee Response Pan"/>
        <s v="Nigeria Regional"/>
        <s v="occupied Palestinian territory"/>
        <s v="Nicaragua Flash Appeal"/>
        <s v="Pakistan"/>
        <s v="Pakistan Early Recovery Framework"/>
        <s v="Pakistan Floods Relief and Early Recovery Response Plan (Revised)"/>
        <s v="Pakistan Humanitarian Response Plan"/>
        <s v="Pakistan Rapid Response Plan Floods"/>
        <s v="Philippines"/>
        <s v="Philippines (Typhoon Haiyan and Zamboaga)"/>
        <s v="Philippines Humanitarian Action Plan"/>
        <s v="Philippines Mindanao Action Plan"/>
        <s v="Mindanao Humanitarian Action Plan"/>
        <s v="Republic of Congo"/>
        <s v="Senegal"/>
        <s v="Somalia"/>
        <s v="Republic of South Sudan"/>
        <s v="South Sudan"/>
        <s v="Jordan (Intersectoral)"/>
        <s v="Kenya (Intersectoral)"/>
        <s v="Lebanon"/>
        <s v="Lebanon Flash Appeal"/>
        <s v="South Sudan Regional"/>
        <s v="Lesotho Flash Appeal"/>
        <s v="South Sudan Regional Refugee Response Plan (Ethiopia, Kenya, and Uganda)"/>
        <s v="South Sudan Regional Refugee Response Plan"/>
        <s v="South Sudan Regional Refugee Response Plan (Ethiopia, Kenya, Sudan and Uganda)"/>
        <s v="South Sudan Refugee Response Plan"/>
        <s v="Sudan"/>
        <s v="Syria"/>
        <s v="Syria Regional Refugee Response Plan "/>
        <s v="Syria Humanitarian Assistance Response Plan (SHARP)"/>
        <s v="Syria Regional"/>
        <s v="Syria Regional Refugee and Resilience Plan"/>
        <s v="Syria Regional Refugee and Resilience Plan (3RP)"/>
        <s v="Syria Regional Refugee Response Plan (RRP)"/>
        <s v="Syria "/>
        <s v="Uganda"/>
        <s v="Ukraine"/>
        <s v="Vanuatu"/>
        <s v="Venezuela"/>
        <s v="Venezuela Regional"/>
        <s v="Yemen"/>
        <s v="Sri Lanka Floods Flash Appeal (Revised)"/>
        <s v="Zimbabwe"/>
        <s v="West Africa"/>
        <s v="Caribbean Regional Refugee Response Plan"/>
        <s v="Sahel Regional"/>
        <s v="Yemen Humanitarian Response Plan"/>
        <s v="Yemen Regional Refugee Response Plan"/>
        <s v="Republic Of Congo (Intersectoral)"/>
        <s v="South Sudan RRP"/>
        <s v="Rohingyas (JRP)"/>
        <s v="Syria 3RP"/>
        <s v="Tanzania (Intersectoral)"/>
        <s v="Togo"/>
        <s v="Uganda (Intersectoral)"/>
        <s v="Syria Refugee Response and Resilience Plan"/>
        <s v="The Horn of Africa and Yemen"/>
        <s v="Venezuela RMRP"/>
        <s v="Zambia (Intersectoral)"/>
        <s v="Honduras Flash Appeal"/>
        <s v="Burundi (RRP)"/>
        <s v="Democratic Republic of Congo (RRP)"/>
        <s v="Venezuela (RMRP)"/>
        <s v="The Horn of Africa and Yemen (MRP)"/>
        <s v="South Sudan (RRP)"/>
        <s v="Syria Refugee Response and Resilience Plan (3RP)"/>
        <s v="Nepal Covid-19 Response Plan 2021"/>
        <s v="Humanitarian Needs Overview El Salvador, Guatemala &amp; Honduras"/>
        <s v="El Salvador"/>
        <s v="Syrian Arab Republic"/>
        <s v="Kenya"/>
        <s v="Malawi"/>
        <s v="Rohingya (JRP)"/>
        <s v="Syrian Arab Republic (3RP)"/>
        <s v="Lebanon (ERP)"/>
        <s v="Sri Lanka"/>
        <s v="Syria Earthquake"/>
        <s v="Türkiye Earthquake"/>
        <s v="Syria (3RP)"/>
        <s v="Mongolia"/>
      </sharedItems>
    </cacheField>
    <cacheField name="Appeal Typ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ungyeon Lee" refreshedDate="45947.472799421295" refreshedVersion="8" recordCount="1259" xr:uid="{00000000-000A-0000-FFFF-FFFF01000000}">
  <cacheSource type="worksheet">
    <worksheetSource ref="A1:J1260" sheet="Raw Data"/>
  </cacheSource>
  <cacheFields count="10">
    <cacheField name="Year" numFmtId="0">
      <sharedItems containsSemiMixedTypes="0" containsString="0" containsNumber="1" containsInteger="1" minValue="2010" maxValue="2024" count="15">
        <n v="2010"/>
        <n v="2011"/>
        <n v="2012"/>
        <n v="2013"/>
        <n v="2014"/>
        <n v="2020"/>
        <n v="2015"/>
        <n v="2016"/>
        <n v="2017"/>
        <n v="2018"/>
        <n v="2019"/>
        <n v="2021"/>
        <n v="2022"/>
        <n v="2023"/>
        <n v="2024"/>
      </sharedItems>
    </cacheField>
    <cacheField name="Plan" numFmtId="0">
      <sharedItems/>
    </cacheField>
    <cacheField name="Crisis Country" numFmtId="0">
      <sharedItems/>
    </cacheField>
    <cacheField name="Country Code" numFmtId="0">
      <sharedItems containsBlank="1"/>
    </cacheField>
    <cacheField name="Metric" numFmtId="0">
      <sharedItems/>
    </cacheField>
    <cacheField name="Value" numFmtId="3">
      <sharedItems containsSemiMixedTypes="0" containsString="0" containsNumber="1" minValue="0" maxValue="6080899576"/>
    </cacheField>
    <cacheField name="Standardised Plan" numFmtId="0">
      <sharedItems/>
    </cacheField>
    <cacheField name="Appeal Type" numFmtId="0">
      <sharedItems containsBlank="1"/>
    </cacheField>
    <cacheField name="PiN Value for Dataviz" numFmtId="0">
      <sharedItems containsBlank="1"/>
    </cacheField>
    <cacheField name="OUSG Metric" numFmtId="0">
      <sharedItems containsBlank="1" count="4">
        <s v="People in need"/>
        <s v="Funding received"/>
        <s v="Funding requirement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9">
  <r>
    <x v="0"/>
    <s v="Afghanistan"/>
    <x v="0"/>
    <x v="0"/>
    <x v="0"/>
    <n v="7800000"/>
    <x v="0"/>
    <s v="Consolidated Appeal Process (CAP)"/>
  </r>
  <r>
    <x v="0"/>
    <s v="Afghanistan"/>
    <x v="0"/>
    <x v="0"/>
    <x v="1"/>
    <n v="223824925"/>
    <x v="0"/>
    <s v="Consolidated Appeal Process (CAP)"/>
  </r>
  <r>
    <x v="0"/>
    <s v="Afghanistan"/>
    <x v="0"/>
    <x v="0"/>
    <x v="2"/>
    <n v="448551322"/>
    <x v="0"/>
    <s v="Consolidated Appeal Process (CAP)"/>
  </r>
  <r>
    <x v="0"/>
    <s v="Afghanistan"/>
    <x v="0"/>
    <x v="0"/>
    <x v="0"/>
    <n v="5400000"/>
    <x v="0"/>
    <s v="Consolidated Appeal Process (CAP)"/>
  </r>
  <r>
    <x v="0"/>
    <s v="Afghanistan"/>
    <x v="0"/>
    <x v="0"/>
    <x v="1"/>
    <n v="345246607"/>
    <x v="0"/>
    <s v="Consolidated Appeal Process (CAP)"/>
  </r>
  <r>
    <x v="0"/>
    <s v="Afghanistan"/>
    <x v="0"/>
    <x v="0"/>
    <x v="2"/>
    <n v="474428380"/>
    <x v="0"/>
    <s v="Consolidated Appeal Process (CAP)"/>
  </r>
  <r>
    <x v="0"/>
    <s v="Afghanistan"/>
    <x v="0"/>
    <x v="0"/>
    <x v="0"/>
    <n v="8800000"/>
    <x v="0"/>
    <s v="Consolidated Appeal Process (CAP)"/>
  </r>
  <r>
    <x v="0"/>
    <s v="Afghanistan"/>
    <x v="0"/>
    <x v="0"/>
    <x v="1"/>
    <n v="309300000"/>
    <x v="0"/>
    <m/>
  </r>
  <r>
    <x v="0"/>
    <s v="Afghanistan"/>
    <x v="0"/>
    <x v="0"/>
    <x v="2"/>
    <n v="406400000"/>
    <x v="0"/>
    <m/>
  </r>
  <r>
    <x v="0"/>
    <s v="Afghanistan"/>
    <x v="0"/>
    <x v="0"/>
    <x v="3"/>
    <n v="9000000"/>
    <x v="0"/>
    <m/>
  </r>
  <r>
    <x v="0"/>
    <s v="Afghanistan"/>
    <x v="0"/>
    <x v="0"/>
    <x v="1"/>
    <n v="280000000"/>
    <x v="0"/>
    <m/>
  </r>
  <r>
    <x v="0"/>
    <s v="Afghanistan"/>
    <x v="0"/>
    <x v="0"/>
    <x v="2"/>
    <n v="416700000"/>
    <x v="0"/>
    <m/>
  </r>
  <r>
    <x v="0"/>
    <s v="Afghanistan"/>
    <x v="0"/>
    <x v="0"/>
    <x v="3"/>
    <n v="7400000"/>
    <x v="0"/>
    <m/>
  </r>
  <r>
    <x v="0"/>
    <s v="Afghanistan"/>
    <x v="0"/>
    <x v="0"/>
    <x v="1"/>
    <n v="180000000"/>
    <x v="0"/>
    <m/>
  </r>
  <r>
    <x v="0"/>
    <s v="Afghanistan"/>
    <x v="0"/>
    <x v="0"/>
    <x v="2"/>
    <n v="338800000"/>
    <x v="0"/>
    <m/>
  </r>
  <r>
    <x v="0"/>
    <s v="Afghanistan"/>
    <x v="0"/>
    <x v="0"/>
    <x v="3"/>
    <n v="8100000"/>
    <x v="0"/>
    <m/>
  </r>
  <r>
    <x v="0"/>
    <s v="Afghanistan"/>
    <x v="0"/>
    <x v="0"/>
    <x v="1"/>
    <n v="286700000"/>
    <x v="0"/>
    <s v="Humanitarian Response Plan (HRP)"/>
  </r>
  <r>
    <x v="0"/>
    <s v="Afghanistan"/>
    <x v="0"/>
    <x v="0"/>
    <x v="2"/>
    <n v="409400000"/>
    <x v="0"/>
    <s v="Humanitarian Response Plan (HRP)"/>
  </r>
  <r>
    <x v="0"/>
    <s v="Afghanistan"/>
    <x v="0"/>
    <x v="0"/>
    <x v="3"/>
    <n v="7400000"/>
    <x v="0"/>
    <s v="Humanitarian Response Plan (HRP)"/>
  </r>
  <r>
    <x v="0"/>
    <s v="Afghanistan"/>
    <x v="0"/>
    <x v="0"/>
    <x v="1"/>
    <n v="444600000"/>
    <x v="0"/>
    <s v="Humanitarian Response Plan (HRP)"/>
  </r>
  <r>
    <x v="0"/>
    <s v="Afghanistan"/>
    <x v="0"/>
    <x v="0"/>
    <x v="2"/>
    <n v="546600000"/>
    <x v="0"/>
    <s v="Humanitarian Response Plan (HRP)"/>
  </r>
  <r>
    <x v="0"/>
    <s v="Afghanistan"/>
    <x v="0"/>
    <x v="0"/>
    <x v="3"/>
    <n v="6500000"/>
    <x v="0"/>
    <s v="Humanitarian Response Plan (HRP)"/>
  </r>
  <r>
    <x v="0"/>
    <s v="Afghanistan"/>
    <x v="0"/>
    <x v="0"/>
    <x v="1"/>
    <n v="423400000"/>
    <x v="0"/>
    <s v="Humanitarian Response Plan (HRP)"/>
  </r>
  <r>
    <x v="0"/>
    <s v="Afghanistan"/>
    <x v="0"/>
    <x v="0"/>
    <x v="2"/>
    <n v="611800000"/>
    <x v="0"/>
    <s v="Humanitarian Response Plan (HRP)"/>
  </r>
  <r>
    <x v="0"/>
    <s v="Afghanistan"/>
    <x v="0"/>
    <x v="0"/>
    <x v="3"/>
    <n v="6300000"/>
    <x v="0"/>
    <s v="Humanitarian Response Plan (HRP)"/>
  </r>
  <r>
    <x v="0"/>
    <s v="Afghanistan"/>
    <x v="0"/>
    <x v="0"/>
    <x v="2"/>
    <n v="732600000"/>
    <x v="0"/>
    <s v="Humanitarian Response Plan (HRP)"/>
  </r>
  <r>
    <x v="0"/>
    <s v="Afghanistan"/>
    <x v="0"/>
    <x v="0"/>
    <x v="3"/>
    <n v="13950000"/>
    <x v="0"/>
    <s v="Humanitarian Response Plan (HRP)"/>
  </r>
  <r>
    <x v="0"/>
    <s v="Afghanistan Flash Appeal"/>
    <x v="0"/>
    <x v="0"/>
    <x v="1"/>
    <n v="53500000"/>
    <x v="1"/>
    <m/>
  </r>
  <r>
    <x v="0"/>
    <s v="Afghanistan Flash Appeal"/>
    <x v="0"/>
    <x v="0"/>
    <x v="2"/>
    <n v="152100000"/>
    <x v="1"/>
    <m/>
  </r>
  <r>
    <x v="0"/>
    <s v="Afghanistan Humanitarian Action Plan"/>
    <x v="0"/>
    <x v="0"/>
    <x v="2"/>
    <n v="774508310"/>
    <x v="2"/>
    <s v="Consolidated Appeal Process (CAP)"/>
  </r>
  <r>
    <x v="0"/>
    <s v="Afghanistan Humanitarian Action Plan"/>
    <x v="0"/>
    <x v="0"/>
    <x v="1"/>
    <n v="505299903"/>
    <x v="2"/>
    <s v="Consolidated Appeal Process (CAP)"/>
  </r>
  <r>
    <x v="0"/>
    <s v="Afghanistan"/>
    <x v="0"/>
    <x v="0"/>
    <x v="1"/>
    <n v="426528103"/>
    <x v="0"/>
    <s v="Consolidated Appeal Process (CAP)"/>
  </r>
  <r>
    <x v="0"/>
    <s v="Afghanistan"/>
    <x v="0"/>
    <x v="0"/>
    <x v="2"/>
    <n v="582318627"/>
    <x v="0"/>
    <s v="Consolidated Appeal Process (CAP)"/>
  </r>
  <r>
    <x v="0"/>
    <s v="Bangladesh"/>
    <x v="1"/>
    <x v="1"/>
    <x v="1"/>
    <n v="149100000"/>
    <x v="3"/>
    <s v="Other"/>
  </r>
  <r>
    <x v="0"/>
    <s v="Bangladesh"/>
    <x v="1"/>
    <x v="1"/>
    <x v="2"/>
    <n v="434100000"/>
    <x v="3"/>
    <s v="Other"/>
  </r>
  <r>
    <x v="0"/>
    <s v="Bangladesh"/>
    <x v="1"/>
    <x v="1"/>
    <x v="1"/>
    <n v="682100000"/>
    <x v="3"/>
    <s v="Other"/>
  </r>
  <r>
    <x v="0"/>
    <s v="Bangladesh"/>
    <x v="1"/>
    <x v="1"/>
    <x v="2"/>
    <n v="950800000"/>
    <x v="3"/>
    <s v="Other"/>
  </r>
  <r>
    <x v="0"/>
    <s v="Bangladesh"/>
    <x v="1"/>
    <x v="1"/>
    <x v="3"/>
    <n v="1300000"/>
    <x v="3"/>
    <s v="Other"/>
  </r>
  <r>
    <x v="0"/>
    <s v="Bangladesh"/>
    <x v="1"/>
    <x v="1"/>
    <x v="2"/>
    <n v="920500000"/>
    <x v="3"/>
    <s v="Other"/>
  </r>
  <r>
    <x v="0"/>
    <s v="Bangladesh"/>
    <x v="1"/>
    <x v="1"/>
    <x v="1"/>
    <n v="613900000"/>
    <x v="3"/>
    <s v="Other"/>
  </r>
  <r>
    <x v="0"/>
    <s v="Bangladesh"/>
    <x v="1"/>
    <x v="1"/>
    <x v="3"/>
    <n v="1200000"/>
    <x v="3"/>
    <s v="Other"/>
  </r>
  <r>
    <x v="0"/>
    <s v="Afghanistan"/>
    <x v="0"/>
    <x v="0"/>
    <x v="2"/>
    <n v="1281635457"/>
    <x v="0"/>
    <s v="Humanitarian response plan"/>
  </r>
  <r>
    <x v="0"/>
    <s v="Burkina Faso"/>
    <x v="2"/>
    <x v="2"/>
    <x v="1"/>
    <n v="85944494"/>
    <x v="4"/>
    <s v="Consolidated Appeal Process (CAP)"/>
  </r>
  <r>
    <x v="0"/>
    <s v="Burkina Faso"/>
    <x v="2"/>
    <x v="2"/>
    <x v="2"/>
    <n v="126062151"/>
    <x v="4"/>
    <s v="Consolidated Appeal Process (CAP)"/>
  </r>
  <r>
    <x v="0"/>
    <s v="Burkina Faso"/>
    <x v="2"/>
    <x v="2"/>
    <x v="0"/>
    <n v="3500000"/>
    <x v="4"/>
    <s v="Consolidated Appeal Process (CAP)"/>
  </r>
  <r>
    <x v="0"/>
    <s v="Burkina Faso"/>
    <x v="2"/>
    <x v="2"/>
    <x v="1"/>
    <n v="76004187"/>
    <x v="4"/>
    <s v="Consolidated Appeal Process (CAP)"/>
  </r>
  <r>
    <x v="1"/>
    <s v="Burkina Faso"/>
    <x v="2"/>
    <x v="2"/>
    <x v="2"/>
    <n v="138977186"/>
    <x v="4"/>
    <s v="Consolidated Appeal Process (CAP)"/>
  </r>
  <r>
    <x v="1"/>
    <s v="Burkina Faso"/>
    <x v="2"/>
    <x v="2"/>
    <x v="0"/>
    <n v="3500000"/>
    <x v="4"/>
    <s v="Consolidated Appeal Process (CAP)"/>
  </r>
  <r>
    <x v="1"/>
    <s v="Burkina Faso"/>
    <x v="2"/>
    <x v="2"/>
    <x v="1"/>
    <n v="40500000"/>
    <x v="4"/>
    <m/>
  </r>
  <r>
    <x v="1"/>
    <s v="Burkina Faso"/>
    <x v="2"/>
    <x v="2"/>
    <x v="2"/>
    <n v="99300000"/>
    <x v="4"/>
    <m/>
  </r>
  <r>
    <x v="1"/>
    <s v="Burkina Faso"/>
    <x v="2"/>
    <x v="2"/>
    <x v="3"/>
    <n v="1300000"/>
    <x v="4"/>
    <m/>
  </r>
  <r>
    <x v="1"/>
    <s v="Burkina Faso"/>
    <x v="2"/>
    <x v="2"/>
    <x v="1"/>
    <n v="30400000"/>
    <x v="4"/>
    <m/>
  </r>
  <r>
    <x v="1"/>
    <s v="Burkina Faso"/>
    <x v="2"/>
    <x v="2"/>
    <x v="2"/>
    <n v="98800000"/>
    <x v="4"/>
    <m/>
  </r>
  <r>
    <x v="1"/>
    <s v="Burkina Faso"/>
    <x v="2"/>
    <x v="2"/>
    <x v="3"/>
    <n v="939148"/>
    <x v="4"/>
    <m/>
  </r>
  <r>
    <x v="1"/>
    <s v="Burkina Faso"/>
    <x v="2"/>
    <x v="2"/>
    <x v="1"/>
    <n v="49500000"/>
    <x v="4"/>
    <m/>
  </r>
  <r>
    <x v="1"/>
    <s v="Burkina Faso"/>
    <x v="2"/>
    <x v="2"/>
    <x v="2"/>
    <n v="90500000"/>
    <x v="4"/>
    <m/>
  </r>
  <r>
    <x v="1"/>
    <s v="Burkina Faso"/>
    <x v="2"/>
    <x v="2"/>
    <x v="3"/>
    <n v="1600000"/>
    <x v="4"/>
    <m/>
  </r>
  <r>
    <x v="1"/>
    <s v="Burkina Faso"/>
    <x v="2"/>
    <x v="2"/>
    <x v="1"/>
    <n v="27400000"/>
    <x v="4"/>
    <s v="Humanitarian Response Plan (HRP)"/>
  </r>
  <r>
    <x v="1"/>
    <s v="Burkina Faso"/>
    <x v="2"/>
    <x v="2"/>
    <x v="2"/>
    <n v="61100000"/>
    <x v="4"/>
    <s v="Humanitarian Response Plan (HRP)"/>
  </r>
  <r>
    <x v="1"/>
    <s v="Burkina Faso"/>
    <x v="2"/>
    <x v="2"/>
    <x v="3"/>
    <n v="861000"/>
    <x v="4"/>
    <s v="Humanitarian Response Plan (HRP)"/>
  </r>
  <r>
    <x v="1"/>
    <s v="Burkina Faso"/>
    <x v="2"/>
    <x v="2"/>
    <x v="1"/>
    <n v="51800000"/>
    <x v="4"/>
    <s v="Other"/>
  </r>
  <r>
    <x v="1"/>
    <s v="Burkina Faso"/>
    <x v="2"/>
    <x v="2"/>
    <x v="2"/>
    <n v="90300000"/>
    <x v="4"/>
    <s v="Other"/>
  </r>
  <r>
    <x v="1"/>
    <s v="Burkina Faso"/>
    <x v="2"/>
    <x v="2"/>
    <x v="3"/>
    <n v="954000"/>
    <x v="4"/>
    <s v="Other"/>
  </r>
  <r>
    <x v="1"/>
    <s v="Bangladesh"/>
    <x v="1"/>
    <x v="1"/>
    <x v="3"/>
    <n v="1200000"/>
    <x v="3"/>
    <s v="Other"/>
  </r>
  <r>
    <x v="1"/>
    <s v="Burkina Faso"/>
    <x v="2"/>
    <x v="2"/>
    <x v="2"/>
    <n v="187000000"/>
    <x v="4"/>
    <s v="Other"/>
  </r>
  <r>
    <x v="1"/>
    <s v="Bangladesh (Intersectoral)"/>
    <x v="1"/>
    <x v="1"/>
    <x v="3"/>
    <n v="20180000"/>
    <x v="5"/>
    <s v="COVID-19 (Intersectoral)"/>
  </r>
  <r>
    <x v="1"/>
    <s v="Burkina Faso Emergency Humanitarian Action Plan"/>
    <x v="2"/>
    <x v="2"/>
    <x v="1"/>
    <n v="3896575"/>
    <x v="6"/>
    <s v="Other"/>
  </r>
  <r>
    <x v="1"/>
    <s v="Burkina Faso Emergency Humanitarian Action Plan"/>
    <x v="2"/>
    <x v="2"/>
    <x v="2"/>
    <n v="14163313"/>
    <x v="6"/>
    <s v="Other"/>
  </r>
  <r>
    <x v="1"/>
    <s v="Burundi"/>
    <x v="3"/>
    <x v="3"/>
    <x v="1"/>
    <n v="43600000"/>
    <x v="7"/>
    <m/>
  </r>
  <r>
    <x v="1"/>
    <s v="Burundi"/>
    <x v="3"/>
    <x v="3"/>
    <x v="2"/>
    <n v="62300000"/>
    <x v="7"/>
    <m/>
  </r>
  <r>
    <x v="1"/>
    <s v="Burundi"/>
    <x v="3"/>
    <x v="3"/>
    <x v="1"/>
    <n v="40500000"/>
    <x v="7"/>
    <s v="Humanitarian Response Plan (HRP)"/>
  </r>
  <r>
    <x v="1"/>
    <s v="Burundi"/>
    <x v="3"/>
    <x v="3"/>
    <x v="2"/>
    <n v="73700000"/>
    <x v="7"/>
    <s v="Humanitarian Response Plan (HRP)"/>
  </r>
  <r>
    <x v="1"/>
    <s v="Burundi"/>
    <x v="3"/>
    <x v="3"/>
    <x v="3"/>
    <n v="3000000"/>
    <x v="7"/>
    <s v="Humanitarian Response Plan (HRP)"/>
  </r>
  <r>
    <x v="1"/>
    <s v="Burundi"/>
    <x v="3"/>
    <x v="3"/>
    <x v="1"/>
    <n v="76000000"/>
    <x v="7"/>
    <s v="Humanitarian Response Plan (HRP)"/>
  </r>
  <r>
    <x v="1"/>
    <s v="Burundi"/>
    <x v="3"/>
    <x v="3"/>
    <x v="2"/>
    <n v="141800000"/>
    <x v="7"/>
    <s v="Humanitarian Response Plan (HRP)"/>
  </r>
  <r>
    <x v="1"/>
    <s v="Burundi"/>
    <x v="3"/>
    <x v="3"/>
    <x v="3"/>
    <n v="3600000"/>
    <x v="7"/>
    <s v="Humanitarian Response Plan (HRP)"/>
  </r>
  <r>
    <x v="1"/>
    <s v="Benin"/>
    <x v="4"/>
    <x v="4"/>
    <x v="3"/>
    <n v="3000000"/>
    <x v="8"/>
    <s v="COVID-19"/>
  </r>
  <r>
    <x v="1"/>
    <s v="Burundi"/>
    <x v="3"/>
    <x v="3"/>
    <x v="2"/>
    <n v="106300000"/>
    <x v="7"/>
    <s v="Humanitarian Response Plan (HRP)"/>
  </r>
  <r>
    <x v="1"/>
    <s v="Bangladesh"/>
    <x v="1"/>
    <x v="1"/>
    <x v="2"/>
    <n v="871000000"/>
    <x v="3"/>
    <s v="Other"/>
  </r>
  <r>
    <x v="1"/>
    <s v="Burkina Faso"/>
    <x v="2"/>
    <x v="2"/>
    <x v="1"/>
    <n v="76600000"/>
    <x v="4"/>
    <s v="Other"/>
  </r>
  <r>
    <x v="1"/>
    <s v="Burkina Faso"/>
    <x v="2"/>
    <x v="2"/>
    <x v="3"/>
    <n v="1200000"/>
    <x v="4"/>
    <s v="Other"/>
  </r>
  <r>
    <x v="1"/>
    <s v="Burundi Regional Refugee Response Plan"/>
    <x v="3"/>
    <x v="3"/>
    <x v="2"/>
    <n v="261700000"/>
    <x v="9"/>
    <s v="Refugee Response Plan"/>
  </r>
  <r>
    <x v="1"/>
    <s v="Burkina Faso"/>
    <x v="2"/>
    <x v="2"/>
    <x v="3"/>
    <n v="2900000"/>
    <x v="4"/>
    <s v="Humanitarian Response Plan (HRP)"/>
  </r>
  <r>
    <x v="1"/>
    <s v="Burkina Faso"/>
    <x v="2"/>
    <x v="2"/>
    <x v="2"/>
    <n v="295000000"/>
    <x v="4"/>
    <s v="Humanitarian Response Plan (HRP)"/>
  </r>
  <r>
    <x v="1"/>
    <s v="Burundi Regional Refugee Response Plan"/>
    <x v="3"/>
    <x v="3"/>
    <x v="1"/>
    <n v="152800000"/>
    <x v="9"/>
    <s v="Refugee Response Plan"/>
  </r>
  <r>
    <x v="1"/>
    <s v="Burundi Regional Refugee Response Plan"/>
    <x v="3"/>
    <x v="3"/>
    <x v="2"/>
    <n v="313900000"/>
    <x v="9"/>
    <s v="Refugee Response Plan"/>
  </r>
  <r>
    <x v="1"/>
    <s v="Burundi Regional Refugee Response Plan"/>
    <x v="3"/>
    <x v="3"/>
    <x v="3"/>
    <n v="330000"/>
    <x v="9"/>
    <s v="Refugee Response Plan"/>
  </r>
  <r>
    <x v="1"/>
    <s v="Burundi Regional Refugee Response Plan"/>
    <x v="3"/>
    <x v="3"/>
    <x v="1"/>
    <n v="110600000"/>
    <x v="9"/>
    <s v="Refugee Response Plan"/>
  </r>
  <r>
    <x v="1"/>
    <s v="Burundi Regional Refugee Response Plan"/>
    <x v="3"/>
    <x v="3"/>
    <x v="2"/>
    <n v="391200000"/>
    <x v="9"/>
    <s v="Refugee Response Plan"/>
  </r>
  <r>
    <x v="1"/>
    <s v="Burundi Regional Refugee Response Plan"/>
    <x v="3"/>
    <x v="3"/>
    <x v="3"/>
    <n v="484000"/>
    <x v="9"/>
    <s v="Refugee Response Plan"/>
  </r>
  <r>
    <x v="1"/>
    <s v="Burundi Refugee Response Plan"/>
    <x v="3"/>
    <x v="3"/>
    <x v="1"/>
    <n v="74300000"/>
    <x v="9"/>
    <s v="Refugee Response Plan"/>
  </r>
  <r>
    <x v="1"/>
    <s v="Burundi Refugee Response Plan"/>
    <x v="3"/>
    <x v="3"/>
    <x v="2"/>
    <n v="429300000"/>
    <x v="9"/>
    <s v="Refugee Response Plan"/>
  </r>
  <r>
    <x v="1"/>
    <s v="Burundi Refugee Response Plan"/>
    <x v="3"/>
    <x v="3"/>
    <x v="1"/>
    <n v="73800000"/>
    <x v="10"/>
    <s v="Refugee Response Plan"/>
  </r>
  <r>
    <x v="1"/>
    <s v="Burundi Refugee Response Plan"/>
    <x v="3"/>
    <x v="3"/>
    <x v="2"/>
    <n v="306600000"/>
    <x v="10"/>
    <s v="Refugee Response Plan"/>
  </r>
  <r>
    <x v="1"/>
    <s v="Burundi"/>
    <x v="3"/>
    <x v="3"/>
    <x v="1"/>
    <n v="64300000"/>
    <x v="7"/>
    <s v="Humanitarian Response Plan (HRP)"/>
  </r>
  <r>
    <x v="1"/>
    <s v="Cameroon"/>
    <x v="5"/>
    <x v="5"/>
    <x v="1"/>
    <n v="73000000"/>
    <x v="11"/>
    <m/>
  </r>
  <r>
    <x v="1"/>
    <s v="Cameroon"/>
    <x v="5"/>
    <x v="5"/>
    <x v="2"/>
    <n v="125800000"/>
    <x v="11"/>
    <m/>
  </r>
  <r>
    <x v="1"/>
    <s v="Cameroon"/>
    <x v="5"/>
    <x v="5"/>
    <x v="3"/>
    <n v="6100000"/>
    <x v="11"/>
    <m/>
  </r>
  <r>
    <x v="1"/>
    <s v="Cameroon"/>
    <x v="5"/>
    <x v="5"/>
    <x v="1"/>
    <n v="117100000"/>
    <x v="11"/>
    <m/>
  </r>
  <r>
    <x v="1"/>
    <s v="Cameroon"/>
    <x v="5"/>
    <x v="5"/>
    <x v="2"/>
    <n v="264000000"/>
    <x v="11"/>
    <m/>
  </r>
  <r>
    <x v="1"/>
    <s v="Cameroon"/>
    <x v="5"/>
    <x v="5"/>
    <x v="3"/>
    <n v="2070000"/>
    <x v="11"/>
    <m/>
  </r>
  <r>
    <x v="1"/>
    <s v="Cameroon"/>
    <x v="5"/>
    <x v="5"/>
    <x v="1"/>
    <n v="108700000"/>
    <x v="11"/>
    <m/>
  </r>
  <r>
    <x v="1"/>
    <s v="Cameroon"/>
    <x v="5"/>
    <x v="5"/>
    <x v="2"/>
    <n v="232200000"/>
    <x v="11"/>
    <m/>
  </r>
  <r>
    <x v="1"/>
    <s v="Cameroon"/>
    <x v="5"/>
    <x v="5"/>
    <x v="3"/>
    <n v="2900000"/>
    <x v="11"/>
    <m/>
  </r>
  <r>
    <x v="1"/>
    <s v="Cameroon"/>
    <x v="5"/>
    <x v="5"/>
    <x v="1"/>
    <n v="111900000"/>
    <x v="11"/>
    <s v="Humanitarian Response Plan (HRP)"/>
  </r>
  <r>
    <x v="1"/>
    <s v="Cameroon"/>
    <x v="5"/>
    <x v="5"/>
    <x v="2"/>
    <n v="238100000"/>
    <x v="11"/>
    <s v="Humanitarian Response Plan (HRP)"/>
  </r>
  <r>
    <x v="1"/>
    <s v="Cameroon"/>
    <x v="5"/>
    <x v="5"/>
    <x v="3"/>
    <n v="2900000"/>
    <x v="11"/>
    <s v="Humanitarian Response Plan (HRP)"/>
  </r>
  <r>
    <x v="1"/>
    <s v="Cameroon"/>
    <x v="5"/>
    <x v="5"/>
    <x v="1"/>
    <n v="117300000"/>
    <x v="11"/>
    <s v="Humanitarian Response Plan (HRP)"/>
  </r>
  <r>
    <x v="2"/>
    <s v="Cameroon"/>
    <x v="5"/>
    <x v="5"/>
    <x v="2"/>
    <n v="319700000"/>
    <x v="11"/>
    <s v="Humanitarian Response Plan (HRP)"/>
  </r>
  <r>
    <x v="2"/>
    <s v="Cameroon"/>
    <x v="5"/>
    <x v="5"/>
    <x v="3"/>
    <n v="3400000"/>
    <x v="11"/>
    <s v="Humanitarian Response Plan (HRP)"/>
  </r>
  <r>
    <x v="2"/>
    <s v="Burundi Regional Refugee Response Plan"/>
    <x v="3"/>
    <x v="3"/>
    <x v="1"/>
    <n v="85400000"/>
    <x v="9"/>
    <s v="Refugee Response Plan"/>
  </r>
  <r>
    <x v="2"/>
    <s v="Cameroon"/>
    <x v="5"/>
    <x v="5"/>
    <x v="2"/>
    <n v="298900000"/>
    <x v="11"/>
    <s v="Humanitarian Response Plan (HRP)"/>
  </r>
  <r>
    <x v="2"/>
    <s v="Burundi"/>
    <x v="3"/>
    <x v="3"/>
    <x v="3"/>
    <n v="1800000"/>
    <x v="7"/>
    <s v="Humanitarian Response Plan (HRP)"/>
  </r>
  <r>
    <x v="2"/>
    <s v="Burundi Regional Refugee Response Plan"/>
    <x v="3"/>
    <x v="3"/>
    <x v="3"/>
    <n v="223000"/>
    <x v="9"/>
    <s v="Refugee Response Plan"/>
  </r>
  <r>
    <x v="2"/>
    <s v="Central African Republic Regional Refugee Response Plan"/>
    <x v="6"/>
    <x v="6"/>
    <x v="1"/>
    <n v="80500000"/>
    <x v="12"/>
    <m/>
  </r>
  <r>
    <x v="2"/>
    <s v="Central African Republic Regional Refugee Response Plan"/>
    <x v="6"/>
    <x v="6"/>
    <x v="2"/>
    <n v="345700000"/>
    <x v="12"/>
    <m/>
  </r>
  <r>
    <x v="2"/>
    <s v="Central African Republic Regional Refugee Response Plan"/>
    <x v="6"/>
    <x v="6"/>
    <x v="3"/>
    <n v="1300000"/>
    <x v="12"/>
    <m/>
  </r>
  <r>
    <x v="2"/>
    <s v="Central African Republic"/>
    <x v="6"/>
    <x v="6"/>
    <x v="1"/>
    <n v="102801363"/>
    <x v="13"/>
    <s v="Consolidated Appeal Process (CAP)"/>
  </r>
  <r>
    <x v="2"/>
    <s v="Central African Republic"/>
    <x v="6"/>
    <x v="6"/>
    <x v="2"/>
    <n v="195136527"/>
    <x v="13"/>
    <s v="Consolidated Appeal Process (CAP)"/>
  </r>
  <r>
    <x v="2"/>
    <s v="Central African Republic"/>
    <x v="6"/>
    <x v="6"/>
    <x v="2"/>
    <n v="149882707"/>
    <x v="13"/>
    <s v="Consolidated Appeal Process (CAP)"/>
  </r>
  <r>
    <x v="2"/>
    <s v="Central African Republic"/>
    <x v="6"/>
    <x v="6"/>
    <x v="1"/>
    <n v="73220547"/>
    <x v="13"/>
    <s v="Consolidated Appeal Process (CAP)"/>
  </r>
  <r>
    <x v="2"/>
    <s v="Central African Republic"/>
    <x v="6"/>
    <x v="6"/>
    <x v="0"/>
    <n v="1621183"/>
    <x v="13"/>
    <s v="Consolidated Appeal Process (CAP)"/>
  </r>
  <r>
    <x v="2"/>
    <s v="Central African Republic"/>
    <x v="6"/>
    <x v="6"/>
    <x v="1"/>
    <n v="76649802"/>
    <x v="13"/>
    <s v="Consolidated Appeal Process (CAP)"/>
  </r>
  <r>
    <x v="2"/>
    <s v="Central African Republic"/>
    <x v="6"/>
    <x v="6"/>
    <x v="2"/>
    <n v="124011764"/>
    <x v="13"/>
    <s v="Consolidated Appeal Process (CAP)"/>
  </r>
  <r>
    <x v="2"/>
    <s v="Central African Republic"/>
    <x v="6"/>
    <x v="6"/>
    <x v="0"/>
    <n v="1920000"/>
    <x v="13"/>
    <s v="Consolidated Appeal Process (CAP)"/>
  </r>
  <r>
    <x v="2"/>
    <s v="Central African Republic"/>
    <x v="6"/>
    <x v="6"/>
    <x v="0"/>
    <n v="1600000"/>
    <x v="13"/>
    <s v="Consolidated Appeal Process (CAP)"/>
  </r>
  <r>
    <x v="2"/>
    <s v="Central African Republic"/>
    <x v="6"/>
    <x v="6"/>
    <x v="1"/>
    <n v="378700000"/>
    <x v="13"/>
    <m/>
  </r>
  <r>
    <x v="2"/>
    <s v="Central African Republic"/>
    <x v="6"/>
    <x v="6"/>
    <x v="2"/>
    <n v="555400000"/>
    <x v="13"/>
    <m/>
  </r>
  <r>
    <x v="2"/>
    <s v="Central African Republic"/>
    <x v="6"/>
    <x v="6"/>
    <x v="3"/>
    <n v="2200000"/>
    <x v="13"/>
    <m/>
  </r>
  <r>
    <x v="2"/>
    <s v="Central African Republic"/>
    <x v="6"/>
    <x v="6"/>
    <x v="1"/>
    <n v="301100000"/>
    <x v="13"/>
    <m/>
  </r>
  <r>
    <x v="2"/>
    <s v="Central African Republic"/>
    <x v="6"/>
    <x v="6"/>
    <x v="2"/>
    <n v="613000000"/>
    <x v="13"/>
    <m/>
  </r>
  <r>
    <x v="2"/>
    <s v="Central African Republic"/>
    <x v="6"/>
    <x v="6"/>
    <x v="2"/>
    <n v="331200000"/>
    <x v="14"/>
    <m/>
  </r>
  <r>
    <x v="2"/>
    <s v="Central African Republic"/>
    <x v="6"/>
    <x v="6"/>
    <x v="3"/>
    <n v="2700000"/>
    <x v="13"/>
    <m/>
  </r>
  <r>
    <x v="2"/>
    <s v="Central African Republic"/>
    <x v="6"/>
    <x v="6"/>
    <x v="1"/>
    <n v="180900000"/>
    <x v="13"/>
    <m/>
  </r>
  <r>
    <x v="2"/>
    <s v="Central African Republic"/>
    <x v="6"/>
    <x v="6"/>
    <x v="2"/>
    <n v="531500000"/>
    <x v="13"/>
    <m/>
  </r>
  <r>
    <x v="2"/>
    <s v="Central African Republic"/>
    <x v="6"/>
    <x v="6"/>
    <x v="3"/>
    <n v="2400000"/>
    <x v="13"/>
    <m/>
  </r>
  <r>
    <x v="2"/>
    <s v="Central African Republic"/>
    <x v="6"/>
    <x v="6"/>
    <x v="1"/>
    <n v="181400000"/>
    <x v="13"/>
    <s v="Humanitarian Response Plan (HRP)"/>
  </r>
  <r>
    <x v="2"/>
    <s v="Central African Republic"/>
    <x v="6"/>
    <x v="6"/>
    <x v="2"/>
    <n v="497300000"/>
    <x v="13"/>
    <s v="Humanitarian Response Plan (HRP)"/>
  </r>
  <r>
    <x v="2"/>
    <s v="Central African Republic"/>
    <x v="6"/>
    <x v="6"/>
    <x v="3"/>
    <n v="2400000"/>
    <x v="13"/>
    <s v="Humanitarian Response Plan (HRP)"/>
  </r>
  <r>
    <x v="2"/>
    <s v="Central African Republic"/>
    <x v="6"/>
    <x v="6"/>
    <x v="1"/>
    <n v="70000000"/>
    <x v="14"/>
    <m/>
  </r>
  <r>
    <x v="2"/>
    <s v="Central African Republic"/>
    <x v="6"/>
    <x v="6"/>
    <x v="1"/>
    <n v="240600000"/>
    <x v="13"/>
    <s v="Humanitarian Response Plan (HRP)"/>
  </r>
  <r>
    <x v="2"/>
    <s v="Central African Republic"/>
    <x v="6"/>
    <x v="6"/>
    <x v="2"/>
    <n v="515600000"/>
    <x v="13"/>
    <s v="Humanitarian Response Plan (HRP)"/>
  </r>
  <r>
    <x v="2"/>
    <s v="Central African Republic"/>
    <x v="6"/>
    <x v="6"/>
    <x v="3"/>
    <n v="2900000"/>
    <x v="13"/>
    <s v="Humanitarian Response Plan (HRP)"/>
  </r>
  <r>
    <x v="2"/>
    <s v="Burundi"/>
    <x v="3"/>
    <x v="3"/>
    <x v="3"/>
    <n v="1740000"/>
    <x v="7"/>
    <s v="Humanitarian Response Plan (HRP)"/>
  </r>
  <r>
    <x v="2"/>
    <s v="Central African Republic"/>
    <x v="6"/>
    <x v="6"/>
    <x v="2"/>
    <n v="430700000"/>
    <x v="13"/>
    <s v="Humanitarian Response Plan (HRP)"/>
  </r>
  <r>
    <x v="2"/>
    <s v="Burkina Faso"/>
    <x v="2"/>
    <x v="2"/>
    <x v="2"/>
    <n v="607400000"/>
    <x v="4"/>
    <s v="Humanitarian response plan"/>
  </r>
  <r>
    <x v="2"/>
    <s v="Central African Republic"/>
    <x v="6"/>
    <x v="6"/>
    <x v="1"/>
    <n v="65171054"/>
    <x v="13"/>
    <s v="Consolidated Appeal Process (CAP)"/>
  </r>
  <r>
    <x v="2"/>
    <s v="Central African Republic"/>
    <x v="6"/>
    <x v="6"/>
    <x v="2"/>
    <n v="141947471"/>
    <x v="13"/>
    <s v="Consolidated Appeal Process (CAP)"/>
  </r>
  <r>
    <x v="2"/>
    <s v="Chad"/>
    <x v="7"/>
    <x v="7"/>
    <x v="1"/>
    <n v="314112102"/>
    <x v="15"/>
    <s v="Consolidated Appeal Process (CAP)"/>
  </r>
  <r>
    <x v="2"/>
    <s v="Chad"/>
    <x v="7"/>
    <x v="7"/>
    <x v="2"/>
    <n v="544088494"/>
    <x v="15"/>
    <s v="Consolidated Appeal Process (CAP)"/>
  </r>
  <r>
    <x v="2"/>
    <s v="Chad"/>
    <x v="7"/>
    <x v="7"/>
    <x v="1"/>
    <n v="326279750"/>
    <x v="15"/>
    <s v="Consolidated Appeal Process (CAP)"/>
  </r>
  <r>
    <x v="2"/>
    <s v="Chad"/>
    <x v="7"/>
    <x v="7"/>
    <x v="0"/>
    <n v="2283310"/>
    <x v="15"/>
    <s v="Consolidated Appeal Process (CAP)"/>
  </r>
  <r>
    <x v="2"/>
    <s v="Chad"/>
    <x v="7"/>
    <x v="7"/>
    <x v="1"/>
    <n v="356072026"/>
    <x v="15"/>
    <s v="Consolidated Appeal Process (CAP)"/>
  </r>
  <r>
    <x v="2"/>
    <s v="Chad"/>
    <x v="7"/>
    <x v="7"/>
    <x v="2"/>
    <n v="571946997"/>
    <x v="15"/>
    <s v="Consolidated Appeal Process (CAP)"/>
  </r>
  <r>
    <x v="2"/>
    <s v="Chad"/>
    <x v="7"/>
    <x v="7"/>
    <x v="0"/>
    <n v="2989000"/>
    <x v="15"/>
    <s v="Consolidated Appeal Process (CAP)"/>
  </r>
  <r>
    <x v="2"/>
    <s v="Chad"/>
    <x v="7"/>
    <x v="7"/>
    <x v="1"/>
    <n v="297860990"/>
    <x v="15"/>
    <s v="Consolidated Appeal Process (CAP)"/>
  </r>
  <r>
    <x v="2"/>
    <s v="Chad"/>
    <x v="7"/>
    <x v="7"/>
    <x v="2"/>
    <n v="509937289"/>
    <x v="15"/>
    <s v="Consolidated Appeal Process (CAP)"/>
  </r>
  <r>
    <x v="2"/>
    <s v="Chad"/>
    <x v="7"/>
    <x v="7"/>
    <x v="0"/>
    <n v="4200000"/>
    <x v="15"/>
    <s v="Consolidated Appeal Process (CAP)"/>
  </r>
  <r>
    <x v="2"/>
    <s v="Chad"/>
    <x v="7"/>
    <x v="7"/>
    <x v="1"/>
    <n v="226500000"/>
    <x v="15"/>
    <m/>
  </r>
  <r>
    <x v="2"/>
    <s v="Chad"/>
    <x v="7"/>
    <x v="7"/>
    <x v="2"/>
    <n v="618500000"/>
    <x v="15"/>
    <m/>
  </r>
  <r>
    <x v="2"/>
    <s v="Chad"/>
    <x v="7"/>
    <x v="7"/>
    <x v="3"/>
    <n v="2870000"/>
    <x v="15"/>
    <m/>
  </r>
  <r>
    <x v="2"/>
    <s v="Chad"/>
    <x v="7"/>
    <x v="7"/>
    <x v="1"/>
    <n v="250700000"/>
    <x v="15"/>
    <m/>
  </r>
  <r>
    <x v="2"/>
    <s v="Chad"/>
    <x v="7"/>
    <x v="7"/>
    <x v="2"/>
    <n v="571600000"/>
    <x v="15"/>
    <m/>
  </r>
  <r>
    <x v="2"/>
    <s v="Chad"/>
    <x v="7"/>
    <x v="7"/>
    <x v="3"/>
    <n v="3000000"/>
    <x v="15"/>
    <m/>
  </r>
  <r>
    <x v="2"/>
    <s v="Chad"/>
    <x v="7"/>
    <x v="7"/>
    <x v="1"/>
    <n v="210500000"/>
    <x v="15"/>
    <m/>
  </r>
  <r>
    <x v="2"/>
    <s v="Chad"/>
    <x v="7"/>
    <x v="7"/>
    <x v="2"/>
    <n v="541300000"/>
    <x v="15"/>
    <m/>
  </r>
  <r>
    <x v="2"/>
    <s v="Chad"/>
    <x v="7"/>
    <x v="7"/>
    <x v="3"/>
    <n v="2300000"/>
    <x v="15"/>
    <m/>
  </r>
  <r>
    <x v="2"/>
    <s v="Chad"/>
    <x v="7"/>
    <x v="7"/>
    <x v="1"/>
    <n v="227000000"/>
    <x v="15"/>
    <s v="Humanitarian Response Plan (HRP)"/>
  </r>
  <r>
    <x v="2"/>
    <s v="Chad"/>
    <x v="7"/>
    <x v="7"/>
    <x v="2"/>
    <n v="588600000"/>
    <x v="15"/>
    <s v="Humanitarian Response Plan (HRP)"/>
  </r>
  <r>
    <x v="2"/>
    <s v="Chad"/>
    <x v="7"/>
    <x v="7"/>
    <x v="3"/>
    <n v="4700000"/>
    <x v="15"/>
    <s v="Humanitarian Response Plan (HRP)"/>
  </r>
  <r>
    <x v="2"/>
    <s v="Chad"/>
    <x v="7"/>
    <x v="7"/>
    <x v="1"/>
    <n v="255100000"/>
    <x v="15"/>
    <s v="Humanitarian Response Plan (HRP)"/>
  </r>
  <r>
    <x v="2"/>
    <s v="Chad"/>
    <x v="7"/>
    <x v="7"/>
    <x v="2"/>
    <n v="543800000"/>
    <x v="15"/>
    <s v="Humanitarian Response Plan (HRP)"/>
  </r>
  <r>
    <x v="2"/>
    <s v="Chad"/>
    <x v="7"/>
    <x v="7"/>
    <x v="3"/>
    <n v="4900000"/>
    <x v="15"/>
    <s v="Humanitarian Response Plan (HRP)"/>
  </r>
  <r>
    <x v="2"/>
    <s v="Burundi RRP"/>
    <x v="3"/>
    <x v="3"/>
    <x v="3"/>
    <n v="250000"/>
    <x v="16"/>
    <s v="Regional Response Plan"/>
  </r>
  <r>
    <x v="2"/>
    <s v="Chad"/>
    <x v="7"/>
    <x v="7"/>
    <x v="2"/>
    <n v="476600000"/>
    <x v="15"/>
    <s v="Humanitarian Response Plan (HRP)"/>
  </r>
  <r>
    <x v="2"/>
    <s v="Burundi"/>
    <x v="3"/>
    <x v="3"/>
    <x v="2"/>
    <n v="104000000"/>
    <x v="7"/>
    <s v="Humanitarian Response Plan (HRP)"/>
  </r>
  <r>
    <x v="2"/>
    <s v="Cameroon"/>
    <x v="5"/>
    <x v="5"/>
    <x v="1"/>
    <n v="123600000"/>
    <x v="11"/>
    <s v="Humanitarian Response Plan (HRP)"/>
  </r>
  <r>
    <x v="2"/>
    <s v="Chad"/>
    <x v="7"/>
    <x v="7"/>
    <x v="2"/>
    <n v="535276140"/>
    <x v="15"/>
    <s v="Consolidated Appeal Process (CAP)"/>
  </r>
  <r>
    <x v="3"/>
    <s v="Cameroon"/>
    <x v="5"/>
    <x v="5"/>
    <x v="3"/>
    <n v="4300000"/>
    <x v="11"/>
    <s v="Humanitarian Response Plan (HRP)"/>
  </r>
  <r>
    <x v="3"/>
    <s v="Cote d'Ivoire"/>
    <x v="8"/>
    <x v="8"/>
    <x v="1"/>
    <n v="101406953"/>
    <x v="17"/>
    <s v="Consolidated Appeal Process (CAP)"/>
  </r>
  <r>
    <x v="3"/>
    <s v="Cote d'Ivoire"/>
    <x v="8"/>
    <x v="8"/>
    <x v="2"/>
    <n v="160691683"/>
    <x v="17"/>
    <s v="Consolidated Appeal Process (CAP)"/>
  </r>
  <r>
    <x v="3"/>
    <s v="Cote d'Ivoire"/>
    <x v="8"/>
    <x v="8"/>
    <x v="0"/>
    <n v="1143502"/>
    <x v="17"/>
    <s v="Consolidated Appeal Process (CAP)"/>
  </r>
  <r>
    <x v="3"/>
    <s v="Cuba"/>
    <x v="9"/>
    <x v="9"/>
    <x v="1"/>
    <n v="10300000"/>
    <x v="18"/>
    <s v="Other"/>
  </r>
  <r>
    <x v="3"/>
    <s v="Cuba"/>
    <x v="9"/>
    <x v="9"/>
    <x v="2"/>
    <n v="55600000"/>
    <x v="18"/>
    <s v="Other"/>
  </r>
  <r>
    <x v="3"/>
    <s v="Cuba"/>
    <x v="9"/>
    <x v="9"/>
    <x v="3"/>
    <n v="9485235"/>
    <x v="18"/>
    <s v="Other"/>
  </r>
  <r>
    <x v="3"/>
    <s v="Cuba"/>
    <x v="9"/>
    <x v="9"/>
    <x v="1"/>
    <n v="12250508"/>
    <x v="19"/>
    <s v="Other"/>
  </r>
  <r>
    <x v="3"/>
    <s v="Cuba"/>
    <x v="9"/>
    <x v="9"/>
    <x v="2"/>
    <n v="30392419"/>
    <x v="19"/>
    <s v="Other"/>
  </r>
  <r>
    <x v="3"/>
    <s v="Democratic People's Republic of Korea"/>
    <x v="10"/>
    <x v="10"/>
    <x v="1"/>
    <n v="23000000"/>
    <x v="20"/>
    <m/>
  </r>
  <r>
    <x v="3"/>
    <s v="Democratic People's Republic of Korea"/>
    <x v="10"/>
    <x v="10"/>
    <x v="2"/>
    <n v="111000000"/>
    <x v="20"/>
    <m/>
  </r>
  <r>
    <x v="3"/>
    <s v="Democratic People's Republic of Korea"/>
    <x v="10"/>
    <x v="10"/>
    <x v="1"/>
    <n v="30600000"/>
    <x v="20"/>
    <s v="Other"/>
  </r>
  <r>
    <x v="3"/>
    <s v="Democratic People's Republic of Korea"/>
    <x v="10"/>
    <x v="10"/>
    <x v="2"/>
    <n v="113500000"/>
    <x v="20"/>
    <s v="Other"/>
  </r>
  <r>
    <x v="3"/>
    <s v="Democratic People's Republic of Korea"/>
    <x v="10"/>
    <x v="10"/>
    <x v="3"/>
    <n v="18000000"/>
    <x v="20"/>
    <s v="Other"/>
  </r>
  <r>
    <x v="3"/>
    <s v="Democratic People's Republic of Korea"/>
    <x v="10"/>
    <x v="10"/>
    <x v="1"/>
    <n v="26200000"/>
    <x v="20"/>
    <s v="Other"/>
  </r>
  <r>
    <x v="3"/>
    <s v="Democratic People's Republic of Korea"/>
    <x v="10"/>
    <x v="10"/>
    <x v="2"/>
    <n v="111200000"/>
    <x v="20"/>
    <s v="Other"/>
  </r>
  <r>
    <x v="3"/>
    <s v="Democratic People's Republic of Korea"/>
    <x v="10"/>
    <x v="10"/>
    <x v="3"/>
    <n v="10300000"/>
    <x v="20"/>
    <s v="Other"/>
  </r>
  <r>
    <x v="3"/>
    <s v="Cameroon"/>
    <x v="5"/>
    <x v="5"/>
    <x v="3"/>
    <n v="6200000"/>
    <x v="11"/>
    <s v="Humanitarian Response Plan (HRP)"/>
  </r>
  <r>
    <x v="3"/>
    <s v="Democratic People's Republic of Korea"/>
    <x v="10"/>
    <x v="10"/>
    <x v="2"/>
    <n v="120300000"/>
    <x v="20"/>
    <s v="Other"/>
  </r>
  <r>
    <x v="3"/>
    <s v="Burundi"/>
    <x v="3"/>
    <x v="3"/>
    <x v="2"/>
    <n v="195647826"/>
    <x v="7"/>
    <s v="Humanitarian response plan"/>
  </r>
  <r>
    <x v="3"/>
    <s v="Democratic People's Republic of Korea Overview of Needs and Assistance"/>
    <x v="10"/>
    <x v="10"/>
    <x v="1"/>
    <n v="103886477"/>
    <x v="21"/>
    <s v="Other"/>
  </r>
  <r>
    <x v="3"/>
    <s v="Democratic People's Republic of Korea Overview of Needs and Assistance"/>
    <x v="10"/>
    <x v="10"/>
    <x v="2"/>
    <n v="198066562"/>
    <x v="21"/>
    <s v="Other"/>
  </r>
  <r>
    <x v="3"/>
    <s v="Democratic People's Republic of Korea : Overview of Needs and Assistance"/>
    <x v="10"/>
    <x v="10"/>
    <x v="2"/>
    <n v="218740000"/>
    <x v="22"/>
    <s v="Other"/>
  </r>
  <r>
    <x v="3"/>
    <s v="Democratic People's Republic of Korea : Overview of Needs and Assistance"/>
    <x v="10"/>
    <x v="10"/>
    <x v="1"/>
    <n v="73139091"/>
    <x v="22"/>
    <s v="Other"/>
  </r>
  <r>
    <x v="3"/>
    <s v="Democratic Republic of the Congo"/>
    <x v="11"/>
    <x v="11"/>
    <x v="1"/>
    <n v="629381833"/>
    <x v="23"/>
    <s v="Consolidated Appeal Process (CAP)"/>
  </r>
  <r>
    <x v="3"/>
    <s v="Democratic Republic of the Congo"/>
    <x v="11"/>
    <x v="11"/>
    <x v="2"/>
    <n v="892643970"/>
    <x v="23"/>
    <s v="Consolidated Appeal Process (CAP)"/>
  </r>
  <r>
    <x v="3"/>
    <s v="Democratic Republic of the Congo"/>
    <x v="11"/>
    <x v="11"/>
    <x v="3"/>
    <n v="6400000"/>
    <x v="23"/>
    <m/>
  </r>
  <r>
    <x v="3"/>
    <s v="Democratic Republic of the Congo"/>
    <x v="11"/>
    <x v="11"/>
    <x v="3"/>
    <n v="7000000"/>
    <x v="23"/>
    <m/>
  </r>
  <r>
    <x v="3"/>
    <s v="Democratic Republic of the Congo"/>
    <x v="11"/>
    <x v="11"/>
    <x v="2"/>
    <n v="827616628"/>
    <x v="23"/>
    <s v="Consolidated Appeal Process (CAP)"/>
  </r>
  <r>
    <x v="3"/>
    <s v="Democratic Republic of the Congo"/>
    <x v="11"/>
    <x v="11"/>
    <x v="1"/>
    <n v="521026865"/>
    <x v="23"/>
    <s v="Consolidated Appeal Process (CAP)"/>
  </r>
  <r>
    <x v="3"/>
    <s v="Democratic Republic of the Congo"/>
    <x v="11"/>
    <x v="11"/>
    <x v="0"/>
    <n v="7500000"/>
    <x v="23"/>
    <s v="Consolidated Appeal Process (CAP)"/>
  </r>
  <r>
    <x v="3"/>
    <s v="Democratic Republic of the Congo"/>
    <x v="11"/>
    <x v="11"/>
    <x v="1"/>
    <n v="584431727"/>
    <x v="23"/>
    <s v="Consolidated Appeal Process (CAP)"/>
  </r>
  <r>
    <x v="3"/>
    <s v="Democratic Republic of the Congo"/>
    <x v="11"/>
    <x v="11"/>
    <x v="2"/>
    <n v="791331026"/>
    <x v="23"/>
    <s v="Consolidated Appeal Process (CAP)"/>
  </r>
  <r>
    <x v="3"/>
    <s v="Democratic Republic of the Congo"/>
    <x v="11"/>
    <x v="11"/>
    <x v="0"/>
    <n v="5310000"/>
    <x v="23"/>
    <s v="Consolidated Appeal Process (CAP)"/>
  </r>
  <r>
    <x v="3"/>
    <s v="Democratic Republic of the Congo"/>
    <x v="11"/>
    <x v="11"/>
    <x v="0"/>
    <n v="14700000"/>
    <x v="23"/>
    <s v="Consolidated Appeal Process (CAP)"/>
  </r>
  <r>
    <x v="3"/>
    <s v="Democratic Republic of the Congo"/>
    <x v="11"/>
    <x v="11"/>
    <x v="1"/>
    <n v="392900000"/>
    <x v="23"/>
    <m/>
  </r>
  <r>
    <x v="3"/>
    <s v="Democratic Republic of the Congo"/>
    <x v="11"/>
    <x v="11"/>
    <x v="2"/>
    <n v="832100000"/>
    <x v="23"/>
    <m/>
  </r>
  <r>
    <x v="3"/>
    <s v="Dominica Flash Appeal"/>
    <x v="12"/>
    <x v="12"/>
    <x v="1"/>
    <n v="15100000"/>
    <x v="24"/>
    <s v="Humanitarian Response Plan (HRP)"/>
  </r>
  <r>
    <x v="3"/>
    <s v="Dominica Flash Appeal"/>
    <x v="12"/>
    <x v="12"/>
    <x v="2"/>
    <n v="31100000"/>
    <x v="24"/>
    <s v="Humanitarian Response Plan (HRP)"/>
  </r>
  <r>
    <x v="3"/>
    <s v="Democratic Republic of the Congo"/>
    <x v="11"/>
    <x v="11"/>
    <x v="1"/>
    <n v="373400000"/>
    <x v="23"/>
    <m/>
  </r>
  <r>
    <x v="3"/>
    <s v="Democratic Republic of the Congo"/>
    <x v="11"/>
    <x v="11"/>
    <x v="2"/>
    <n v="692000000"/>
    <x v="23"/>
    <m/>
  </r>
  <r>
    <x v="3"/>
    <s v="Democratic Republic of the Congo"/>
    <x v="11"/>
    <x v="11"/>
    <x v="1"/>
    <n v="374600000"/>
    <x v="23"/>
    <m/>
  </r>
  <r>
    <x v="3"/>
    <s v="Democratic Republic of the Congo"/>
    <x v="11"/>
    <x v="11"/>
    <x v="2"/>
    <n v="690000000"/>
    <x v="23"/>
    <m/>
  </r>
  <r>
    <x v="3"/>
    <s v="Democratic Republic of the Congo"/>
    <x v="11"/>
    <x v="11"/>
    <x v="3"/>
    <n v="7500000"/>
    <x v="23"/>
    <m/>
  </r>
  <r>
    <x v="3"/>
    <s v="Democratic Republic of the Congo"/>
    <x v="11"/>
    <x v="11"/>
    <x v="1"/>
    <n v="388400000"/>
    <x v="23"/>
    <s v="Humanitarian Response Plan (HRP)"/>
  </r>
  <r>
    <x v="3"/>
    <s v="Democratic Republic of the Congo"/>
    <x v="11"/>
    <x v="11"/>
    <x v="2"/>
    <n v="812600000"/>
    <x v="23"/>
    <s v="Humanitarian Response Plan (HRP)"/>
  </r>
  <r>
    <x v="3"/>
    <s v="Democratic Republic of the Congo"/>
    <x v="11"/>
    <x v="11"/>
    <x v="3"/>
    <n v="8500000"/>
    <x v="23"/>
    <s v="Humanitarian Response Plan (HRP)"/>
  </r>
  <r>
    <x v="3"/>
    <s v="Democratic Republic of the Congo"/>
    <x v="11"/>
    <x v="11"/>
    <x v="1"/>
    <n v="733300000"/>
    <x v="23"/>
    <s v="Humanitarian Response Plan (HRP)"/>
  </r>
  <r>
    <x v="3"/>
    <s v="Democratic Republic of the Congo"/>
    <x v="11"/>
    <x v="11"/>
    <x v="2"/>
    <n v="1680000000"/>
    <x v="23"/>
    <s v="Humanitarian Response Plan (HRP)"/>
  </r>
  <r>
    <x v="3"/>
    <s v="Democratic Republic of the Congo"/>
    <x v="11"/>
    <x v="11"/>
    <x v="3"/>
    <n v="13100000"/>
    <x v="23"/>
    <s v="Humanitarian Response Plan (HRP)"/>
  </r>
  <r>
    <x v="3"/>
    <s v="Central African Republic"/>
    <x v="6"/>
    <x v="6"/>
    <x v="1"/>
    <n v="287200000"/>
    <x v="13"/>
    <s v="Humanitarian Response Plan (HRP)"/>
  </r>
  <r>
    <x v="3"/>
    <s v="Democratic Republic of the Congo"/>
    <x v="11"/>
    <x v="11"/>
    <x v="2"/>
    <n v="1650000000"/>
    <x v="23"/>
    <s v="Humanitarian Response Plan (HRP)"/>
  </r>
  <r>
    <x v="3"/>
    <s v="Central African Republic"/>
    <x v="6"/>
    <x v="6"/>
    <x v="3"/>
    <n v="2900000"/>
    <x v="13"/>
    <s v="Humanitarian Response Plan (HRP)"/>
  </r>
  <r>
    <x v="3"/>
    <s v="Gambia"/>
    <x v="13"/>
    <x v="13"/>
    <x v="1"/>
    <n v="4400000"/>
    <x v="25"/>
    <m/>
  </r>
  <r>
    <x v="3"/>
    <s v="Gambia"/>
    <x v="13"/>
    <x v="13"/>
    <x v="2"/>
    <n v="18300000"/>
    <x v="25"/>
    <m/>
  </r>
  <r>
    <x v="3"/>
    <s v="Gambia"/>
    <x v="13"/>
    <x v="13"/>
    <x v="3"/>
    <n v="289235"/>
    <x v="25"/>
    <m/>
  </r>
  <r>
    <x v="3"/>
    <s v="Gambia"/>
    <x v="13"/>
    <x v="13"/>
    <x v="1"/>
    <n v="1100000"/>
    <x v="25"/>
    <m/>
  </r>
  <r>
    <x v="3"/>
    <s v="Gambia"/>
    <x v="13"/>
    <x v="13"/>
    <x v="2"/>
    <n v="23700000"/>
    <x v="25"/>
    <m/>
  </r>
  <r>
    <x v="3"/>
    <s v="Gambia"/>
    <x v="13"/>
    <x v="13"/>
    <x v="3"/>
    <n v="566868"/>
    <x v="25"/>
    <m/>
  </r>
  <r>
    <x v="3"/>
    <s v="Gambia"/>
    <x v="13"/>
    <x v="13"/>
    <x v="1"/>
    <n v="440200"/>
    <x v="25"/>
    <m/>
  </r>
  <r>
    <x v="3"/>
    <s v="Gambia"/>
    <x v="13"/>
    <x v="13"/>
    <x v="2"/>
    <n v="11500000"/>
    <x v="25"/>
    <m/>
  </r>
  <r>
    <x v="3"/>
    <s v="Gambia"/>
    <x v="13"/>
    <x v="13"/>
    <x v="3"/>
    <n v="181858"/>
    <x v="25"/>
    <m/>
  </r>
  <r>
    <x v="3"/>
    <s v="Guatemala"/>
    <x v="14"/>
    <x v="14"/>
    <x v="1"/>
    <n v="10100000"/>
    <x v="26"/>
    <m/>
  </r>
  <r>
    <x v="3"/>
    <s v="Guatemala"/>
    <x v="14"/>
    <x v="14"/>
    <x v="2"/>
    <n v="23800000"/>
    <x v="26"/>
    <m/>
  </r>
  <r>
    <x v="3"/>
    <s v="Guatemala"/>
    <x v="14"/>
    <x v="14"/>
    <x v="1"/>
    <n v="15900000"/>
    <x v="26"/>
    <m/>
  </r>
  <r>
    <x v="3"/>
    <s v="Guatemala"/>
    <x v="14"/>
    <x v="14"/>
    <x v="2"/>
    <n v="56700000"/>
    <x v="26"/>
    <m/>
  </r>
  <r>
    <x v="4"/>
    <s v="Guatemala"/>
    <x v="14"/>
    <x v="14"/>
    <x v="3"/>
    <n v="1500000"/>
    <x v="26"/>
    <m/>
  </r>
  <r>
    <x v="4"/>
    <s v="Guatemala Flash Appeal (Revised)"/>
    <x v="14"/>
    <x v="14"/>
    <x v="2"/>
    <n v="16701505"/>
    <x v="27"/>
    <s v="Flash appeal"/>
  </r>
  <r>
    <x v="4"/>
    <s v="Guatemala Flash Appeal (Revised)"/>
    <x v="14"/>
    <x v="14"/>
    <x v="1"/>
    <n v="8103006"/>
    <x v="27"/>
    <s v="Flash appeal"/>
  </r>
  <r>
    <x v="4"/>
    <s v="Guatemala Food Insecurity and Acute Malnutrition Appeal"/>
    <x v="14"/>
    <x v="14"/>
    <x v="2"/>
    <n v="34193050"/>
    <x v="28"/>
    <s v="Consolidated Appeal Process (CAP)"/>
  </r>
  <r>
    <x v="4"/>
    <s v="Guatemala Food Insecurity and Acute Malnutrition Appeal"/>
    <x v="14"/>
    <x v="14"/>
    <x v="1"/>
    <n v="8238535"/>
    <x v="28"/>
    <s v="Consolidated Appeal Process (CAP)"/>
  </r>
  <r>
    <x v="4"/>
    <s v="Honduras"/>
    <x v="15"/>
    <x v="15"/>
    <x v="1"/>
    <n v="7100000"/>
    <x v="29"/>
    <m/>
  </r>
  <r>
    <x v="4"/>
    <s v="Honduras"/>
    <x v="15"/>
    <x v="15"/>
    <x v="2"/>
    <n v="13200000"/>
    <x v="29"/>
    <m/>
  </r>
  <r>
    <x v="4"/>
    <s v="Honduras"/>
    <x v="15"/>
    <x v="15"/>
    <x v="1"/>
    <n v="5300000"/>
    <x v="29"/>
    <m/>
  </r>
  <r>
    <x v="4"/>
    <s v="Honduras"/>
    <x v="15"/>
    <x v="15"/>
    <x v="2"/>
    <n v="44200000"/>
    <x v="29"/>
    <m/>
  </r>
  <r>
    <x v="4"/>
    <s v="Honduras"/>
    <x v="15"/>
    <x v="15"/>
    <x v="3"/>
    <n v="1400000"/>
    <x v="29"/>
    <m/>
  </r>
  <r>
    <x v="4"/>
    <s v="Central African Republic"/>
    <x v="6"/>
    <x v="6"/>
    <x v="3"/>
    <n v="2600000"/>
    <x v="13"/>
    <s v="Humanitarian Response Plan (HRP)"/>
  </r>
  <r>
    <x v="4"/>
    <s v="Democratic Republic of the Congo"/>
    <x v="11"/>
    <x v="11"/>
    <x v="2"/>
    <n v="676800000"/>
    <x v="30"/>
    <s v="Refugee Response Plan"/>
  </r>
  <r>
    <x v="4"/>
    <s v="Burundi (RRP)"/>
    <x v="3"/>
    <x v="3"/>
    <x v="2"/>
    <n v="208889587"/>
    <x v="7"/>
    <s v="Regional Response Plan"/>
  </r>
  <r>
    <x v="4"/>
    <s v="Burundi Regional Refugee Response Plan"/>
    <x v="3"/>
    <x v="3"/>
    <x v="2"/>
    <n v="235800000"/>
    <x v="9"/>
    <s v="Refugee Response Plan"/>
  </r>
  <r>
    <x v="4"/>
    <s v="Democratic Republic of the Congo Regional Response Plan"/>
    <x v="11"/>
    <x v="11"/>
    <x v="1"/>
    <n v="164100000"/>
    <x v="30"/>
    <s v="Refugee Response Plan"/>
  </r>
  <r>
    <x v="4"/>
    <s v="Democratic Republic of the Congo Regional Response Plan"/>
    <x v="11"/>
    <x v="11"/>
    <x v="2"/>
    <n v="547000000"/>
    <x v="30"/>
    <s v="Refugee Response Plan"/>
  </r>
  <r>
    <x v="4"/>
    <s v="Democratic Republic of the Congo Regional Response Plan"/>
    <x v="11"/>
    <x v="11"/>
    <x v="3"/>
    <n v="941000"/>
    <x v="30"/>
    <s v="Refugee Response Plan"/>
  </r>
  <r>
    <x v="4"/>
    <s v="Democratic Republic of the Congo"/>
    <x v="11"/>
    <x v="11"/>
    <x v="1"/>
    <n v="488391703"/>
    <x v="23"/>
    <s v="Consolidated Appeal Process (CAP)"/>
  </r>
  <r>
    <x v="4"/>
    <s v="Democratic Republic of the Congo"/>
    <x v="11"/>
    <x v="11"/>
    <x v="2"/>
    <n v="735754098"/>
    <x v="23"/>
    <s v="Consolidated Appeal Process (CAP)"/>
  </r>
  <r>
    <x v="5"/>
    <s v="Djibouti"/>
    <x v="16"/>
    <x v="16"/>
    <x v="1"/>
    <n v="24753575"/>
    <x v="31"/>
    <s v="Consolidated Appeal Process (CAP)"/>
  </r>
  <r>
    <x v="5"/>
    <s v="Djibouti"/>
    <x v="16"/>
    <x v="16"/>
    <x v="2"/>
    <n v="69982984"/>
    <x v="31"/>
    <s v="Consolidated Appeal Process (CAP)"/>
  </r>
  <r>
    <x v="5"/>
    <s v="Djibouti"/>
    <x v="16"/>
    <x v="16"/>
    <x v="0"/>
    <n v="300000"/>
    <x v="31"/>
    <s v="Consolidated Appeal Process (CAP)"/>
  </r>
  <r>
    <x v="5"/>
    <s v="Djibouti"/>
    <x v="16"/>
    <x v="16"/>
    <x v="1"/>
    <n v="21000000"/>
    <x v="31"/>
    <m/>
  </r>
  <r>
    <x v="5"/>
    <s v="Djibouti"/>
    <x v="16"/>
    <x v="16"/>
    <x v="2"/>
    <n v="74100000"/>
    <x v="31"/>
    <m/>
  </r>
  <r>
    <x v="5"/>
    <s v="Djibouti"/>
    <x v="16"/>
    <x v="16"/>
    <x v="3"/>
    <n v="300000"/>
    <x v="31"/>
    <m/>
  </r>
  <r>
    <x v="5"/>
    <s v="Djibouti"/>
    <x v="16"/>
    <x v="16"/>
    <x v="1"/>
    <n v="17300000"/>
    <x v="31"/>
    <m/>
  </r>
  <r>
    <x v="5"/>
    <s v="Djibouti"/>
    <x v="16"/>
    <x v="16"/>
    <x v="2"/>
    <n v="82000000"/>
    <x v="31"/>
    <m/>
  </r>
  <r>
    <x v="5"/>
    <s v="Djibouti"/>
    <x v="16"/>
    <x v="16"/>
    <x v="3"/>
    <n v="300000"/>
    <x v="31"/>
    <m/>
  </r>
  <r>
    <x v="5"/>
    <s v="Djibouti"/>
    <x v="16"/>
    <x v="16"/>
    <x v="1"/>
    <n v="26300000"/>
    <x v="31"/>
    <m/>
  </r>
  <r>
    <x v="5"/>
    <s v="Djibouti"/>
    <x v="16"/>
    <x v="16"/>
    <x v="2"/>
    <n v="74800000"/>
    <x v="31"/>
    <m/>
  </r>
  <r>
    <x v="5"/>
    <s v="Djibouti"/>
    <x v="16"/>
    <x v="16"/>
    <x v="3"/>
    <n v="282417"/>
    <x v="31"/>
    <m/>
  </r>
  <r>
    <x v="5"/>
    <s v="Djibouti"/>
    <x v="16"/>
    <x v="16"/>
    <x v="1"/>
    <n v="11100000"/>
    <x v="31"/>
    <s v="Humanitarian Response Plan (HRP)"/>
  </r>
  <r>
    <x v="5"/>
    <s v="Djibouti"/>
    <x v="16"/>
    <x v="16"/>
    <x v="2"/>
    <n v="43000000"/>
    <x v="31"/>
    <s v="Humanitarian Response Plan (HRP)"/>
  </r>
  <r>
    <x v="5"/>
    <s v="Djibouti"/>
    <x v="16"/>
    <x v="16"/>
    <x v="3"/>
    <n v="289000"/>
    <x v="31"/>
    <s v="Humanitarian Response Plan (HRP)"/>
  </r>
  <r>
    <x v="5"/>
    <s v="Djibouti Appeal"/>
    <x v="16"/>
    <x v="16"/>
    <x v="1"/>
    <n v="40222828"/>
    <x v="32"/>
    <s v="Consolidated Appeal Process (CAP)"/>
  </r>
  <r>
    <x v="5"/>
    <s v="Djibouti Appeal"/>
    <x v="16"/>
    <x v="16"/>
    <x v="2"/>
    <n v="79310556"/>
    <x v="32"/>
    <s v="Consolidated Appeal Process (CAP)"/>
  </r>
  <r>
    <x v="5"/>
    <s v="Djibouti Appeal"/>
    <x v="16"/>
    <x v="16"/>
    <x v="0"/>
    <n v="206000"/>
    <x v="32"/>
    <s v="Consolidated Appeal Process (CAP)"/>
  </r>
  <r>
    <x v="5"/>
    <s v="Djibouti Drought Appeal"/>
    <x v="16"/>
    <x v="16"/>
    <x v="0"/>
    <n v="120000"/>
    <x v="33"/>
    <s v="Consolidated Appeal Process (CAP)"/>
  </r>
  <r>
    <x v="5"/>
    <s v="Djibouti Drought Appeal"/>
    <x v="16"/>
    <x v="16"/>
    <x v="1"/>
    <n v="19370114"/>
    <x v="33"/>
    <s v="Consolidated Appeal Process (CAP)"/>
  </r>
  <r>
    <x v="4"/>
    <s v="Chad"/>
    <x v="7"/>
    <x v="7"/>
    <x v="1"/>
    <n v="231900000"/>
    <x v="15"/>
    <s v="Humanitarian Response Plan (HRP)"/>
  </r>
  <r>
    <x v="4"/>
    <s v="Chad"/>
    <x v="7"/>
    <x v="7"/>
    <x v="3"/>
    <n v="4300000"/>
    <x v="15"/>
    <s v="Humanitarian Response Plan (HRP)"/>
  </r>
  <r>
    <x v="5"/>
    <s v="Djibouti Drought Appeal"/>
    <x v="16"/>
    <x v="16"/>
    <x v="2"/>
    <n v="33264338"/>
    <x v="33"/>
    <s v="Consolidated Appeal Process (CAP)"/>
  </r>
  <r>
    <x v="4"/>
    <s v="Chad"/>
    <x v="7"/>
    <x v="7"/>
    <x v="3"/>
    <n v="6400000"/>
    <x v="15"/>
    <s v="Humanitarian Response Plan (HRP)"/>
  </r>
  <r>
    <x v="4"/>
    <s v="Ethiopia"/>
    <x v="17"/>
    <x v="17"/>
    <x v="1"/>
    <n v="1061000000"/>
    <x v="34"/>
    <m/>
  </r>
  <r>
    <x v="4"/>
    <s v="Ethiopia"/>
    <x v="17"/>
    <x v="17"/>
    <x v="2"/>
    <n v="1600000000"/>
    <x v="34"/>
    <m/>
  </r>
  <r>
    <x v="4"/>
    <s v="Ethiopia"/>
    <x v="17"/>
    <x v="17"/>
    <x v="3"/>
    <n v="10000000"/>
    <x v="34"/>
    <m/>
  </r>
  <r>
    <x v="4"/>
    <s v="Ethiopia"/>
    <x v="17"/>
    <x v="17"/>
    <x v="1"/>
    <n v="549600000"/>
    <x v="34"/>
    <s v="Humanitarian Response Plan (HRP)"/>
  </r>
  <r>
    <x v="4"/>
    <s v="Ethiopia"/>
    <x v="17"/>
    <x v="17"/>
    <x v="2"/>
    <n v="1420000000"/>
    <x v="34"/>
    <s v="Humanitarian Response Plan (HRP)"/>
  </r>
  <r>
    <x v="4"/>
    <s v="Ethiopia"/>
    <x v="17"/>
    <x v="17"/>
    <x v="3"/>
    <n v="12500000"/>
    <x v="34"/>
    <s v="Humanitarian Response Plan (HRP)"/>
  </r>
  <r>
    <x v="4"/>
    <s v="Ethiopia"/>
    <x v="17"/>
    <x v="17"/>
    <x v="1"/>
    <n v="635700000"/>
    <x v="34"/>
    <s v="Humanitarian Response Plan (HRP)"/>
  </r>
  <r>
    <x v="4"/>
    <s v="Ethiopia"/>
    <x v="17"/>
    <x v="17"/>
    <x v="2"/>
    <n v="1180000000"/>
    <x v="34"/>
    <s v="Humanitarian Response Plan (HRP)"/>
  </r>
  <r>
    <x v="4"/>
    <s v="Ethiopia"/>
    <x v="17"/>
    <x v="17"/>
    <x v="3"/>
    <n v="7000000"/>
    <x v="34"/>
    <s v="Humanitarian Response Plan (HRP)"/>
  </r>
  <r>
    <x v="4"/>
    <s v="Ethiopia"/>
    <x v="17"/>
    <x v="17"/>
    <x v="2"/>
    <n v="771500000"/>
    <x v="34"/>
    <s v="Humanitarian Response Plan (HRP)"/>
  </r>
  <r>
    <x v="4"/>
    <s v="Cameroon"/>
    <x v="5"/>
    <x v="5"/>
    <x v="2"/>
    <n v="317000000"/>
    <x v="11"/>
    <s v="Humanitarian Response Plan (HRP)"/>
  </r>
  <r>
    <x v="4"/>
    <s v="Colombia"/>
    <x v="18"/>
    <x v="18"/>
    <x v="3"/>
    <n v="10400000"/>
    <x v="35"/>
    <s v="Humanitarian Response Plan (HRP)"/>
  </r>
  <r>
    <x v="4"/>
    <s v="Haiti"/>
    <x v="19"/>
    <x v="19"/>
    <x v="0"/>
    <n v="2100000"/>
    <x v="36"/>
    <s v="Consolidated Appeal Process (CAP)"/>
  </r>
  <r>
    <x v="4"/>
    <s v="Haiti"/>
    <x v="19"/>
    <x v="19"/>
    <x v="1"/>
    <n v="70311344"/>
    <x v="36"/>
    <s v="Consolidated Appeal Process (CAP)"/>
  </r>
  <r>
    <x v="4"/>
    <s v="Haiti"/>
    <x v="19"/>
    <x v="19"/>
    <x v="2"/>
    <n v="151080810"/>
    <x v="36"/>
    <s v="Consolidated Appeal Process (CAP)"/>
  </r>
  <r>
    <x v="4"/>
    <s v="Haiti"/>
    <x v="19"/>
    <x v="19"/>
    <x v="0"/>
    <n v="1188000"/>
    <x v="36"/>
    <s v="Consolidated Appeal Process (CAP)"/>
  </r>
  <r>
    <x v="4"/>
    <s v="Haiti"/>
    <x v="19"/>
    <x v="19"/>
    <x v="1"/>
    <n v="89900000"/>
    <x v="36"/>
    <m/>
  </r>
  <r>
    <x v="4"/>
    <s v="Haiti"/>
    <x v="19"/>
    <x v="19"/>
    <x v="2"/>
    <n v="157500000"/>
    <x v="36"/>
    <m/>
  </r>
  <r>
    <x v="4"/>
    <s v="Haiti"/>
    <x v="19"/>
    <x v="19"/>
    <x v="3"/>
    <n v="817000"/>
    <x v="36"/>
    <m/>
  </r>
  <r>
    <x v="4"/>
    <s v="Haiti"/>
    <x v="19"/>
    <x v="19"/>
    <x v="1"/>
    <n v="62100000"/>
    <x v="36"/>
    <m/>
  </r>
  <r>
    <x v="4"/>
    <s v="Haiti"/>
    <x v="19"/>
    <x v="19"/>
    <x v="2"/>
    <n v="193800000"/>
    <x v="36"/>
    <m/>
  </r>
  <r>
    <x v="4"/>
    <s v="Haiti"/>
    <x v="19"/>
    <x v="19"/>
    <x v="3"/>
    <n v="1600000"/>
    <x v="36"/>
    <m/>
  </r>
  <r>
    <x v="4"/>
    <s v="Haiti"/>
    <x v="19"/>
    <x v="19"/>
    <x v="1"/>
    <n v="71300000"/>
    <x v="36"/>
    <s v="Humanitarian Response Plan (HRP)"/>
  </r>
  <r>
    <x v="4"/>
    <s v="Haiti"/>
    <x v="19"/>
    <x v="19"/>
    <x v="2"/>
    <n v="192200000"/>
    <x v="36"/>
    <s v="Humanitarian Response Plan (HRP)"/>
  </r>
  <r>
    <x v="4"/>
    <s v="Haiti"/>
    <x v="19"/>
    <x v="19"/>
    <x v="3"/>
    <n v="2700000"/>
    <x v="36"/>
    <s v="Humanitarian Response Plan (HRP)"/>
  </r>
  <r>
    <x v="4"/>
    <s v="Haiti"/>
    <x v="19"/>
    <x v="19"/>
    <x v="1"/>
    <n v="28200000"/>
    <x v="36"/>
    <s v="Humanitarian Response Plan (HRP)"/>
  </r>
  <r>
    <x v="4"/>
    <s v="Haiti"/>
    <x v="19"/>
    <x v="19"/>
    <x v="2"/>
    <n v="252200000"/>
    <x v="36"/>
    <s v="Humanitarian Response Plan (HRP)"/>
  </r>
  <r>
    <x v="4"/>
    <s v="Haiti"/>
    <x v="19"/>
    <x v="19"/>
    <x v="3"/>
    <n v="2800000"/>
    <x v="36"/>
    <s v="Humanitarian Response Plan (HRP)"/>
  </r>
  <r>
    <x v="4"/>
    <s v="Democratic People's Republic of Korea"/>
    <x v="10"/>
    <x v="10"/>
    <x v="1"/>
    <n v="32000000"/>
    <x v="20"/>
    <s v="Other"/>
  </r>
  <r>
    <x v="4"/>
    <s v="Haiti"/>
    <x v="19"/>
    <x v="19"/>
    <x v="2"/>
    <n v="126200000"/>
    <x v="36"/>
    <s v="Humanitarian Response Plan (HRP)"/>
  </r>
  <r>
    <x v="4"/>
    <s v="Cameroon"/>
    <x v="5"/>
    <x v="5"/>
    <x v="2"/>
    <n v="360000000"/>
    <x v="11"/>
    <s v="Humanitarian response plan"/>
  </r>
  <r>
    <x v="4"/>
    <s v="Haiti Flash Appeal"/>
    <x v="19"/>
    <x v="19"/>
    <x v="1"/>
    <n v="64300000"/>
    <x v="37"/>
    <m/>
  </r>
  <r>
    <x v="4"/>
    <s v="Haiti Flash Appeal"/>
    <x v="19"/>
    <x v="19"/>
    <x v="2"/>
    <n v="139000000"/>
    <x v="37"/>
    <m/>
  </r>
  <r>
    <x v="4"/>
    <s v="Haiti Humanitarian Action Plan"/>
    <x v="19"/>
    <x v="19"/>
    <x v="1"/>
    <n v="72771635"/>
    <x v="38"/>
    <s v="Consolidated Appeal Process (CAP)"/>
  </r>
  <r>
    <x v="4"/>
    <s v="Kyrgyzstan Flash Appeal (Revised)"/>
    <x v="20"/>
    <x v="20"/>
    <x v="2"/>
    <n v="94231852"/>
    <x v="39"/>
    <s v="Flash appeal"/>
  </r>
  <r>
    <x v="4"/>
    <s v="Kyrgyzstan Flash Appeal (Revised)"/>
    <x v="20"/>
    <x v="20"/>
    <x v="1"/>
    <n v="68617608"/>
    <x v="39"/>
    <s v="Flash appeal"/>
  </r>
  <r>
    <x v="6"/>
    <s v="Liberia"/>
    <x v="21"/>
    <x v="21"/>
    <x v="1"/>
    <n v="37229017"/>
    <x v="40"/>
    <s v="Consolidated Appeal Process (CAP)"/>
  </r>
  <r>
    <x v="6"/>
    <s v="Liberia"/>
    <x v="21"/>
    <x v="21"/>
    <x v="2"/>
    <n v="97912181"/>
    <x v="40"/>
    <s v="Consolidated Appeal Process (CAP)"/>
  </r>
  <r>
    <x v="6"/>
    <s v="Liberia"/>
    <x v="21"/>
    <x v="21"/>
    <x v="0"/>
    <n v="200245"/>
    <x v="40"/>
    <s v="Consolidated Appeal Process (CAP)"/>
  </r>
  <r>
    <x v="6"/>
    <s v="Haiti Humanitarian Action Plan"/>
    <x v="19"/>
    <x v="19"/>
    <x v="2"/>
    <n v="152343810"/>
    <x v="38"/>
    <s v="Consolidated Appeal Process (CAP)"/>
  </r>
  <r>
    <x v="6"/>
    <s v="Haiti Humanitarian Action Plan"/>
    <x v="19"/>
    <x v="19"/>
    <x v="0"/>
    <n v="900000"/>
    <x v="38"/>
    <s v="Consolidated Appeal Process (CAP)"/>
  </r>
  <r>
    <x v="6"/>
    <s v="Haiti Humanitarian Appeal (Revised)"/>
    <x v="19"/>
    <x v="19"/>
    <x v="2"/>
    <n v="1502221330"/>
    <x v="41"/>
    <s v="Flash appeal"/>
  </r>
  <r>
    <x v="6"/>
    <s v="Haiti Humanitarian Appeal (Revised)"/>
    <x v="19"/>
    <x v="19"/>
    <x v="1"/>
    <n v="1108519732"/>
    <x v="41"/>
    <s v="Flash appeal"/>
  </r>
  <r>
    <x v="6"/>
    <s v="Haiti"/>
    <x v="19"/>
    <x v="19"/>
    <x v="1"/>
    <n v="6300000"/>
    <x v="36"/>
    <m/>
  </r>
  <r>
    <x v="6"/>
    <s v="Haiti"/>
    <x v="19"/>
    <x v="19"/>
    <x v="2"/>
    <n v="25500000"/>
    <x v="36"/>
    <m/>
  </r>
  <r>
    <x v="6"/>
    <s v="Haiti"/>
    <x v="19"/>
    <x v="19"/>
    <x v="1"/>
    <n v="220820927"/>
    <x v="36"/>
    <s v="Consolidated Appeal Process (CAP)"/>
  </r>
  <r>
    <x v="6"/>
    <s v="Haiti"/>
    <x v="19"/>
    <x v="19"/>
    <x v="2"/>
    <n v="382390619"/>
    <x v="36"/>
    <s v="Consolidated Appeal Process (CAP)"/>
  </r>
  <r>
    <x v="6"/>
    <s v="Indonesia"/>
    <x v="22"/>
    <x v="22"/>
    <x v="1"/>
    <n v="16700000"/>
    <x v="42"/>
    <s v="Other"/>
  </r>
  <r>
    <x v="6"/>
    <s v="Indonesia"/>
    <x v="22"/>
    <x v="22"/>
    <x v="2"/>
    <n v="50500000"/>
    <x v="42"/>
    <s v="Other"/>
  </r>
  <r>
    <x v="6"/>
    <s v="Indonesia"/>
    <x v="22"/>
    <x v="22"/>
    <x v="3"/>
    <n v="1500000"/>
    <x v="42"/>
    <s v="Other"/>
  </r>
  <r>
    <x v="6"/>
    <s v="Democratic People's Republic of Korea"/>
    <x v="10"/>
    <x v="10"/>
    <x v="3"/>
    <n v="10900000"/>
    <x v="20"/>
    <s v="Other"/>
  </r>
  <r>
    <x v="6"/>
    <s v="Iran"/>
    <x v="23"/>
    <x v="23"/>
    <x v="2"/>
    <n v="25000000"/>
    <x v="43"/>
    <s v="Other"/>
  </r>
  <r>
    <x v="6"/>
    <s v="Democratic People's Republic of Korea"/>
    <x v="10"/>
    <x v="10"/>
    <x v="3"/>
    <n v="10400000"/>
    <x v="20"/>
    <s v="Other"/>
  </r>
  <r>
    <x v="6"/>
    <s v="Iraq"/>
    <x v="24"/>
    <x v="24"/>
    <x v="1"/>
    <n v="819400000"/>
    <x v="44"/>
    <m/>
  </r>
  <r>
    <x v="6"/>
    <s v="Iraq"/>
    <x v="24"/>
    <x v="24"/>
    <x v="2"/>
    <n v="1113300000"/>
    <x v="44"/>
    <m/>
  </r>
  <r>
    <x v="6"/>
    <s v="Iraq"/>
    <x v="24"/>
    <x v="24"/>
    <x v="3"/>
    <n v="5200000"/>
    <x v="44"/>
    <m/>
  </r>
  <r>
    <x v="6"/>
    <s v="Iraq"/>
    <x v="24"/>
    <x v="24"/>
    <x v="1"/>
    <n v="439700000"/>
    <x v="44"/>
    <m/>
  </r>
  <r>
    <x v="6"/>
    <s v="Sri Lanka Common Humanitarian Action Plan"/>
    <x v="25"/>
    <x v="25"/>
    <x v="1"/>
    <n v="153824575"/>
    <x v="45"/>
    <s v="Other"/>
  </r>
  <r>
    <x v="6"/>
    <s v="Sri Lanka Common Humanitarian Action Plan"/>
    <x v="25"/>
    <x v="25"/>
    <x v="2"/>
    <n v="289605365"/>
    <x v="45"/>
    <s v="Other"/>
  </r>
  <r>
    <x v="6"/>
    <s v="Iraq"/>
    <x v="24"/>
    <x v="24"/>
    <x v="2"/>
    <n v="704300000"/>
    <x v="44"/>
    <m/>
  </r>
  <r>
    <x v="6"/>
    <s v="Iraq"/>
    <x v="24"/>
    <x v="24"/>
    <x v="3"/>
    <n v="8200000"/>
    <x v="44"/>
    <m/>
  </r>
  <r>
    <x v="6"/>
    <s v="Iraq"/>
    <x v="24"/>
    <x v="24"/>
    <x v="1"/>
    <n v="663600000"/>
    <x v="44"/>
    <m/>
  </r>
  <r>
    <x v="6"/>
    <s v="Iraq"/>
    <x v="24"/>
    <x v="24"/>
    <x v="2"/>
    <n v="860500000"/>
    <x v="44"/>
    <m/>
  </r>
  <r>
    <x v="6"/>
    <s v="Sri Lanka Joint Plan of Assistance to the Northern Province (JPA)"/>
    <x v="25"/>
    <x v="25"/>
    <x v="1"/>
    <n v="40172849"/>
    <x v="46"/>
    <s v="Other"/>
  </r>
  <r>
    <x v="6"/>
    <s v="Sri Lanka Joint Plan of Assistance to the Northern Province (JPA)"/>
    <x v="25"/>
    <x v="25"/>
    <x v="2"/>
    <n v="147118508"/>
    <x v="46"/>
    <s v="Other"/>
  </r>
  <r>
    <x v="6"/>
    <s v="Lesotho Food Insecurity"/>
    <x v="26"/>
    <x v="26"/>
    <x v="1"/>
    <n v="23805699"/>
    <x v="47"/>
    <s v="Flash appeal"/>
  </r>
  <r>
    <x v="6"/>
    <s v="Lesotho Food Insecurity"/>
    <x v="26"/>
    <x v="26"/>
    <x v="2"/>
    <n v="38458738"/>
    <x v="47"/>
    <s v="Flash appeal"/>
  </r>
  <r>
    <x v="6"/>
    <s v="Madagascar"/>
    <x v="27"/>
    <x v="27"/>
    <x v="2"/>
    <n v="32400000"/>
    <x v="48"/>
    <s v="Flash appeal"/>
  </r>
  <r>
    <x v="6"/>
    <s v="Central African Republic"/>
    <x v="6"/>
    <x v="6"/>
    <x v="2"/>
    <n v="387800000"/>
    <x v="13"/>
    <s v="Humanitarian Response Plan (HRP)"/>
  </r>
  <r>
    <x v="6"/>
    <s v="Madagascar Flash Appeal"/>
    <x v="27"/>
    <x v="27"/>
    <x v="1"/>
    <n v="13300000"/>
    <x v="49"/>
    <s v="Humanitarian Response Plan (HRP)"/>
  </r>
  <r>
    <x v="6"/>
    <s v="Madagascar Flash Appeal"/>
    <x v="27"/>
    <x v="27"/>
    <x v="2"/>
    <n v="20100000"/>
    <x v="49"/>
    <s v="Humanitarian Response Plan (HRP)"/>
  </r>
  <r>
    <x v="6"/>
    <s v="Iraq"/>
    <x v="24"/>
    <x v="24"/>
    <x v="3"/>
    <n v="11000000"/>
    <x v="44"/>
    <m/>
  </r>
  <r>
    <x v="6"/>
    <s v="Iraq"/>
    <x v="24"/>
    <x v="24"/>
    <x v="1"/>
    <n v="808700000"/>
    <x v="44"/>
    <s v="Humanitarian Response Plan (HRP)"/>
  </r>
  <r>
    <x v="6"/>
    <s v="Iraq"/>
    <x v="24"/>
    <x v="24"/>
    <x v="2"/>
    <n v="984600000"/>
    <x v="44"/>
    <s v="Humanitarian Response Plan (HRP)"/>
  </r>
  <r>
    <x v="6"/>
    <s v="Iraq"/>
    <x v="24"/>
    <x v="24"/>
    <x v="3"/>
    <n v="11000000"/>
    <x v="44"/>
    <s v="Humanitarian Response Plan (HRP)"/>
  </r>
  <r>
    <x v="6"/>
    <s v="Iraq"/>
    <x v="24"/>
    <x v="24"/>
    <x v="1"/>
    <n v="455300000"/>
    <x v="44"/>
    <s v="Humanitarian Response Plan (HRP)"/>
  </r>
  <r>
    <x v="6"/>
    <s v="Iraq"/>
    <x v="24"/>
    <x v="24"/>
    <x v="2"/>
    <n v="568700000"/>
    <x v="44"/>
    <s v="Humanitarian Response Plan (HRP)"/>
  </r>
  <r>
    <x v="6"/>
    <s v="Iraq"/>
    <x v="24"/>
    <x v="24"/>
    <x v="3"/>
    <n v="8700000"/>
    <x v="44"/>
    <s v="Humanitarian Response Plan (HRP)"/>
  </r>
  <r>
    <x v="6"/>
    <s v="Democratic Republic of the Congo"/>
    <x v="11"/>
    <x v="11"/>
    <x v="1"/>
    <n v="680900000"/>
    <x v="23"/>
    <s v="Humanitarian Response Plan (HRP)"/>
  </r>
  <r>
    <x v="6"/>
    <s v="Iraq"/>
    <x v="24"/>
    <x v="24"/>
    <x v="2"/>
    <n v="701200000"/>
    <x v="44"/>
    <s v="Humanitarian Response Plan (HRP)"/>
  </r>
  <r>
    <x v="6"/>
    <s v="Democratic Republic of the Congo"/>
    <x v="11"/>
    <x v="11"/>
    <x v="1"/>
    <n v="146900000"/>
    <x v="30"/>
    <s v="Refugee Response Plan"/>
  </r>
  <r>
    <x v="6"/>
    <s v="Democratic Republic of the Congo"/>
    <x v="11"/>
    <x v="11"/>
    <x v="3"/>
    <n v="12800000"/>
    <x v="23"/>
    <s v="Humanitarian Response Plan (HRP)"/>
  </r>
  <r>
    <x v="6"/>
    <s v="Iraq Humanitarian Action Plan"/>
    <x v="24"/>
    <x v="24"/>
    <x v="1"/>
    <n v="51113653"/>
    <x v="50"/>
    <s v="Other"/>
  </r>
  <r>
    <x v="6"/>
    <s v="Iraq Humanitarian Action Plan"/>
    <x v="24"/>
    <x v="24"/>
    <x v="2"/>
    <n v="187725113"/>
    <x v="50"/>
    <s v="Other"/>
  </r>
  <r>
    <x v="6"/>
    <s v="Mosul Flash Appeal"/>
    <x v="24"/>
    <x v="24"/>
    <x v="1"/>
    <n v="232700000"/>
    <x v="51"/>
    <m/>
  </r>
  <r>
    <x v="6"/>
    <s v="Mosul Flash Appeal"/>
    <x v="24"/>
    <x v="24"/>
    <x v="2"/>
    <n v="283700000"/>
    <x v="51"/>
    <m/>
  </r>
  <r>
    <x v="6"/>
    <s v="Kenya Emergency Humanitarian Response Plan"/>
    <x v="28"/>
    <x v="28"/>
    <x v="2"/>
    <n v="603544553"/>
    <x v="52"/>
    <s v="Consolidated Appeal Process (CAP)"/>
  </r>
  <r>
    <x v="6"/>
    <s v="Kenya Emergency Humanitarian Response Plan"/>
    <x v="28"/>
    <x v="28"/>
    <x v="1"/>
    <n v="399288552"/>
    <x v="52"/>
    <s v="Consolidated Appeal Process (CAP)"/>
  </r>
  <r>
    <x v="6"/>
    <s v="Kenya Emergency Humanitarian Response Plan"/>
    <x v="28"/>
    <x v="28"/>
    <x v="0"/>
    <n v="1655500"/>
    <x v="52"/>
    <s v="Consolidated Appeal Process (CAP)"/>
  </r>
  <r>
    <x v="6"/>
    <s v="Kenya Emergency Humanitarian Response Plan"/>
    <x v="28"/>
    <x v="28"/>
    <x v="1"/>
    <n v="545023141"/>
    <x v="52"/>
    <s v="Consolidated Appeal Process (CAP)"/>
  </r>
  <r>
    <x v="6"/>
    <s v="Kenya Emergency Humanitarian Response Plan"/>
    <x v="28"/>
    <x v="28"/>
    <x v="2"/>
    <n v="796807640"/>
    <x v="52"/>
    <s v="Consolidated Appeal Process (CAP)"/>
  </r>
  <r>
    <x v="6"/>
    <s v="Kenya Emergency Humanitarian Response Plan"/>
    <x v="28"/>
    <x v="28"/>
    <x v="0"/>
    <n v="2726000"/>
    <x v="52"/>
    <s v="Consolidated Appeal Process (CAP)"/>
  </r>
  <r>
    <x v="6"/>
    <s v="Kenya Emergency Humanitarian Response Plan"/>
    <x v="28"/>
    <x v="28"/>
    <x v="1"/>
    <n v="372462747"/>
    <x v="52"/>
    <s v="Consolidated Appeal Process (CAP)"/>
  </r>
  <r>
    <x v="6"/>
    <s v="Kenya Emergency Humanitarian Response Plan"/>
    <x v="28"/>
    <x v="28"/>
    <x v="2"/>
    <n v="663311782"/>
    <x v="52"/>
    <s v="Consolidated Appeal Process (CAP)"/>
  </r>
  <r>
    <x v="6"/>
    <s v="Kenya Emergency Humanitarian Response Plan"/>
    <x v="28"/>
    <x v="28"/>
    <x v="0"/>
    <n v="1700000"/>
    <x v="52"/>
    <s v="Consolidated Appeal Process (CAP)"/>
  </r>
  <r>
    <x v="6"/>
    <s v="Kenya Flash Appeal"/>
    <x v="28"/>
    <x v="28"/>
    <x v="1"/>
    <n v="85800000"/>
    <x v="53"/>
    <s v="Humanitarian Response Plan (HRP)"/>
  </r>
  <r>
    <x v="6"/>
    <s v="Kenya Flash Appeal"/>
    <x v="28"/>
    <x v="28"/>
    <x v="2"/>
    <n v="119900000"/>
    <x v="53"/>
    <s v="Humanitarian Response Plan (HRP)"/>
  </r>
  <r>
    <x v="6"/>
    <s v="Kenya Emergency Humanitarian Response Plan"/>
    <x v="28"/>
    <x v="28"/>
    <x v="1"/>
    <n v="532438919"/>
    <x v="52"/>
    <s v="Consolidated Appeal Process (CAP)"/>
  </r>
  <r>
    <x v="6"/>
    <s v="Kenya Emergency Humanitarian Response Plan"/>
    <x v="28"/>
    <x v="28"/>
    <x v="2"/>
    <n v="741818150"/>
    <x v="52"/>
    <s v="Consolidated Appeal Process (CAP)"/>
  </r>
  <r>
    <x v="6"/>
    <s v="Democratic Republic of the Congo"/>
    <x v="11"/>
    <x v="11"/>
    <x v="3"/>
    <n v="727000"/>
    <x v="30"/>
    <s v="Regional Response Plan"/>
  </r>
  <r>
    <x v="6"/>
    <s v="Libya"/>
    <x v="29"/>
    <x v="29"/>
    <x v="1"/>
    <n v="13100000"/>
    <x v="54"/>
    <m/>
  </r>
  <r>
    <x v="6"/>
    <s v="Libya"/>
    <x v="29"/>
    <x v="29"/>
    <x v="2"/>
    <n v="35700000"/>
    <x v="54"/>
    <m/>
  </r>
  <r>
    <x v="6"/>
    <s v="Libya"/>
    <x v="29"/>
    <x v="29"/>
    <x v="3"/>
    <n v="331302"/>
    <x v="54"/>
    <m/>
  </r>
  <r>
    <x v="6"/>
    <s v="Libya"/>
    <x v="29"/>
    <x v="29"/>
    <x v="1"/>
    <n v="48600000"/>
    <x v="54"/>
    <m/>
  </r>
  <r>
    <x v="6"/>
    <s v="Libya"/>
    <x v="29"/>
    <x v="29"/>
    <x v="2"/>
    <n v="172500000"/>
    <x v="54"/>
    <m/>
  </r>
  <r>
    <x v="6"/>
    <s v="Libya"/>
    <x v="29"/>
    <x v="29"/>
    <x v="3"/>
    <n v="2400000"/>
    <x v="54"/>
    <m/>
  </r>
  <r>
    <x v="6"/>
    <s v="Libya"/>
    <x v="29"/>
    <x v="29"/>
    <x v="1"/>
    <n v="85700000"/>
    <x v="54"/>
    <s v="Humanitarian Response Plan (HRP)"/>
  </r>
  <r>
    <x v="6"/>
    <s v="Libya"/>
    <x v="29"/>
    <x v="29"/>
    <x v="2"/>
    <n v="151000000"/>
    <x v="54"/>
    <s v="Humanitarian Response Plan (HRP)"/>
  </r>
  <r>
    <x v="6"/>
    <s v="Libya"/>
    <x v="29"/>
    <x v="29"/>
    <x v="3"/>
    <n v="1300000"/>
    <x v="54"/>
    <s v="Humanitarian Response Plan (HRP)"/>
  </r>
  <r>
    <x v="6"/>
    <s v="Libya"/>
    <x v="29"/>
    <x v="29"/>
    <x v="1"/>
    <n v="77600000"/>
    <x v="54"/>
    <s v="Humanitarian Response Plan (HRP)"/>
  </r>
  <r>
    <x v="6"/>
    <s v="Libya"/>
    <x v="29"/>
    <x v="29"/>
    <x v="2"/>
    <n v="312700000"/>
    <x v="54"/>
    <s v="Humanitarian Response Plan (HRP)"/>
  </r>
  <r>
    <x v="6"/>
    <s v="Libya"/>
    <x v="29"/>
    <x v="29"/>
    <x v="3"/>
    <n v="1100000"/>
    <x v="54"/>
    <s v="Humanitarian Response Plan (HRP)"/>
  </r>
  <r>
    <x v="6"/>
    <s v="Democratic Republic of the Congo"/>
    <x v="11"/>
    <x v="11"/>
    <x v="3"/>
    <n v="25600000"/>
    <x v="23"/>
    <s v="Humanitarian Response Plan (HRP)"/>
  </r>
  <r>
    <x v="6"/>
    <s v="Libya"/>
    <x v="29"/>
    <x v="29"/>
    <x v="2"/>
    <n v="201600000"/>
    <x v="54"/>
    <s v="Humanitarian Response Plan (HRP)"/>
  </r>
  <r>
    <x v="6"/>
    <s v="Central African Republic"/>
    <x v="6"/>
    <x v="6"/>
    <x v="2"/>
    <n v="444760000"/>
    <x v="13"/>
    <s v="Humanitarian response plan"/>
  </r>
  <r>
    <x v="6"/>
    <s v="Libya Flash Appeal"/>
    <x v="29"/>
    <x v="29"/>
    <x v="1"/>
    <n v="499000"/>
    <x v="55"/>
    <m/>
  </r>
  <r>
    <x v="6"/>
    <s v="Libya Flash Appeal"/>
    <x v="29"/>
    <x v="29"/>
    <x v="2"/>
    <n v="10700000"/>
    <x v="55"/>
    <m/>
  </r>
  <r>
    <x v="6"/>
    <s v="Regional Flash Appeal for the Libyan Crisis"/>
    <x v="29"/>
    <x v="29"/>
    <x v="1"/>
    <n v="279208324"/>
    <x v="56"/>
    <s v="Flash appeal"/>
  </r>
  <r>
    <x v="6"/>
    <s v="Regional Flash Appeal for the Libyan Crisis"/>
    <x v="29"/>
    <x v="29"/>
    <x v="2"/>
    <n v="336182831"/>
    <x v="56"/>
    <s v="Flash appeal"/>
  </r>
  <r>
    <x v="6"/>
    <s v="Chad"/>
    <x v="7"/>
    <x v="7"/>
    <x v="2"/>
    <n v="500000000"/>
    <x v="15"/>
    <s v="Humanitarian Response Plan (HRP)"/>
  </r>
  <r>
    <x v="6"/>
    <s v="Mongolia Dzud Appeal"/>
    <x v="30"/>
    <x v="30"/>
    <x v="2"/>
    <n v="18150794"/>
    <x v="57"/>
    <s v="Consolidated Appeal Process (CAP)"/>
  </r>
  <r>
    <x v="6"/>
    <s v="Mongolia Dzud Appeal"/>
    <x v="30"/>
    <x v="30"/>
    <x v="1"/>
    <n v="3379194"/>
    <x v="57"/>
    <s v="Consolidated Appeal Process (CAP)"/>
  </r>
  <r>
    <x v="6"/>
    <s v="Democratic Republic of the Congo RRP"/>
    <x v="11"/>
    <x v="11"/>
    <x v="3"/>
    <n v="741000"/>
    <x v="58"/>
    <s v="Regional Response Plan"/>
  </r>
  <r>
    <x v="6"/>
    <s v="Mozambique"/>
    <x v="31"/>
    <x v="31"/>
    <x v="2"/>
    <n v="620500000"/>
    <x v="59"/>
    <s v="Humanitarian Response Plan (HRP)"/>
  </r>
  <r>
    <x v="6"/>
    <s v="Djibouti (Intersectoral)"/>
    <x v="16"/>
    <x v="16"/>
    <x v="3"/>
    <n v="1150000"/>
    <x v="60"/>
    <s v="COVID-19 (Intersectoral)"/>
  </r>
  <r>
    <x v="6"/>
    <s v="Mozambique Flash Appeal"/>
    <x v="31"/>
    <x v="31"/>
    <x v="1"/>
    <n v="4600000"/>
    <x v="61"/>
    <s v="Humanitarian Response Plan (HRP)"/>
  </r>
  <r>
    <x v="6"/>
    <s v="Mozambique Flash Appeal"/>
    <x v="31"/>
    <x v="31"/>
    <x v="2"/>
    <n v="10200000"/>
    <x v="61"/>
    <s v="Humanitarian Response Plan (HRP)"/>
  </r>
  <r>
    <x v="6"/>
    <s v="Mauritania"/>
    <x v="32"/>
    <x v="32"/>
    <x v="1"/>
    <n v="57341522"/>
    <x v="62"/>
    <s v="Consolidated Appeal Process (CAP)"/>
  </r>
  <r>
    <x v="6"/>
    <s v="Mauritania"/>
    <x v="32"/>
    <x v="32"/>
    <x v="2"/>
    <n v="92362781"/>
    <x v="62"/>
    <s v="Consolidated Appeal Process (CAP)"/>
  </r>
  <r>
    <x v="6"/>
    <s v="Mauritania"/>
    <x v="32"/>
    <x v="32"/>
    <x v="0"/>
    <n v="848472"/>
    <x v="62"/>
    <s v="Consolidated Appeal Process (CAP)"/>
  </r>
  <r>
    <x v="6"/>
    <s v="Mauritania"/>
    <x v="32"/>
    <x v="32"/>
    <x v="1"/>
    <n v="88512172"/>
    <x v="62"/>
    <s v="Consolidated Appeal Process (CAP)"/>
  </r>
  <r>
    <x v="6"/>
    <s v="Mauritania"/>
    <x v="32"/>
    <x v="32"/>
    <x v="2"/>
    <n v="106793308"/>
    <x v="62"/>
    <s v="Consolidated Appeal Process (CAP)"/>
  </r>
  <r>
    <x v="6"/>
    <s v="Mauritania"/>
    <x v="32"/>
    <x v="32"/>
    <x v="0"/>
    <n v="400000"/>
    <x v="62"/>
    <s v="Consolidated Appeal Process (CAP)"/>
  </r>
  <r>
    <x v="6"/>
    <s v="Mauritania"/>
    <x v="32"/>
    <x v="32"/>
    <x v="1"/>
    <n v="37700000"/>
    <x v="62"/>
    <m/>
  </r>
  <r>
    <x v="6"/>
    <s v="Mauritania"/>
    <x v="32"/>
    <x v="32"/>
    <x v="2"/>
    <n v="90900000"/>
    <x v="62"/>
    <m/>
  </r>
  <r>
    <x v="7"/>
    <s v="Mauritania"/>
    <x v="32"/>
    <x v="32"/>
    <x v="3"/>
    <n v="390000"/>
    <x v="62"/>
    <m/>
  </r>
  <r>
    <x v="7"/>
    <s v="Mauritania"/>
    <x v="32"/>
    <x v="32"/>
    <x v="1"/>
    <n v="50800000"/>
    <x v="62"/>
    <m/>
  </r>
  <r>
    <x v="7"/>
    <s v="Mauritania"/>
    <x v="32"/>
    <x v="32"/>
    <x v="2"/>
    <n v="94600000"/>
    <x v="62"/>
    <m/>
  </r>
  <r>
    <x v="7"/>
    <s v="Mauritania"/>
    <x v="32"/>
    <x v="32"/>
    <x v="3"/>
    <n v="465000"/>
    <x v="62"/>
    <m/>
  </r>
  <r>
    <x v="7"/>
    <s v="Mauritania"/>
    <x v="32"/>
    <x v="32"/>
    <x v="1"/>
    <n v="21300000"/>
    <x v="62"/>
    <m/>
  </r>
  <r>
    <x v="7"/>
    <s v="Mauritania"/>
    <x v="32"/>
    <x v="32"/>
    <x v="2"/>
    <n v="89200000"/>
    <x v="62"/>
    <m/>
  </r>
  <r>
    <x v="7"/>
    <s v="Mauritania"/>
    <x v="32"/>
    <x v="32"/>
    <x v="3"/>
    <n v="468000"/>
    <x v="62"/>
    <m/>
  </r>
  <r>
    <x v="7"/>
    <s v="Mauritania"/>
    <x v="32"/>
    <x v="32"/>
    <x v="1"/>
    <n v="25200000"/>
    <x v="62"/>
    <s v="Humanitarian Response Plan (HRP)"/>
  </r>
  <r>
    <x v="7"/>
    <s v="Mauritania"/>
    <x v="32"/>
    <x v="32"/>
    <x v="2"/>
    <n v="74500000"/>
    <x v="62"/>
    <s v="Humanitarian Response Plan (HRP)"/>
  </r>
  <r>
    <x v="7"/>
    <s v="Mauritania"/>
    <x v="32"/>
    <x v="32"/>
    <x v="3"/>
    <n v="539000"/>
    <x v="62"/>
    <s v="Humanitarian Response Plan (HRP)"/>
  </r>
  <r>
    <x v="7"/>
    <s v="Mauritania"/>
    <x v="32"/>
    <x v="32"/>
    <x v="1"/>
    <n v="70600000"/>
    <x v="62"/>
    <s v="Other"/>
  </r>
  <r>
    <x v="7"/>
    <s v="Mauritania"/>
    <x v="32"/>
    <x v="32"/>
    <x v="2"/>
    <n v="116000000"/>
    <x v="62"/>
    <s v="Other"/>
  </r>
  <r>
    <x v="7"/>
    <s v="Mauritania"/>
    <x v="32"/>
    <x v="32"/>
    <x v="3"/>
    <n v="830000"/>
    <x v="62"/>
    <s v="Other"/>
  </r>
  <r>
    <x v="7"/>
    <s v="Mali"/>
    <x v="33"/>
    <x v="33"/>
    <x v="1"/>
    <n v="152898473"/>
    <x v="63"/>
    <s v="Consolidated Appeal Process (CAP)"/>
  </r>
  <r>
    <x v="7"/>
    <s v="Mali"/>
    <x v="33"/>
    <x v="33"/>
    <x v="2"/>
    <n v="214562367"/>
    <x v="63"/>
    <s v="Consolidated Appeal Process (CAP)"/>
  </r>
  <r>
    <x v="7"/>
    <s v="Mali"/>
    <x v="33"/>
    <x v="33"/>
    <x v="0"/>
    <n v="6903226"/>
    <x v="63"/>
    <s v="Consolidated Appeal Process (CAP)"/>
  </r>
  <r>
    <x v="7"/>
    <s v="Mali"/>
    <x v="33"/>
    <x v="33"/>
    <x v="1"/>
    <n v="264726309"/>
    <x v="63"/>
    <s v="Consolidated Appeal Process (CAP)"/>
  </r>
  <r>
    <x v="7"/>
    <s v="Mali"/>
    <x v="33"/>
    <x v="33"/>
    <x v="2"/>
    <n v="476926521"/>
    <x v="63"/>
    <s v="Consolidated Appeal Process (CAP)"/>
  </r>
  <r>
    <x v="7"/>
    <s v="Mali"/>
    <x v="33"/>
    <x v="33"/>
    <x v="0"/>
    <n v="3900000"/>
    <x v="63"/>
    <s v="Consolidated Appeal Process (CAP)"/>
  </r>
  <r>
    <x v="7"/>
    <s v="Mali"/>
    <x v="33"/>
    <x v="33"/>
    <x v="1"/>
    <n v="238700000"/>
    <x v="63"/>
    <m/>
  </r>
  <r>
    <x v="7"/>
    <s v="Mali"/>
    <x v="33"/>
    <x v="33"/>
    <x v="2"/>
    <n v="481000000"/>
    <x v="63"/>
    <m/>
  </r>
  <r>
    <x v="7"/>
    <s v="Mali"/>
    <x v="33"/>
    <x v="33"/>
    <x v="3"/>
    <n v="1600000"/>
    <x v="63"/>
    <m/>
  </r>
  <r>
    <x v="7"/>
    <s v="Mali"/>
    <x v="33"/>
    <x v="33"/>
    <x v="1"/>
    <n v="128900000"/>
    <x v="63"/>
    <m/>
  </r>
  <r>
    <x v="7"/>
    <s v="Mali"/>
    <x v="33"/>
    <x v="33"/>
    <x v="2"/>
    <n v="377400000"/>
    <x v="63"/>
    <m/>
  </r>
  <r>
    <x v="7"/>
    <s v="Mali"/>
    <x v="33"/>
    <x v="33"/>
    <x v="3"/>
    <n v="1600000"/>
    <x v="63"/>
    <m/>
  </r>
  <r>
    <x v="7"/>
    <s v="Mali"/>
    <x v="33"/>
    <x v="33"/>
    <x v="1"/>
    <n v="130800000.00000001"/>
    <x v="63"/>
    <m/>
  </r>
  <r>
    <x v="7"/>
    <s v="Mali"/>
    <x v="33"/>
    <x v="33"/>
    <x v="2"/>
    <n v="354100000"/>
    <x v="63"/>
    <m/>
  </r>
  <r>
    <x v="7"/>
    <s v="Mali"/>
    <x v="33"/>
    <x v="33"/>
    <x v="3"/>
    <n v="2300000"/>
    <x v="63"/>
    <m/>
  </r>
  <r>
    <x v="7"/>
    <s v="Mali"/>
    <x v="33"/>
    <x v="33"/>
    <x v="1"/>
    <n v="129300000.00000001"/>
    <x v="63"/>
    <s v="Humanitarian Response Plan (HRP)"/>
  </r>
  <r>
    <x v="7"/>
    <s v="Mali"/>
    <x v="33"/>
    <x v="33"/>
    <x v="2"/>
    <n v="304700000"/>
    <x v="63"/>
    <s v="Humanitarian Response Plan (HRP)"/>
  </r>
  <r>
    <x v="7"/>
    <s v="Mali"/>
    <x v="33"/>
    <x v="33"/>
    <x v="3"/>
    <n v="3700000"/>
    <x v="63"/>
    <s v="Humanitarian Response Plan (HRP)"/>
  </r>
  <r>
    <x v="7"/>
    <s v="Mali"/>
    <x v="33"/>
    <x v="33"/>
    <x v="1"/>
    <n v="172500000"/>
    <x v="63"/>
    <s v="Humanitarian Response Plan (HRP)"/>
  </r>
  <r>
    <x v="7"/>
    <s v="Mali"/>
    <x v="33"/>
    <x v="33"/>
    <x v="2"/>
    <n v="329600000"/>
    <x v="63"/>
    <s v="Humanitarian Response Plan (HRP)"/>
  </r>
  <r>
    <x v="7"/>
    <s v="Mali"/>
    <x v="33"/>
    <x v="33"/>
    <x v="3"/>
    <n v="5200000"/>
    <x v="63"/>
    <s v="Humanitarian Response Plan (HRP)"/>
  </r>
  <r>
    <x v="7"/>
    <s v="Djibouti Flash Appeal"/>
    <x v="16"/>
    <x v="16"/>
    <x v="3"/>
    <n v="150000"/>
    <x v="64"/>
    <s v="Humanitarian Flash Appeal"/>
  </r>
  <r>
    <x v="7"/>
    <s v="Mali"/>
    <x v="33"/>
    <x v="33"/>
    <x v="2"/>
    <n v="324000000"/>
    <x v="63"/>
    <s v="Humanitarian Response Plan (HRP)"/>
  </r>
  <r>
    <x v="7"/>
    <s v="Ecuador (Intersectoral)"/>
    <x v="34"/>
    <x v="34"/>
    <x v="3"/>
    <n v="9000000"/>
    <x v="65"/>
    <s v="COVID-19 (Intersectoral)"/>
  </r>
  <r>
    <x v="7"/>
    <s v="Ethiopia"/>
    <x v="17"/>
    <x v="17"/>
    <x v="1"/>
    <n v="646600000"/>
    <x v="34"/>
    <s v="Humanitarian Response Plan (HRP)"/>
  </r>
  <r>
    <x v="7"/>
    <s v="Ethiopia"/>
    <x v="17"/>
    <x v="17"/>
    <x v="3"/>
    <n v="8900000"/>
    <x v="34"/>
    <s v="Humanitarian Response Plan (HRP)"/>
  </r>
  <r>
    <x v="7"/>
    <s v="Myanmar"/>
    <x v="35"/>
    <x v="35"/>
    <x v="1"/>
    <n v="129000000"/>
    <x v="66"/>
    <m/>
  </r>
  <r>
    <x v="7"/>
    <s v="Myanmar"/>
    <x v="35"/>
    <x v="35"/>
    <x v="2"/>
    <n v="192000000"/>
    <x v="66"/>
    <m/>
  </r>
  <r>
    <x v="7"/>
    <s v="Myanmar"/>
    <x v="35"/>
    <x v="35"/>
    <x v="3"/>
    <n v="909000"/>
    <x v="66"/>
    <m/>
  </r>
  <r>
    <x v="7"/>
    <s v="Myanmar"/>
    <x v="35"/>
    <x v="35"/>
    <x v="1"/>
    <n v="124800000"/>
    <x v="66"/>
    <m/>
  </r>
  <r>
    <x v="7"/>
    <s v="Myanmar"/>
    <x v="35"/>
    <x v="35"/>
    <x v="2"/>
    <n v="265000000"/>
    <x v="66"/>
    <m/>
  </r>
  <r>
    <x v="7"/>
    <s v="Myanmar"/>
    <x v="35"/>
    <x v="35"/>
    <x v="3"/>
    <n v="540700"/>
    <x v="66"/>
    <m/>
  </r>
  <r>
    <x v="7"/>
    <s v="Myanmar"/>
    <x v="35"/>
    <x v="35"/>
    <x v="1"/>
    <n v="98200000"/>
    <x v="66"/>
    <m/>
  </r>
  <r>
    <x v="7"/>
    <s v="Myanmar"/>
    <x v="35"/>
    <x v="35"/>
    <x v="2"/>
    <n v="189500000"/>
    <x v="66"/>
    <m/>
  </r>
  <r>
    <x v="7"/>
    <s v="Myanmar"/>
    <x v="35"/>
    <x v="35"/>
    <x v="3"/>
    <n v="563000"/>
    <x v="66"/>
    <m/>
  </r>
  <r>
    <x v="7"/>
    <s v="Myanmar"/>
    <x v="35"/>
    <x v="35"/>
    <x v="1"/>
    <n v="97700000"/>
    <x v="66"/>
    <s v="Humanitarian Response Plan (HRP)"/>
  </r>
  <r>
    <x v="7"/>
    <s v="Myanmar"/>
    <x v="35"/>
    <x v="35"/>
    <x v="2"/>
    <n v="150300000"/>
    <x v="66"/>
    <s v="Humanitarian Response Plan (HRP)"/>
  </r>
  <r>
    <x v="7"/>
    <s v="Myanmar"/>
    <x v="35"/>
    <x v="35"/>
    <x v="3"/>
    <n v="525000"/>
    <x v="66"/>
    <s v="Humanitarian Response Plan (HRP)"/>
  </r>
  <r>
    <x v="7"/>
    <s v="Myanmar"/>
    <x v="35"/>
    <x v="35"/>
    <x v="1"/>
    <n v="124900000"/>
    <x v="66"/>
    <s v="Humanitarian Response Plan (HRP)"/>
  </r>
  <r>
    <x v="7"/>
    <s v="Myanmar"/>
    <x v="35"/>
    <x v="35"/>
    <x v="2"/>
    <n v="183400000"/>
    <x v="66"/>
    <s v="Humanitarian Response Plan (HRP)"/>
  </r>
  <r>
    <x v="7"/>
    <s v="Myanmar"/>
    <x v="35"/>
    <x v="35"/>
    <x v="3"/>
    <n v="863000"/>
    <x v="66"/>
    <s v="Humanitarian Response Plan (HRP)"/>
  </r>
  <r>
    <x v="7"/>
    <s v="Ethiopia"/>
    <x v="17"/>
    <x v="17"/>
    <x v="3"/>
    <n v="19200000"/>
    <x v="34"/>
    <s v="Humanitarian Response Plan (HRP)"/>
  </r>
  <r>
    <x v="7"/>
    <s v="Myanmar"/>
    <x v="35"/>
    <x v="35"/>
    <x v="2"/>
    <n v="214400000"/>
    <x v="66"/>
    <s v="Humanitarian Response Plan (HRP)"/>
  </r>
  <r>
    <x v="7"/>
    <s v="Afghanistan"/>
    <x v="0"/>
    <x v="0"/>
    <x v="3"/>
    <n v="18400000"/>
    <x v="0"/>
    <s v="Humanitarian Response Plan (HRP)"/>
  </r>
  <r>
    <x v="7"/>
    <s v="Myanmar"/>
    <x v="35"/>
    <x v="35"/>
    <x v="1"/>
    <n v="26977971"/>
    <x v="67"/>
    <s v="Other"/>
  </r>
  <r>
    <x v="7"/>
    <s v="Myanmar"/>
    <x v="35"/>
    <x v="35"/>
    <x v="2"/>
    <n v="51297000"/>
    <x v="67"/>
    <s v="Other"/>
  </r>
  <r>
    <x v="7"/>
    <s v="Myanmar"/>
    <x v="35"/>
    <x v="35"/>
    <x v="1"/>
    <n v="89055457"/>
    <x v="68"/>
    <s v="Other"/>
  </r>
  <r>
    <x v="7"/>
    <s v="Myanmar"/>
    <x v="35"/>
    <x v="35"/>
    <x v="2"/>
    <n v="109309173"/>
    <x v="68"/>
    <s v="Other"/>
  </r>
  <r>
    <x v="7"/>
    <s v="Namibia Flash Appeal"/>
    <x v="36"/>
    <x v="36"/>
    <x v="1"/>
    <n v="1682185"/>
    <x v="69"/>
    <s v="Flash appeal"/>
  </r>
  <r>
    <x v="7"/>
    <s v="Namibia Flash Appeal"/>
    <x v="36"/>
    <x v="36"/>
    <x v="2"/>
    <n v="3798201"/>
    <x v="69"/>
    <s v="Flash appeal"/>
  </r>
  <r>
    <x v="7"/>
    <s v="Colombia"/>
    <x v="18"/>
    <x v="18"/>
    <x v="2"/>
    <n v="300000000"/>
    <x v="35"/>
    <s v="Humanitarian response plan"/>
  </r>
  <r>
    <x v="7"/>
    <s v="Niger"/>
    <x v="37"/>
    <x v="37"/>
    <x v="0"/>
    <n v="1627000"/>
    <x v="70"/>
    <s v="Consolidated Appeal Process (CAP)"/>
  </r>
  <r>
    <x v="7"/>
    <s v="Niger"/>
    <x v="37"/>
    <x v="37"/>
    <x v="1"/>
    <n v="312729054"/>
    <x v="70"/>
    <s v="Consolidated Appeal Process (CAP)"/>
  </r>
  <r>
    <x v="7"/>
    <s v="Niger"/>
    <x v="37"/>
    <x v="37"/>
    <x v="2"/>
    <n v="489640803"/>
    <x v="70"/>
    <s v="Consolidated Appeal Process (CAP)"/>
  </r>
  <r>
    <x v="7"/>
    <s v="Niger"/>
    <x v="37"/>
    <x v="37"/>
    <x v="0"/>
    <n v="6400000"/>
    <x v="70"/>
    <s v="Consolidated Appeal Process (CAP)"/>
  </r>
  <r>
    <x v="7"/>
    <s v="Niger"/>
    <x v="37"/>
    <x v="37"/>
    <x v="1"/>
    <n v="288128878"/>
    <x v="70"/>
    <s v="Consolidated Appeal Process (CAP)"/>
  </r>
  <r>
    <x v="7"/>
    <s v="Nepal"/>
    <x v="38"/>
    <x v="38"/>
    <x v="3"/>
    <n v="2800000"/>
    <x v="71"/>
    <m/>
  </r>
  <r>
    <x v="7"/>
    <s v="Nepal Earthquake Flash Appeal"/>
    <x v="38"/>
    <x v="38"/>
    <x v="1"/>
    <n v="272400000"/>
    <x v="71"/>
    <m/>
  </r>
  <r>
    <x v="7"/>
    <s v="Nepal Earthquake Flash Appeal"/>
    <x v="38"/>
    <x v="38"/>
    <x v="2"/>
    <n v="421900000"/>
    <x v="71"/>
    <m/>
  </r>
  <r>
    <x v="7"/>
    <s v="Nepal Humanitarian Transition Appeal"/>
    <x v="38"/>
    <x v="38"/>
    <x v="1"/>
    <n v="70319785"/>
    <x v="72"/>
    <s v="Other"/>
  </r>
  <r>
    <x v="7"/>
    <s v="Nepal Humanitarian Transition Appeal"/>
    <x v="38"/>
    <x v="38"/>
    <x v="2"/>
    <n v="125049126"/>
    <x v="72"/>
    <s v="Other"/>
  </r>
  <r>
    <x v="7"/>
    <s v="Niger"/>
    <x v="37"/>
    <x v="37"/>
    <x v="2"/>
    <n v="355277959"/>
    <x v="70"/>
    <s v="Consolidated Appeal Process (CAP)"/>
  </r>
  <r>
    <x v="7"/>
    <s v="Niger"/>
    <x v="37"/>
    <x v="37"/>
    <x v="0"/>
    <n v="1800000"/>
    <x v="70"/>
    <s v="Consolidated Appeal Process (CAP)"/>
  </r>
  <r>
    <x v="7"/>
    <s v="Niger"/>
    <x v="37"/>
    <x v="37"/>
    <x v="1"/>
    <n v="173000000"/>
    <x v="70"/>
    <m/>
  </r>
  <r>
    <x v="7"/>
    <s v="Niger"/>
    <x v="37"/>
    <x v="37"/>
    <x v="2"/>
    <n v="305200000"/>
    <x v="70"/>
    <m/>
  </r>
  <r>
    <x v="7"/>
    <s v="Niger"/>
    <x v="37"/>
    <x v="37"/>
    <x v="3"/>
    <n v="5300000"/>
    <x v="70"/>
    <m/>
  </r>
  <r>
    <x v="7"/>
    <s v="Niger"/>
    <x v="37"/>
    <x v="37"/>
    <x v="1"/>
    <n v="166000000"/>
    <x v="70"/>
    <m/>
  </r>
  <r>
    <x v="7"/>
    <s v="Niger"/>
    <x v="37"/>
    <x v="37"/>
    <x v="2"/>
    <n v="375700000"/>
    <x v="70"/>
    <m/>
  </r>
  <r>
    <x v="7"/>
    <s v="Niger"/>
    <x v="37"/>
    <x v="37"/>
    <x v="3"/>
    <n v="3400000"/>
    <x v="70"/>
    <m/>
  </r>
  <r>
    <x v="7"/>
    <s v="Niger"/>
    <x v="37"/>
    <x v="37"/>
    <x v="1"/>
    <n v="127300000"/>
    <x v="70"/>
    <m/>
  </r>
  <r>
    <x v="7"/>
    <s v="Niger"/>
    <x v="37"/>
    <x v="37"/>
    <x v="2"/>
    <n v="260500000"/>
    <x v="70"/>
    <m/>
  </r>
  <r>
    <x v="7"/>
    <s v="Niger"/>
    <x v="37"/>
    <x v="37"/>
    <x v="3"/>
    <n v="2000000"/>
    <x v="70"/>
    <m/>
  </r>
  <r>
    <x v="7"/>
    <s v="Niger"/>
    <x v="37"/>
    <x v="37"/>
    <x v="1"/>
    <n v="213000000"/>
    <x v="70"/>
    <s v="Humanitarian Response Plan (HRP)"/>
  </r>
  <r>
    <x v="7"/>
    <s v="Niger"/>
    <x v="37"/>
    <x v="37"/>
    <x v="2"/>
    <n v="287300000"/>
    <x v="70"/>
    <s v="Humanitarian Response Plan (HRP)"/>
  </r>
  <r>
    <x v="7"/>
    <s v="Peru Flash Appeal"/>
    <x v="39"/>
    <x v="39"/>
    <x v="1"/>
    <n v="11100000"/>
    <x v="73"/>
    <s v="Humanitarian Response Plan (HRP)"/>
  </r>
  <r>
    <x v="7"/>
    <s v="Peru Flash Appeal"/>
    <x v="39"/>
    <x v="39"/>
    <x v="2"/>
    <n v="39500000"/>
    <x v="73"/>
    <s v="Humanitarian Response Plan (HRP)"/>
  </r>
  <r>
    <x v="7"/>
    <s v="Niger"/>
    <x v="37"/>
    <x v="37"/>
    <x v="3"/>
    <n v="1900000"/>
    <x v="70"/>
    <s v="Humanitarian Response Plan (HRP)"/>
  </r>
  <r>
    <x v="7"/>
    <s v="El Salvador Flash Appeal"/>
    <x v="40"/>
    <x v="40"/>
    <x v="1"/>
    <n v="5981608"/>
    <x v="74"/>
    <s v="Flash appeal"/>
  </r>
  <r>
    <x v="7"/>
    <s v="Niger"/>
    <x v="37"/>
    <x v="37"/>
    <x v="1"/>
    <n v="159400000"/>
    <x v="70"/>
    <s v="Humanitarian Response Plan (HRP)"/>
  </r>
  <r>
    <x v="7"/>
    <s v="Niger"/>
    <x v="37"/>
    <x v="37"/>
    <x v="2"/>
    <n v="338300000"/>
    <x v="70"/>
    <s v="Humanitarian Response Plan (HRP)"/>
  </r>
  <r>
    <x v="7"/>
    <s v="Niger"/>
    <x v="37"/>
    <x v="37"/>
    <x v="3"/>
    <n v="2300000"/>
    <x v="70"/>
    <s v="Humanitarian Response Plan (HRP)"/>
  </r>
  <r>
    <x v="7"/>
    <s v="Haiti"/>
    <x v="19"/>
    <x v="19"/>
    <x v="1"/>
    <n v="36100000"/>
    <x v="36"/>
    <s v="Humanitarian Response Plan (HRP)"/>
  </r>
  <r>
    <x v="7"/>
    <s v="Niger"/>
    <x v="37"/>
    <x v="37"/>
    <x v="2"/>
    <n v="383100000"/>
    <x v="70"/>
    <s v="Humanitarian Response Plan (HRP)"/>
  </r>
  <r>
    <x v="7"/>
    <s v="Haiti"/>
    <x v="19"/>
    <x v="19"/>
    <x v="3"/>
    <n v="2600000"/>
    <x v="36"/>
    <s v="Humanitarian Response Plan (HRP)"/>
  </r>
  <r>
    <x v="7"/>
    <s v="Democratic People's Republic of Korea"/>
    <x v="10"/>
    <x v="10"/>
    <x v="2"/>
    <n v="107000000"/>
    <x v="20"/>
    <s v="Other"/>
  </r>
  <r>
    <x v="7"/>
    <s v="Niger"/>
    <x v="37"/>
    <x v="37"/>
    <x v="1"/>
    <n v="116113607"/>
    <x v="70"/>
    <s v="Consolidated Appeal Process (CAP)"/>
  </r>
  <r>
    <x v="7"/>
    <s v="Niger"/>
    <x v="37"/>
    <x v="37"/>
    <x v="2"/>
    <n v="215926795"/>
    <x v="70"/>
    <s v="Consolidated Appeal Process (CAP)"/>
  </r>
  <r>
    <x v="7"/>
    <s v="Haiti"/>
    <x v="19"/>
    <x v="19"/>
    <x v="3"/>
    <n v="10900000"/>
    <x v="36"/>
    <s v="Humanitarian Response Plan (HRP)"/>
  </r>
  <r>
    <x v="7"/>
    <s v="Nigeria"/>
    <x v="41"/>
    <x v="41"/>
    <x v="1"/>
    <n v="17800000"/>
    <x v="75"/>
    <m/>
  </r>
  <r>
    <x v="7"/>
    <s v="Nigeria"/>
    <x v="41"/>
    <x v="41"/>
    <x v="2"/>
    <n v="93400000"/>
    <x v="75"/>
    <m/>
  </r>
  <r>
    <x v="7"/>
    <s v="Nigeria"/>
    <x v="41"/>
    <x v="41"/>
    <x v="3"/>
    <n v="9500000"/>
    <x v="75"/>
    <m/>
  </r>
  <r>
    <x v="7"/>
    <s v="Nigeria"/>
    <x v="41"/>
    <x v="41"/>
    <x v="1"/>
    <n v="53700000"/>
    <x v="75"/>
    <m/>
  </r>
  <r>
    <x v="7"/>
    <s v="Nigeria"/>
    <x v="41"/>
    <x v="41"/>
    <x v="2"/>
    <n v="100300000"/>
    <x v="75"/>
    <m/>
  </r>
  <r>
    <x v="7"/>
    <s v="Nigeria"/>
    <x v="41"/>
    <x v="41"/>
    <x v="3"/>
    <n v="4600000"/>
    <x v="75"/>
    <m/>
  </r>
  <r>
    <x v="7"/>
    <s v="Nigeria"/>
    <x v="41"/>
    <x v="41"/>
    <x v="1"/>
    <n v="200200000"/>
    <x v="75"/>
    <m/>
  </r>
  <r>
    <x v="7"/>
    <s v="Nigeria"/>
    <x v="41"/>
    <x v="41"/>
    <x v="2"/>
    <n v="484200000"/>
    <x v="75"/>
    <m/>
  </r>
  <r>
    <x v="7"/>
    <s v="Nigeria"/>
    <x v="41"/>
    <x v="41"/>
    <x v="3"/>
    <n v="7000000"/>
    <x v="75"/>
    <m/>
  </r>
  <r>
    <x v="7"/>
    <s v="Nigeria"/>
    <x v="41"/>
    <x v="41"/>
    <x v="1"/>
    <n v="731000000"/>
    <x v="75"/>
    <s v="Humanitarian Response Plan (HRP)"/>
  </r>
  <r>
    <x v="7"/>
    <s v="Nigeria"/>
    <x v="41"/>
    <x v="41"/>
    <x v="2"/>
    <n v="1050000000"/>
    <x v="75"/>
    <s v="Humanitarian Response Plan (HRP)"/>
  </r>
  <r>
    <x v="7"/>
    <s v="Nigeria"/>
    <x v="41"/>
    <x v="41"/>
    <x v="3"/>
    <n v="14000000"/>
    <x v="75"/>
    <s v="Humanitarian Response Plan (HRP)"/>
  </r>
  <r>
    <x v="8"/>
    <s v="Nigeria"/>
    <x v="41"/>
    <x v="41"/>
    <x v="1"/>
    <n v="677900000"/>
    <x v="75"/>
    <s v="Humanitarian Response Plan (HRP)"/>
  </r>
  <r>
    <x v="8"/>
    <s v="Nigeria"/>
    <x v="41"/>
    <x v="41"/>
    <x v="2"/>
    <n v="1050000000"/>
    <x v="75"/>
    <s v="Humanitarian Response Plan (HRP)"/>
  </r>
  <r>
    <x v="8"/>
    <s v="Nigeria"/>
    <x v="41"/>
    <x v="41"/>
    <x v="3"/>
    <n v="7700000"/>
    <x v="75"/>
    <s v="Humanitarian Response Plan (HRP)"/>
  </r>
  <r>
    <x v="8"/>
    <s v="Nigeria"/>
    <x v="41"/>
    <x v="41"/>
    <x v="2"/>
    <n v="847700000"/>
    <x v="75"/>
    <s v="Humanitarian Response Plan (HRP)"/>
  </r>
  <r>
    <x v="8"/>
    <s v="Democratic Republic of Congo"/>
    <x v="42"/>
    <x v="11"/>
    <x v="2"/>
    <n v="0"/>
    <x v="76"/>
    <s v="Humanitarian response plan"/>
  </r>
  <r>
    <x v="8"/>
    <s v="Iran"/>
    <x v="23"/>
    <x v="23"/>
    <x v="1"/>
    <n v="9600000"/>
    <x v="43"/>
    <s v="Other"/>
  </r>
  <r>
    <x v="8"/>
    <s v="Democratic Republic of Congo (RRP)"/>
    <x v="42"/>
    <x v="11"/>
    <x v="2"/>
    <n v="544601391"/>
    <x v="76"/>
    <s v="Regional Response Plan"/>
  </r>
  <r>
    <x v="8"/>
    <s v="Nigeria Regional Refugee Response Plan"/>
    <x v="41"/>
    <x v="41"/>
    <x v="1"/>
    <n v="65300000"/>
    <x v="77"/>
    <m/>
  </r>
  <r>
    <x v="8"/>
    <s v="Nigeria Regional Refugee Response Plan"/>
    <x v="41"/>
    <x v="41"/>
    <x v="2"/>
    <n v="198800000"/>
    <x v="77"/>
    <m/>
  </r>
  <r>
    <x v="8"/>
    <s v="Nigeria Regional Refugee Response Plan"/>
    <x v="41"/>
    <x v="41"/>
    <x v="3"/>
    <n v="850473"/>
    <x v="77"/>
    <m/>
  </r>
  <r>
    <x v="8"/>
    <s v="Nigeria Regional Refugee Response Plan"/>
    <x v="41"/>
    <x v="41"/>
    <x v="1"/>
    <n v="65200000"/>
    <x v="77"/>
    <s v="Refugee Response Plan"/>
  </r>
  <r>
    <x v="8"/>
    <s v="Nigeria Regional Refugee Response Plan"/>
    <x v="41"/>
    <x v="41"/>
    <x v="2"/>
    <n v="156600000"/>
    <x v="77"/>
    <s v="Refugee Response Plan"/>
  </r>
  <r>
    <x v="8"/>
    <s v="Nigeria Regional Refugee Response Plan"/>
    <x v="41"/>
    <x v="41"/>
    <x v="3"/>
    <n v="443000"/>
    <x v="77"/>
    <s v="Refugee Response Plan"/>
  </r>
  <r>
    <x v="8"/>
    <s v="Nigeria Refugee Response Plan"/>
    <x v="41"/>
    <x v="41"/>
    <x v="1"/>
    <n v="81300000"/>
    <x v="78"/>
    <m/>
  </r>
  <r>
    <x v="8"/>
    <s v="Nigeria Refugee Response Plan"/>
    <x v="41"/>
    <x v="41"/>
    <x v="2"/>
    <n v="174400000"/>
    <x v="78"/>
    <m/>
  </r>
  <r>
    <x v="8"/>
    <s v="Nigeria Refugee Response Plan"/>
    <x v="41"/>
    <x v="41"/>
    <x v="1"/>
    <n v="130400000"/>
    <x v="79"/>
    <s v="Refugee Response Plan"/>
  </r>
  <r>
    <x v="8"/>
    <s v="Nigeria Refugee Response Plan"/>
    <x v="41"/>
    <x v="41"/>
    <x v="2"/>
    <n v="241200000"/>
    <x v="79"/>
    <s v="Refugee Response Plan"/>
  </r>
  <r>
    <x v="8"/>
    <s v="occupied Palestinian territory"/>
    <x v="43"/>
    <x v="42"/>
    <x v="2"/>
    <n v="603408539"/>
    <x v="80"/>
    <s v="Consolidated Appeal Process (CAP)"/>
  </r>
  <r>
    <x v="8"/>
    <s v="occupied Palestinian territory"/>
    <x v="43"/>
    <x v="42"/>
    <x v="1"/>
    <n v="329737701"/>
    <x v="80"/>
    <s v="Consolidated Appeal Process (CAP)"/>
  </r>
  <r>
    <x v="8"/>
    <s v="occupied Palestinian territory"/>
    <x v="43"/>
    <x v="42"/>
    <x v="0"/>
    <n v="2514398"/>
    <x v="80"/>
    <s v="Consolidated Appeal Process (CAP)"/>
  </r>
  <r>
    <x v="8"/>
    <s v="occupied Palestinian territory"/>
    <x v="43"/>
    <x v="42"/>
    <x v="1"/>
    <n v="311466307"/>
    <x v="80"/>
    <s v="Consolidated Appeal Process (CAP)"/>
  </r>
  <r>
    <x v="8"/>
    <s v="occupied Palestinian territory"/>
    <x v="43"/>
    <x v="42"/>
    <x v="2"/>
    <n v="419907202"/>
    <x v="80"/>
    <s v="Consolidated Appeal Process (CAP)"/>
  </r>
  <r>
    <x v="8"/>
    <s v="occupied Palestinian territory"/>
    <x v="43"/>
    <x v="42"/>
    <x v="0"/>
    <n v="1800000"/>
    <x v="80"/>
    <s v="Consolidated Appeal Process (CAP)"/>
  </r>
  <r>
    <x v="8"/>
    <s v="occupied Palestinian territory"/>
    <x v="43"/>
    <x v="42"/>
    <x v="1"/>
    <n v="270048717"/>
    <x v="80"/>
    <s v="Consolidated Appeal Process (CAP)"/>
  </r>
  <r>
    <x v="8"/>
    <s v="occupied Palestinian territory"/>
    <x v="43"/>
    <x v="42"/>
    <x v="2"/>
    <n v="400839740"/>
    <x v="80"/>
    <s v="Consolidated Appeal Process (CAP)"/>
  </r>
  <r>
    <x v="8"/>
    <s v="occupied Palestinian territory"/>
    <x v="43"/>
    <x v="42"/>
    <x v="0"/>
    <n v="1800000"/>
    <x v="80"/>
    <s v="Consolidated Appeal Process (CAP)"/>
  </r>
  <r>
    <x v="8"/>
    <s v="occupied Palestinian territory"/>
    <x v="43"/>
    <x v="42"/>
    <x v="1"/>
    <n v="501800000"/>
    <x v="80"/>
    <m/>
  </r>
  <r>
    <x v="8"/>
    <s v="occupied Palestinian territory"/>
    <x v="43"/>
    <x v="42"/>
    <x v="2"/>
    <n v="931100000"/>
    <x v="80"/>
    <m/>
  </r>
  <r>
    <x v="8"/>
    <s v="occupied Palestinian territory"/>
    <x v="43"/>
    <x v="42"/>
    <x v="3"/>
    <n v="1900000"/>
    <x v="80"/>
    <m/>
  </r>
  <r>
    <x v="8"/>
    <s v="occupied Palestinian territory"/>
    <x v="43"/>
    <x v="42"/>
    <x v="1"/>
    <n v="344100000"/>
    <x v="80"/>
    <m/>
  </r>
  <r>
    <x v="8"/>
    <s v="occupied Palestinian territory"/>
    <x v="43"/>
    <x v="42"/>
    <x v="2"/>
    <n v="706100000"/>
    <x v="80"/>
    <m/>
  </r>
  <r>
    <x v="8"/>
    <s v="occupied Palestinian territory"/>
    <x v="43"/>
    <x v="42"/>
    <x v="3"/>
    <n v="1900000"/>
    <x v="80"/>
    <m/>
  </r>
  <r>
    <x v="8"/>
    <s v="occupied Palestinian territory"/>
    <x v="43"/>
    <x v="42"/>
    <x v="1"/>
    <n v="263000000"/>
    <x v="80"/>
    <m/>
  </r>
  <r>
    <x v="8"/>
    <s v="occupied Palestinian territory"/>
    <x v="43"/>
    <x v="42"/>
    <x v="2"/>
    <n v="570700000"/>
    <x v="80"/>
    <m/>
  </r>
  <r>
    <x v="8"/>
    <s v="occupied Palestinian territory"/>
    <x v="43"/>
    <x v="42"/>
    <x v="3"/>
    <n v="2300000"/>
    <x v="80"/>
    <m/>
  </r>
  <r>
    <x v="8"/>
    <s v="occupied Palestinian territory"/>
    <x v="43"/>
    <x v="42"/>
    <x v="1"/>
    <n v="266200000"/>
    <x v="80"/>
    <s v="Humanitarian Response Plan (HRP)"/>
  </r>
  <r>
    <x v="8"/>
    <s v="occupied Palestinian territory"/>
    <x v="43"/>
    <x v="42"/>
    <x v="2"/>
    <n v="551900000"/>
    <x v="80"/>
    <s v="Humanitarian Response Plan (HRP)"/>
  </r>
  <r>
    <x v="8"/>
    <s v="occupied Palestinian territory"/>
    <x v="43"/>
    <x v="42"/>
    <x v="3"/>
    <n v="2000000"/>
    <x v="80"/>
    <s v="Humanitarian Response Plan (HRP)"/>
  </r>
  <r>
    <x v="8"/>
    <s v="Nicaragua Flash Appeal"/>
    <x v="44"/>
    <x v="43"/>
    <x v="1"/>
    <n v="5357651"/>
    <x v="81"/>
    <s v="Flash appeal"/>
  </r>
  <r>
    <x v="8"/>
    <s v="occupied Palestinian territory"/>
    <x v="43"/>
    <x v="42"/>
    <x v="1"/>
    <n v="223800000"/>
    <x v="80"/>
    <s v="Humanitarian Response Plan (HRP)"/>
  </r>
  <r>
    <x v="8"/>
    <s v="occupied Palestinian territory"/>
    <x v="43"/>
    <x v="42"/>
    <x v="2"/>
    <n v="539700000"/>
    <x v="80"/>
    <s v="Humanitarian Response Plan (HRP)"/>
  </r>
  <r>
    <x v="8"/>
    <s v="occupied Palestinian territory"/>
    <x v="43"/>
    <x v="42"/>
    <x v="3"/>
    <n v="2500000"/>
    <x v="80"/>
    <s v="Humanitarian Response Plan (HRP)"/>
  </r>
  <r>
    <x v="8"/>
    <s v="Iran"/>
    <x v="23"/>
    <x v="23"/>
    <x v="3"/>
    <n v="2000000"/>
    <x v="43"/>
    <s v="Other"/>
  </r>
  <r>
    <x v="8"/>
    <s v="occupied Palestinian territory"/>
    <x v="43"/>
    <x v="42"/>
    <x v="2"/>
    <n v="350600000"/>
    <x v="80"/>
    <s v="Humanitarian Response Plan (HRP)"/>
  </r>
  <r>
    <x v="8"/>
    <s v="Democratic Republic of the Congo"/>
    <x v="11"/>
    <x v="11"/>
    <x v="2"/>
    <n v="1820000000"/>
    <x v="23"/>
    <s v="Humanitarian Response Plan (HRP)"/>
  </r>
  <r>
    <x v="8"/>
    <s v="Democratic Republic of the Congo"/>
    <x v="11"/>
    <x v="11"/>
    <x v="2"/>
    <n v="604600000"/>
    <x v="30"/>
    <s v="Refugee Response Plan"/>
  </r>
  <r>
    <x v="8"/>
    <s v="occupied Palestinian territory"/>
    <x v="43"/>
    <x v="42"/>
    <x v="1"/>
    <n v="306522537"/>
    <x v="80"/>
    <s v="Consolidated Appeal Process (CAP)"/>
  </r>
  <r>
    <x v="8"/>
    <s v="occupied Palestinian territory"/>
    <x v="43"/>
    <x v="42"/>
    <x v="2"/>
    <n v="536927963"/>
    <x v="80"/>
    <s v="Consolidated Appeal Process (CAP)"/>
  </r>
  <r>
    <x v="8"/>
    <s v="Pakistan"/>
    <x v="45"/>
    <x v="44"/>
    <x v="1"/>
    <n v="115400000"/>
    <x v="82"/>
    <s v="Other"/>
  </r>
  <r>
    <x v="8"/>
    <s v="Pakistan"/>
    <x v="45"/>
    <x v="44"/>
    <x v="2"/>
    <n v="339400000"/>
    <x v="82"/>
    <s v="Other"/>
  </r>
  <r>
    <x v="8"/>
    <s v="Pakistan"/>
    <x v="45"/>
    <x v="44"/>
    <x v="3"/>
    <n v="3200000"/>
    <x v="82"/>
    <s v="Other"/>
  </r>
  <r>
    <x v="8"/>
    <s v="Pakistan"/>
    <x v="45"/>
    <x v="44"/>
    <x v="1"/>
    <n v="76500000"/>
    <x v="82"/>
    <s v="Other"/>
  </r>
  <r>
    <x v="8"/>
    <s v="Pakistan"/>
    <x v="45"/>
    <x v="44"/>
    <x v="2"/>
    <n v="123000000"/>
    <x v="82"/>
    <s v="Other"/>
  </r>
  <r>
    <x v="8"/>
    <s v="Pakistan"/>
    <x v="45"/>
    <x v="44"/>
    <x v="3"/>
    <n v="2900000"/>
    <x v="82"/>
    <s v="Other"/>
  </r>
  <r>
    <x v="8"/>
    <s v="Pakistan Early Recovery Framework"/>
    <x v="45"/>
    <x v="44"/>
    <x v="1"/>
    <n v="77349389"/>
    <x v="83"/>
    <s v="Other"/>
  </r>
  <r>
    <x v="8"/>
    <s v="Pakistan Early Recovery Framework"/>
    <x v="45"/>
    <x v="44"/>
    <x v="2"/>
    <n v="440542688"/>
    <x v="83"/>
    <s v="Other"/>
  </r>
  <r>
    <x v="8"/>
    <s v="Pakistan Floods Relief and Early Recovery Response Plan (Revised)"/>
    <x v="45"/>
    <x v="44"/>
    <x v="2"/>
    <n v="1963473246"/>
    <x v="84"/>
    <s v="Flash appeal"/>
  </r>
  <r>
    <x v="8"/>
    <s v="Pakistan Floods Relief and Early Recovery Response Plan (Revised)"/>
    <x v="45"/>
    <x v="44"/>
    <x v="1"/>
    <n v="1380067231"/>
    <x v="84"/>
    <s v="Flash appeal"/>
  </r>
  <r>
    <x v="8"/>
    <s v="Pakistan Humanitarian Response Plan"/>
    <x v="45"/>
    <x v="44"/>
    <x v="1"/>
    <n v="332196745"/>
    <x v="85"/>
    <s v="Other"/>
  </r>
  <r>
    <x v="8"/>
    <s v="Pakistan Humanitarian Response Plan"/>
    <x v="45"/>
    <x v="44"/>
    <x v="2"/>
    <n v="661180978"/>
    <x v="85"/>
    <s v="Other"/>
  </r>
  <r>
    <x v="8"/>
    <s v="Pakistan Rapid Response Plan Floods"/>
    <x v="45"/>
    <x v="44"/>
    <x v="1"/>
    <n v="157097790"/>
    <x v="86"/>
    <s v="Flash appeal"/>
  </r>
  <r>
    <x v="8"/>
    <s v="Pakistan Rapid Response Plan Floods"/>
    <x v="45"/>
    <x v="44"/>
    <x v="2"/>
    <n v="356759669"/>
    <x v="86"/>
    <s v="Flash appeal"/>
  </r>
  <r>
    <x v="8"/>
    <s v="Philippines"/>
    <x v="46"/>
    <x v="45"/>
    <x v="1"/>
    <n v="14000000"/>
    <x v="87"/>
    <s v="Other"/>
  </r>
  <r>
    <x v="8"/>
    <s v="Philippines"/>
    <x v="46"/>
    <x v="45"/>
    <x v="2"/>
    <n v="61000000"/>
    <x v="87"/>
    <s v="Other"/>
  </r>
  <r>
    <x v="8"/>
    <s v="Philippines"/>
    <x v="46"/>
    <x v="45"/>
    <x v="3"/>
    <n v="199000"/>
    <x v="87"/>
    <s v="Other"/>
  </r>
  <r>
    <x v="8"/>
    <s v="Philippines (Typhoon Haiyan and Zamboaga)"/>
    <x v="46"/>
    <x v="45"/>
    <x v="1"/>
    <n v="475100000"/>
    <x v="88"/>
    <m/>
  </r>
  <r>
    <x v="8"/>
    <s v="Philippines (Typhoon Haiyan and Zamboaga)"/>
    <x v="46"/>
    <x v="45"/>
    <x v="2"/>
    <n v="788500000"/>
    <x v="88"/>
    <m/>
  </r>
  <r>
    <x v="8"/>
    <s v="Philippines Humanitarian Action Plan"/>
    <x v="46"/>
    <x v="45"/>
    <x v="1"/>
    <n v="35260463"/>
    <x v="89"/>
    <s v="Consolidated Appeal Process (CAP)"/>
  </r>
  <r>
    <x v="8"/>
    <s v="Philippines Humanitarian Action Plan"/>
    <x v="46"/>
    <x v="45"/>
    <x v="2"/>
    <n v="51231830"/>
    <x v="89"/>
    <s v="Consolidated Appeal Process (CAP)"/>
  </r>
  <r>
    <x v="8"/>
    <s v="Philippines Humanitarian Action Plan"/>
    <x v="46"/>
    <x v="45"/>
    <x v="0"/>
    <n v="600000"/>
    <x v="89"/>
    <s v="Consolidated Appeal Process (CAP)"/>
  </r>
  <r>
    <x v="8"/>
    <s v="Philippines Mindanao Action Plan"/>
    <x v="46"/>
    <x v="45"/>
    <x v="1"/>
    <n v="53544941"/>
    <x v="90"/>
    <s v="Consolidated Appeal Process (CAP)"/>
  </r>
  <r>
    <x v="8"/>
    <s v="Philippines Mindanao Action Plan"/>
    <x v="46"/>
    <x v="45"/>
    <x v="2"/>
    <n v="95508967"/>
    <x v="90"/>
    <s v="Consolidated Appeal Process (CAP)"/>
  </r>
  <r>
    <x v="8"/>
    <s v="Philippines Mindanao Action Plan"/>
    <x v="46"/>
    <x v="45"/>
    <x v="0"/>
    <n v="500000"/>
    <x v="90"/>
    <s v="Consolidated Appeal Process (CAP)"/>
  </r>
  <r>
    <x v="8"/>
    <s v="Philippines Typhoon Haiyan"/>
    <x v="46"/>
    <x v="45"/>
    <x v="3"/>
    <n v="3060000"/>
    <x v="88"/>
    <m/>
  </r>
  <r>
    <x v="8"/>
    <s v="Mindanao Humanitarian Action Plan"/>
    <x v="46"/>
    <x v="45"/>
    <x v="2"/>
    <n v="33258170"/>
    <x v="91"/>
    <s v="Other"/>
  </r>
  <r>
    <x v="8"/>
    <s v="Mindanao Humanitarian Action Plan"/>
    <x v="46"/>
    <x v="45"/>
    <x v="1"/>
    <n v="17950207"/>
    <x v="91"/>
    <s v="Other"/>
  </r>
  <r>
    <x v="8"/>
    <s v="Republic of Congo"/>
    <x v="47"/>
    <x v="46"/>
    <x v="2"/>
    <n v="59195017"/>
    <x v="92"/>
    <s v="Consolidated Appeal Process (CAP)"/>
  </r>
  <r>
    <x v="8"/>
    <s v="Republic of Congo"/>
    <x v="47"/>
    <x v="46"/>
    <x v="1"/>
    <n v="36263227"/>
    <x v="92"/>
    <s v="Consolidated Appeal Process (CAP)"/>
  </r>
  <r>
    <x v="8"/>
    <s v="Republic of Congo"/>
    <x v="47"/>
    <x v="46"/>
    <x v="1"/>
    <n v="5200000"/>
    <x v="92"/>
    <m/>
  </r>
  <r>
    <x v="8"/>
    <s v="Republic of Congo"/>
    <x v="47"/>
    <x v="46"/>
    <x v="2"/>
    <n v="14300000"/>
    <x v="92"/>
    <m/>
  </r>
  <r>
    <x v="8"/>
    <s v="Republic of Congo"/>
    <x v="47"/>
    <x v="46"/>
    <x v="1"/>
    <n v="9400000"/>
    <x v="92"/>
    <s v="Humanitarian Response Plan (HRP)"/>
  </r>
  <r>
    <x v="8"/>
    <s v="Republic of Congo"/>
    <x v="47"/>
    <x v="46"/>
    <x v="2"/>
    <n v="23700000"/>
    <x v="92"/>
    <s v="Humanitarian Response Plan (HRP)"/>
  </r>
  <r>
    <x v="8"/>
    <s v="Republic of Congo"/>
    <x v="47"/>
    <x v="46"/>
    <x v="3"/>
    <n v="166000"/>
    <x v="92"/>
    <s v="Humanitarian Response Plan (HRP)"/>
  </r>
  <r>
    <x v="8"/>
    <s v="Senegal"/>
    <x v="48"/>
    <x v="47"/>
    <x v="1"/>
    <n v="20900000"/>
    <x v="93"/>
    <m/>
  </r>
  <r>
    <x v="8"/>
    <s v="Senegal"/>
    <x v="48"/>
    <x v="47"/>
    <x v="2"/>
    <n v="64099999.999999993"/>
    <x v="93"/>
    <m/>
  </r>
  <r>
    <x v="8"/>
    <s v="Senegal"/>
    <x v="48"/>
    <x v="47"/>
    <x v="3"/>
    <n v="2900000"/>
    <x v="93"/>
    <m/>
  </r>
  <r>
    <x v="8"/>
    <s v="Senegal"/>
    <x v="48"/>
    <x v="47"/>
    <x v="1"/>
    <n v="10200000"/>
    <x v="93"/>
    <m/>
  </r>
  <r>
    <x v="8"/>
    <s v="Senegal"/>
    <x v="48"/>
    <x v="47"/>
    <x v="2"/>
    <n v="59400000"/>
    <x v="93"/>
    <m/>
  </r>
  <r>
    <x v="8"/>
    <s v="Senegal"/>
    <x v="48"/>
    <x v="47"/>
    <x v="3"/>
    <n v="4300000"/>
    <x v="93"/>
    <m/>
  </r>
  <r>
    <x v="8"/>
    <s v="Senegal"/>
    <x v="48"/>
    <x v="47"/>
    <x v="1"/>
    <n v="6500000"/>
    <x v="93"/>
    <m/>
  </r>
  <r>
    <x v="8"/>
    <s v="Senegal"/>
    <x v="48"/>
    <x v="47"/>
    <x v="2"/>
    <n v="19900000"/>
    <x v="93"/>
    <m/>
  </r>
  <r>
    <x v="8"/>
    <s v="Senegal"/>
    <x v="48"/>
    <x v="47"/>
    <x v="3"/>
    <n v="620461"/>
    <x v="93"/>
    <m/>
  </r>
  <r>
    <x v="8"/>
    <s v="Senegal"/>
    <x v="48"/>
    <x v="47"/>
    <x v="1"/>
    <n v="2900000"/>
    <x v="93"/>
    <s v="Humanitarian Response Plan (HRP)"/>
  </r>
  <r>
    <x v="8"/>
    <s v="Senegal"/>
    <x v="48"/>
    <x v="47"/>
    <x v="2"/>
    <n v="15800000"/>
    <x v="93"/>
    <s v="Humanitarian Response Plan (HRP)"/>
  </r>
  <r>
    <x v="8"/>
    <s v="Senegal"/>
    <x v="48"/>
    <x v="47"/>
    <x v="3"/>
    <n v="881000"/>
    <x v="93"/>
    <s v="Humanitarian Response Plan (HRP)"/>
  </r>
  <r>
    <x v="8"/>
    <s v="Senegal"/>
    <x v="48"/>
    <x v="47"/>
    <x v="1"/>
    <n v="6800000"/>
    <x v="93"/>
    <s v="Other"/>
  </r>
  <r>
    <x v="8"/>
    <s v="Senegal"/>
    <x v="48"/>
    <x v="47"/>
    <x v="2"/>
    <n v="16300000"/>
    <x v="93"/>
    <s v="Other"/>
  </r>
  <r>
    <x v="8"/>
    <s v="Senegal"/>
    <x v="48"/>
    <x v="47"/>
    <x v="3"/>
    <n v="814000"/>
    <x v="93"/>
    <s v="Other"/>
  </r>
  <r>
    <x v="8"/>
    <s v="Somalia"/>
    <x v="49"/>
    <x v="48"/>
    <x v="2"/>
    <n v="596124332"/>
    <x v="94"/>
    <s v="Consolidated Appeal Process (CAP)"/>
  </r>
  <r>
    <x v="8"/>
    <s v="Somalia"/>
    <x v="49"/>
    <x v="48"/>
    <x v="1"/>
    <n v="400104873"/>
    <x v="94"/>
    <s v="Consolidated Appeal Process (CAP)"/>
  </r>
  <r>
    <x v="8"/>
    <s v="Somalia"/>
    <x v="49"/>
    <x v="48"/>
    <x v="0"/>
    <n v="2556404"/>
    <x v="94"/>
    <s v="Consolidated Appeal Process (CAP)"/>
  </r>
  <r>
    <x v="8"/>
    <s v="Somalia"/>
    <x v="49"/>
    <x v="48"/>
    <x v="1"/>
    <n v="657301394"/>
    <x v="94"/>
    <s v="Consolidated Appeal Process (CAP)"/>
  </r>
  <r>
    <x v="8"/>
    <s v="Somalia"/>
    <x v="49"/>
    <x v="48"/>
    <x v="1"/>
    <n v="586131426"/>
    <x v="94"/>
    <s v="Consolidated Appeal Process (CAP)"/>
  </r>
  <r>
    <x v="8"/>
    <s v="Somalia"/>
    <x v="49"/>
    <x v="48"/>
    <x v="2"/>
    <n v="1153087668"/>
    <x v="94"/>
    <s v="Consolidated Appeal Process (CAP)"/>
  </r>
  <r>
    <x v="8"/>
    <s v="Somalia"/>
    <x v="49"/>
    <x v="48"/>
    <x v="0"/>
    <n v="3800000"/>
    <x v="94"/>
    <s v="Consolidated Appeal Process (CAP)"/>
  </r>
  <r>
    <x v="8"/>
    <s v="Somalia"/>
    <x v="49"/>
    <x v="48"/>
    <x v="1"/>
    <n v="457500000"/>
    <x v="94"/>
    <m/>
  </r>
  <r>
    <x v="8"/>
    <s v="Somalia"/>
    <x v="49"/>
    <x v="48"/>
    <x v="2"/>
    <n v="933100000"/>
    <x v="94"/>
    <m/>
  </r>
  <r>
    <x v="8"/>
    <s v="Somalia"/>
    <x v="49"/>
    <x v="48"/>
    <x v="3"/>
    <n v="3180000"/>
    <x v="94"/>
    <m/>
  </r>
  <r>
    <x v="8"/>
    <s v="Somalia"/>
    <x v="49"/>
    <x v="48"/>
    <x v="1"/>
    <n v="325600000"/>
    <x v="94"/>
    <m/>
  </r>
  <r>
    <x v="8"/>
    <s v="Somalia"/>
    <x v="49"/>
    <x v="48"/>
    <x v="2"/>
    <n v="862600000"/>
    <x v="94"/>
    <m/>
  </r>
  <r>
    <x v="9"/>
    <s v="Somalia"/>
    <x v="49"/>
    <x v="48"/>
    <x v="3"/>
    <n v="3200000"/>
    <x v="94"/>
    <m/>
  </r>
  <r>
    <x v="9"/>
    <s v="Somalia"/>
    <x v="49"/>
    <x v="48"/>
    <x v="1"/>
    <n v="413800000"/>
    <x v="94"/>
    <m/>
  </r>
  <r>
    <x v="9"/>
    <s v="Somalia"/>
    <x v="49"/>
    <x v="48"/>
    <x v="2"/>
    <n v="885200000"/>
    <x v="94"/>
    <m/>
  </r>
  <r>
    <x v="9"/>
    <s v="Somalia"/>
    <x v="49"/>
    <x v="48"/>
    <x v="3"/>
    <n v="4900000"/>
    <x v="94"/>
    <m/>
  </r>
  <r>
    <x v="9"/>
    <s v="Somalia"/>
    <x v="49"/>
    <x v="48"/>
    <x v="1"/>
    <n v="882600000"/>
    <x v="94"/>
    <s v="Humanitarian Response Plan (HRP)"/>
  </r>
  <r>
    <x v="9"/>
    <s v="Somalia"/>
    <x v="49"/>
    <x v="48"/>
    <x v="2"/>
    <n v="1510000000"/>
    <x v="94"/>
    <s v="Humanitarian Response Plan (HRP)"/>
  </r>
  <r>
    <x v="9"/>
    <s v="Somalia"/>
    <x v="49"/>
    <x v="48"/>
    <x v="3"/>
    <n v="6700000"/>
    <x v="94"/>
    <s v="Humanitarian Response Plan (HRP)"/>
  </r>
  <r>
    <x v="9"/>
    <s v="Somalia"/>
    <x v="49"/>
    <x v="48"/>
    <x v="1"/>
    <n v="796800000"/>
    <x v="94"/>
    <s v="Humanitarian Response Plan (HRP)"/>
  </r>
  <r>
    <x v="9"/>
    <s v="Somalia"/>
    <x v="49"/>
    <x v="48"/>
    <x v="2"/>
    <n v="1540000000"/>
    <x v="94"/>
    <s v="Humanitarian Response Plan (HRP)"/>
  </r>
  <r>
    <x v="9"/>
    <s v="Somalia"/>
    <x v="49"/>
    <x v="48"/>
    <x v="3"/>
    <n v="5400000"/>
    <x v="94"/>
    <s v="Humanitarian Response Plan (HRP)"/>
  </r>
  <r>
    <x v="9"/>
    <s v="Iran"/>
    <x v="23"/>
    <x v="23"/>
    <x v="3"/>
    <n v="40100000"/>
    <x v="43"/>
    <s v="COVID-19"/>
  </r>
  <r>
    <x v="9"/>
    <s v="Somalia"/>
    <x v="49"/>
    <x v="48"/>
    <x v="2"/>
    <n v="1080000000"/>
    <x v="94"/>
    <s v="Humanitarian Response Plan (HRP)"/>
  </r>
  <r>
    <x v="9"/>
    <s v="Iraq"/>
    <x v="24"/>
    <x v="24"/>
    <x v="1"/>
    <n v="611700000"/>
    <x v="44"/>
    <s v="Humanitarian Response Plan (HRP)"/>
  </r>
  <r>
    <x v="9"/>
    <s v="Iraq"/>
    <x v="24"/>
    <x v="24"/>
    <x v="3"/>
    <n v="6700000"/>
    <x v="44"/>
    <s v="Humanitarian Response Plan (HRP)"/>
  </r>
  <r>
    <x v="9"/>
    <s v="Somalia"/>
    <x v="49"/>
    <x v="48"/>
    <x v="2"/>
    <n v="1167739803"/>
    <x v="94"/>
    <s v="Consolidated Appeal Process (CAP)"/>
  </r>
  <r>
    <x v="9"/>
    <s v="Somalia"/>
    <x v="49"/>
    <x v="48"/>
    <x v="0"/>
    <n v="3810000"/>
    <x v="94"/>
    <s v="Consolidated Appeal Process (CAP)"/>
  </r>
  <r>
    <x v="9"/>
    <s v="Somalia"/>
    <x v="49"/>
    <x v="48"/>
    <x v="1"/>
    <n v="879901029"/>
    <x v="94"/>
    <s v="Consolidated Appeal Process (CAP)"/>
  </r>
  <r>
    <x v="9"/>
    <s v="Somalia"/>
    <x v="49"/>
    <x v="48"/>
    <x v="2"/>
    <n v="1003322063"/>
    <x v="94"/>
    <s v="Consolidated Appeal Process (CAP)"/>
  </r>
  <r>
    <x v="9"/>
    <s v="Iraq"/>
    <x v="24"/>
    <x v="24"/>
    <x v="3"/>
    <n v="4100000"/>
    <x v="44"/>
    <s v="Humanitarian Response Plan (HRP)"/>
  </r>
  <r>
    <x v="9"/>
    <s v="Republic of South Sudan"/>
    <x v="50"/>
    <x v="49"/>
    <x v="1"/>
    <n v="379211301"/>
    <x v="95"/>
    <s v="Consolidated Appeal Process (CAP)"/>
  </r>
  <r>
    <x v="9"/>
    <s v="South Sudan"/>
    <x v="50"/>
    <x v="49"/>
    <x v="1"/>
    <n v="787572734"/>
    <x v="96"/>
    <s v="Consolidated Appeal Process (CAP)"/>
  </r>
  <r>
    <x v="9"/>
    <s v="South Sudan"/>
    <x v="50"/>
    <x v="49"/>
    <x v="2"/>
    <n v="1176892213"/>
    <x v="96"/>
    <s v="Consolidated Appeal Process (CAP)"/>
  </r>
  <r>
    <x v="9"/>
    <s v="South Sudan"/>
    <x v="50"/>
    <x v="49"/>
    <x v="0"/>
    <n v="3587000"/>
    <x v="96"/>
    <s v="Consolidated Appeal Process (CAP)"/>
  </r>
  <r>
    <x v="9"/>
    <s v="South Sudan"/>
    <x v="50"/>
    <x v="49"/>
    <x v="1"/>
    <n v="771920359"/>
    <x v="96"/>
    <s v="Consolidated Appeal Process (CAP)"/>
  </r>
  <r>
    <x v="9"/>
    <s v="South Sudan"/>
    <x v="50"/>
    <x v="49"/>
    <x v="2"/>
    <n v="1072037430"/>
    <x v="96"/>
    <s v="Consolidated Appeal Process (CAP)"/>
  </r>
  <r>
    <x v="9"/>
    <s v="South Sudan"/>
    <x v="50"/>
    <x v="49"/>
    <x v="0"/>
    <n v="3000000"/>
    <x v="96"/>
    <s v="Consolidated Appeal Process (CAP)"/>
  </r>
  <r>
    <x v="9"/>
    <s v="South Sudan"/>
    <x v="50"/>
    <x v="49"/>
    <x v="1"/>
    <n v="1594900000"/>
    <x v="96"/>
    <m/>
  </r>
  <r>
    <x v="9"/>
    <s v="South Sudan"/>
    <x v="50"/>
    <x v="49"/>
    <x v="2"/>
    <n v="1801800000"/>
    <x v="96"/>
    <m/>
  </r>
  <r>
    <x v="9"/>
    <s v="South Sudan"/>
    <x v="50"/>
    <x v="49"/>
    <x v="3"/>
    <n v="4400000"/>
    <x v="96"/>
    <m/>
  </r>
  <r>
    <x v="9"/>
    <s v="South Sudan"/>
    <x v="50"/>
    <x v="49"/>
    <x v="1"/>
    <n v="1000000000"/>
    <x v="96"/>
    <m/>
  </r>
  <r>
    <x v="9"/>
    <s v="South Sudan"/>
    <x v="50"/>
    <x v="49"/>
    <x v="2"/>
    <n v="1600000000"/>
    <x v="96"/>
    <m/>
  </r>
  <r>
    <x v="9"/>
    <s v="South Sudan"/>
    <x v="50"/>
    <x v="49"/>
    <x v="3"/>
    <n v="6400000"/>
    <x v="96"/>
    <m/>
  </r>
  <r>
    <x v="9"/>
    <s v="South Sudan"/>
    <x v="50"/>
    <x v="49"/>
    <x v="1"/>
    <n v="1000000000"/>
    <x v="96"/>
    <m/>
  </r>
  <r>
    <x v="9"/>
    <s v="South Sudan"/>
    <x v="50"/>
    <x v="49"/>
    <x v="2"/>
    <n v="1300000000"/>
    <x v="96"/>
    <m/>
  </r>
  <r>
    <x v="9"/>
    <s v="South Sudan"/>
    <x v="50"/>
    <x v="49"/>
    <x v="3"/>
    <n v="6000000"/>
    <x v="96"/>
    <m/>
  </r>
  <r>
    <x v="9"/>
    <s v="South Sudan"/>
    <x v="50"/>
    <x v="49"/>
    <x v="1"/>
    <n v="1150000000"/>
    <x v="96"/>
    <s v="Humanitarian Response Plan (HRP)"/>
  </r>
  <r>
    <x v="9"/>
    <s v="South Sudan"/>
    <x v="50"/>
    <x v="49"/>
    <x v="2"/>
    <n v="1640000000"/>
    <x v="96"/>
    <s v="Humanitarian Response Plan (HRP)"/>
  </r>
  <r>
    <x v="9"/>
    <s v="South Sudan"/>
    <x v="50"/>
    <x v="49"/>
    <x v="3"/>
    <n v="7500000"/>
    <x v="96"/>
    <s v="Humanitarian Response Plan (HRP)"/>
  </r>
  <r>
    <x v="9"/>
    <s v="South Sudan"/>
    <x v="50"/>
    <x v="49"/>
    <x v="1"/>
    <n v="1030000000"/>
    <x v="96"/>
    <s v="Humanitarian Response Plan (HRP)"/>
  </r>
  <r>
    <x v="9"/>
    <s v="South Sudan"/>
    <x v="50"/>
    <x v="49"/>
    <x v="2"/>
    <n v="1720000000"/>
    <x v="96"/>
    <s v="Humanitarian Response Plan (HRP)"/>
  </r>
  <r>
    <x v="9"/>
    <s v="South Sudan"/>
    <x v="50"/>
    <x v="49"/>
    <x v="3"/>
    <n v="7000000"/>
    <x v="96"/>
    <s v="Humanitarian Response Plan (HRP)"/>
  </r>
  <r>
    <x v="9"/>
    <s v="Jordan (Intersectoral)"/>
    <x v="51"/>
    <x v="50"/>
    <x v="3"/>
    <n v="1400000"/>
    <x v="97"/>
    <s v="COVID-19 (Intersectoral)"/>
  </r>
  <r>
    <x v="9"/>
    <s v="South Sudan"/>
    <x v="50"/>
    <x v="49"/>
    <x v="2"/>
    <n v="1510000000"/>
    <x v="96"/>
    <s v="Humanitarian Response Plan (HRP)"/>
  </r>
  <r>
    <x v="9"/>
    <s v="Kenya (Intersectoral)"/>
    <x v="28"/>
    <x v="28"/>
    <x v="3"/>
    <n v="13840000"/>
    <x v="98"/>
    <s v="COVID-19 (Intersectoral)"/>
  </r>
  <r>
    <x v="9"/>
    <s v="Lebanon"/>
    <x v="52"/>
    <x v="51"/>
    <x v="3"/>
    <n v="6000000"/>
    <x v="99"/>
    <s v="COVID-19"/>
  </r>
  <r>
    <x v="9"/>
    <s v="Lebanon Flash Appeal"/>
    <x v="52"/>
    <x v="51"/>
    <x v="3"/>
    <n v="1000000"/>
    <x v="100"/>
    <s v="Humanitarian Flash Appeal"/>
  </r>
  <r>
    <x v="9"/>
    <s v="South Sudan Regional Refugee Response Plan"/>
    <x v="50"/>
    <x v="49"/>
    <x v="2"/>
    <n v="984500000"/>
    <x v="101"/>
    <s v="Refugee Response Plan"/>
  </r>
  <r>
    <x v="9"/>
    <s v="Lesotho Flash Appeal"/>
    <x v="26"/>
    <x v="26"/>
    <x v="3"/>
    <n v="500000"/>
    <x v="102"/>
    <s v="Humanitarian Flash Appeal"/>
  </r>
  <r>
    <x v="9"/>
    <s v="Liberia"/>
    <x v="21"/>
    <x v="21"/>
    <x v="3"/>
    <n v="4440000"/>
    <x v="40"/>
    <s v="COVID-19"/>
  </r>
  <r>
    <x v="9"/>
    <s v="South Sudan Regional Refugee Response Plan"/>
    <x v="50"/>
    <x v="49"/>
    <x v="3"/>
    <n v="821000"/>
    <x v="103"/>
    <m/>
  </r>
  <r>
    <x v="9"/>
    <s v="South Sudan Regional Refugee Response Plan"/>
    <x v="50"/>
    <x v="49"/>
    <x v="1"/>
    <n v="186600000"/>
    <x v="104"/>
    <m/>
  </r>
  <r>
    <x v="9"/>
    <s v="South Sudan Regional Refugee Response Plan"/>
    <x v="50"/>
    <x v="49"/>
    <x v="2"/>
    <n v="701600000"/>
    <x v="104"/>
    <m/>
  </r>
  <r>
    <x v="9"/>
    <s v="South Sudan Regional Refugee Response Plan"/>
    <x v="50"/>
    <x v="49"/>
    <x v="3"/>
    <n v="948409"/>
    <x v="104"/>
    <m/>
  </r>
  <r>
    <x v="9"/>
    <s v="South Sudan Regional Refugee Response Plan (Ethiopia, Kenya, and Uganda)"/>
    <x v="50"/>
    <x v="49"/>
    <x v="1"/>
    <n v="186000000"/>
    <x v="103"/>
    <m/>
  </r>
  <r>
    <x v="9"/>
    <s v="South Sudan Regional Refugee Response Plan (Ethiopia, Kenya, and Uganda)"/>
    <x v="50"/>
    <x v="49"/>
    <x v="2"/>
    <n v="658000000"/>
    <x v="103"/>
    <m/>
  </r>
  <r>
    <x v="9"/>
    <s v="South Sudan Regional Refugee Response Plan (Ethiopia, Kenya, Sudan and Uganda)"/>
    <x v="50"/>
    <x v="49"/>
    <x v="1"/>
    <n v="355600000"/>
    <x v="105"/>
    <m/>
  </r>
  <r>
    <x v="9"/>
    <s v="South Sudan Regional Refugee Response Plan (Ethiopia, Kenya, Sudan and Uganda)"/>
    <x v="50"/>
    <x v="49"/>
    <x v="2"/>
    <n v="657700000"/>
    <x v="105"/>
    <m/>
  </r>
  <r>
    <x v="9"/>
    <s v="South Sudan Regional Refugee Response Plan (Ethiopia, Kenya, Sudan and Uganda)"/>
    <x v="50"/>
    <x v="49"/>
    <x v="1"/>
    <n v="517400000"/>
    <x v="104"/>
    <s v="Refugee Response Plan"/>
  </r>
  <r>
    <x v="9"/>
    <s v="South Sudan Regional Refugee Response Plan (Ethiopia, Kenya, Sudan and Uganda)"/>
    <x v="50"/>
    <x v="49"/>
    <x v="2"/>
    <n v="1380000000"/>
    <x v="104"/>
    <s v="Refugee Response Plan"/>
  </r>
  <r>
    <x v="9"/>
    <s v="South Sudan Regional Refugee Response Plan (Ethiopia, Kenya, Sudan and Uganda)"/>
    <x v="50"/>
    <x v="49"/>
    <x v="3"/>
    <n v="1400000"/>
    <x v="104"/>
    <s v="Refugee Response Plan"/>
  </r>
  <r>
    <x v="9"/>
    <s v="South Sudan Refugee Response Plan"/>
    <x v="50"/>
    <x v="49"/>
    <x v="1"/>
    <n v="169300000"/>
    <x v="106"/>
    <m/>
  </r>
  <r>
    <x v="9"/>
    <s v="South Sudan Refugee Response Plan"/>
    <x v="50"/>
    <x v="49"/>
    <x v="2"/>
    <n v="809900000"/>
    <x v="106"/>
    <m/>
  </r>
  <r>
    <x v="9"/>
    <s v="South Sudan Refugee Response Plan"/>
    <x v="50"/>
    <x v="49"/>
    <x v="1"/>
    <n v="393300000"/>
    <x v="106"/>
    <s v="Refugee Response Plan"/>
  </r>
  <r>
    <x v="9"/>
    <s v="South Sudan Refugee Response Plan"/>
    <x v="50"/>
    <x v="49"/>
    <x v="2"/>
    <n v="1380000000"/>
    <x v="106"/>
    <s v="Refugee Response Plan"/>
  </r>
  <r>
    <x v="9"/>
    <s v="Republic of South Sudan"/>
    <x v="50"/>
    <x v="49"/>
    <x v="2"/>
    <n v="619673235"/>
    <x v="95"/>
    <s v="Consolidated Appeal Process (CAP)"/>
  </r>
  <r>
    <x v="9"/>
    <s v="Sudan"/>
    <x v="53"/>
    <x v="52"/>
    <x v="2"/>
    <n v="1843386608"/>
    <x v="107"/>
    <s v="Consolidated Appeal Process (CAP)"/>
  </r>
  <r>
    <x v="9"/>
    <s v="Sudan"/>
    <x v="53"/>
    <x v="52"/>
    <x v="1"/>
    <n v="1217023072"/>
    <x v="107"/>
    <s v="Consolidated Appeal Process (CAP)"/>
  </r>
  <r>
    <x v="9"/>
    <s v="Sudan"/>
    <x v="53"/>
    <x v="52"/>
    <x v="0"/>
    <n v="6750000"/>
    <x v="107"/>
    <s v="Consolidated Appeal Process (CAP)"/>
  </r>
  <r>
    <x v="9"/>
    <s v="Sudan"/>
    <x v="53"/>
    <x v="52"/>
    <x v="1"/>
    <n v="550846869"/>
    <x v="107"/>
    <s v="Consolidated Appeal Process (CAP)"/>
  </r>
  <r>
    <x v="9"/>
    <s v="Sudan"/>
    <x v="53"/>
    <x v="52"/>
    <x v="2"/>
    <n v="985120878"/>
    <x v="107"/>
    <s v="Consolidated Appeal Process (CAP)"/>
  </r>
  <r>
    <x v="9"/>
    <s v="Sudan"/>
    <x v="53"/>
    <x v="52"/>
    <x v="1"/>
    <n v="547000000"/>
    <x v="107"/>
    <m/>
  </r>
  <r>
    <x v="9"/>
    <s v="Sudan"/>
    <x v="53"/>
    <x v="52"/>
    <x v="2"/>
    <n v="985700000"/>
    <x v="107"/>
    <m/>
  </r>
  <r>
    <x v="9"/>
    <s v="Sudan"/>
    <x v="53"/>
    <x v="52"/>
    <x v="3"/>
    <n v="6100000"/>
    <x v="107"/>
    <m/>
  </r>
  <r>
    <x v="9"/>
    <s v="Sudan"/>
    <x v="53"/>
    <x v="52"/>
    <x v="1"/>
    <n v="597100000"/>
    <x v="107"/>
    <m/>
  </r>
  <r>
    <x v="9"/>
    <s v="Sudan"/>
    <x v="53"/>
    <x v="52"/>
    <x v="2"/>
    <n v="1000000000"/>
    <x v="107"/>
    <m/>
  </r>
  <r>
    <x v="9"/>
    <s v="Sudan"/>
    <x v="53"/>
    <x v="52"/>
    <x v="3"/>
    <n v="6600000"/>
    <x v="107"/>
    <m/>
  </r>
  <r>
    <x v="9"/>
    <s v="Sudan"/>
    <x v="53"/>
    <x v="52"/>
    <x v="1"/>
    <n v="427800000"/>
    <x v="107"/>
    <m/>
  </r>
  <r>
    <x v="9"/>
    <s v="Sudan"/>
    <x v="53"/>
    <x v="52"/>
    <x v="2"/>
    <n v="971800000"/>
    <x v="107"/>
    <m/>
  </r>
  <r>
    <x v="9"/>
    <s v="Sudan"/>
    <x v="53"/>
    <x v="52"/>
    <x v="1"/>
    <n v="326200000"/>
    <x v="107"/>
    <s v="Humanitarian Response Plan (HRP)"/>
  </r>
  <r>
    <x v="9"/>
    <s v="Sudan"/>
    <x v="53"/>
    <x v="52"/>
    <x v="2"/>
    <n v="804000000"/>
    <x v="107"/>
    <s v="Humanitarian Response Plan (HRP)"/>
  </r>
  <r>
    <x v="9"/>
    <s v="Libya"/>
    <x v="29"/>
    <x v="29"/>
    <x v="1"/>
    <n v="97800000"/>
    <x v="54"/>
    <s v="Humanitarian Response Plan (HRP)"/>
  </r>
  <r>
    <x v="9"/>
    <s v="Sudan"/>
    <x v="53"/>
    <x v="52"/>
    <x v="3"/>
    <n v="4800000"/>
    <x v="107"/>
    <s v="Humanitarian Response Plan (HRP)"/>
  </r>
  <r>
    <x v="9"/>
    <s v="Sudan"/>
    <x v="53"/>
    <x v="52"/>
    <x v="1"/>
    <n v="603600000"/>
    <x v="107"/>
    <s v="Humanitarian Response Plan (HRP)"/>
  </r>
  <r>
    <x v="9"/>
    <s v="Sudan"/>
    <x v="53"/>
    <x v="52"/>
    <x v="2"/>
    <n v="1010000000"/>
    <x v="107"/>
    <s v="Humanitarian Response Plan (HRP)"/>
  </r>
  <r>
    <x v="9"/>
    <s v="Sudan"/>
    <x v="53"/>
    <x v="52"/>
    <x v="3"/>
    <n v="5500000"/>
    <x v="107"/>
    <s v="Humanitarian Response Plan (HRP)"/>
  </r>
  <r>
    <x v="9"/>
    <s v="Libya"/>
    <x v="29"/>
    <x v="29"/>
    <x v="3"/>
    <n v="823000"/>
    <x v="54"/>
    <s v="Humanitarian Response Plan (HRP)"/>
  </r>
  <r>
    <x v="9"/>
    <s v="Sudan"/>
    <x v="53"/>
    <x v="52"/>
    <x v="2"/>
    <n v="1150000000"/>
    <x v="107"/>
    <s v="Humanitarian Response Plan (HRP)"/>
  </r>
  <r>
    <x v="9"/>
    <s v="Libya"/>
    <x v="29"/>
    <x v="29"/>
    <x v="3"/>
    <n v="1000000"/>
    <x v="54"/>
    <s v="Humanitarian Response Plan (HRP)"/>
  </r>
  <r>
    <x v="9"/>
    <s v="Sudan"/>
    <x v="53"/>
    <x v="52"/>
    <x v="1"/>
    <n v="585279169"/>
    <x v="107"/>
    <s v="Consolidated Appeal Process (CAP)"/>
  </r>
  <r>
    <x v="9"/>
    <s v="Sudan"/>
    <x v="53"/>
    <x v="52"/>
    <x v="2"/>
    <n v="1051018271"/>
    <x v="107"/>
    <s v="Consolidated Appeal Process (CAP)"/>
  </r>
  <r>
    <x v="9"/>
    <s v="Sudan"/>
    <x v="53"/>
    <x v="52"/>
    <x v="0"/>
    <n v="4000000"/>
    <x v="107"/>
    <s v="Consolidated Appeal Process (CAP)"/>
  </r>
  <r>
    <x v="9"/>
    <s v="Sudan"/>
    <x v="53"/>
    <x v="52"/>
    <x v="0"/>
    <n v="4300000"/>
    <x v="107"/>
    <s v="Consolidated Appeal Process (CAP)"/>
  </r>
  <r>
    <x v="9"/>
    <s v="Sudan"/>
    <x v="53"/>
    <x v="52"/>
    <x v="1"/>
    <n v="812424912"/>
    <x v="107"/>
    <s v="Consolidated Appeal Process (CAP)"/>
  </r>
  <r>
    <x v="9"/>
    <s v="Sudan"/>
    <x v="53"/>
    <x v="52"/>
    <x v="2"/>
    <n v="1132952016"/>
    <x v="107"/>
    <s v="Consolidated Appeal Process (CAP)"/>
  </r>
  <r>
    <x v="9"/>
    <s v="Ethiopia"/>
    <x v="17"/>
    <x v="17"/>
    <x v="2"/>
    <n v="973000000"/>
    <x v="34"/>
    <s v="Humanitarian Response Plan (HRP)"/>
  </r>
  <r>
    <x v="9"/>
    <s v="Syria"/>
    <x v="54"/>
    <x v="53"/>
    <x v="3"/>
    <n v="10800000"/>
    <x v="108"/>
    <m/>
  </r>
  <r>
    <x v="9"/>
    <s v="Syria"/>
    <x v="54"/>
    <x v="53"/>
    <x v="3"/>
    <n v="12200000"/>
    <x v="108"/>
    <m/>
  </r>
  <r>
    <x v="9"/>
    <s v="Syria"/>
    <x v="54"/>
    <x v="53"/>
    <x v="1"/>
    <n v="1371000000"/>
    <x v="108"/>
    <m/>
  </r>
  <r>
    <x v="9"/>
    <s v="Syria"/>
    <x v="54"/>
    <x v="53"/>
    <x v="2"/>
    <n v="3200000000"/>
    <x v="108"/>
    <m/>
  </r>
  <r>
    <x v="9"/>
    <s v="Syria"/>
    <x v="54"/>
    <x v="53"/>
    <x v="3"/>
    <n v="13500000"/>
    <x v="108"/>
    <m/>
  </r>
  <r>
    <x v="9"/>
    <s v="Syria"/>
    <x v="54"/>
    <x v="53"/>
    <x v="1"/>
    <n v="1680000000"/>
    <x v="108"/>
    <s v="Humanitarian Response Plan (HRP)"/>
  </r>
  <r>
    <x v="9"/>
    <s v="Syria"/>
    <x v="54"/>
    <x v="53"/>
    <x v="2"/>
    <n v="3350000000"/>
    <x v="108"/>
    <s v="Humanitarian Response Plan (HRP)"/>
  </r>
  <r>
    <x v="10"/>
    <s v="Syria"/>
    <x v="54"/>
    <x v="53"/>
    <x v="3"/>
    <n v="13500000"/>
    <x v="108"/>
    <s v="Humanitarian Response Plan (HRP)"/>
  </r>
  <r>
    <x v="10"/>
    <s v="Syria"/>
    <x v="54"/>
    <x v="53"/>
    <x v="1"/>
    <n v="2000000000"/>
    <x v="108"/>
    <s v="Humanitarian Response Plan (HRP)"/>
  </r>
  <r>
    <x v="10"/>
    <s v="Syria"/>
    <x v="54"/>
    <x v="53"/>
    <x v="2"/>
    <n v="3360000000"/>
    <x v="108"/>
    <s v="Humanitarian Response Plan (HRP)"/>
  </r>
  <r>
    <x v="10"/>
    <s v="Syria"/>
    <x v="54"/>
    <x v="53"/>
    <x v="3"/>
    <n v="13000000"/>
    <x v="108"/>
    <s v="Humanitarian Response Plan (HRP)"/>
  </r>
  <r>
    <x v="10"/>
    <s v="Madagascar"/>
    <x v="27"/>
    <x v="27"/>
    <x v="1"/>
    <n v="29200000"/>
    <x v="48"/>
    <s v="Flash appeal"/>
  </r>
  <r>
    <x v="10"/>
    <s v="Syria"/>
    <x v="54"/>
    <x v="53"/>
    <x v="2"/>
    <n v="3290000000"/>
    <x v="108"/>
    <s v="Humanitarian Response Plan (HRP)"/>
  </r>
  <r>
    <x v="10"/>
    <s v="Madagascar"/>
    <x v="27"/>
    <x v="27"/>
    <x v="3"/>
    <n v="890000"/>
    <x v="48"/>
    <s v="Humanitarian Flash Appeal"/>
  </r>
  <r>
    <x v="10"/>
    <s v="Syria Regional Refugee Response Plan "/>
    <x v="54"/>
    <x v="53"/>
    <x v="1"/>
    <n v="2270000000"/>
    <x v="109"/>
    <s v="Refugee Response Plan"/>
  </r>
  <r>
    <x v="10"/>
    <s v="Syria Regional Refugee Response Plan "/>
    <x v="54"/>
    <x v="53"/>
    <x v="2"/>
    <n v="4630000000"/>
    <x v="109"/>
    <s v="Refugee Response Plan"/>
  </r>
  <r>
    <x v="10"/>
    <s v="Syria Regional Refugee Response Plan "/>
    <x v="54"/>
    <x v="53"/>
    <x v="3"/>
    <n v="9913877"/>
    <x v="109"/>
    <s v="Refugee Response Plan"/>
  </r>
  <r>
    <x v="10"/>
    <s v="Syria Regional Refugee Response Plan "/>
    <x v="54"/>
    <x v="53"/>
    <x v="1"/>
    <n v="2660000000"/>
    <x v="109"/>
    <s v="Refugee Response Plan"/>
  </r>
  <r>
    <x v="10"/>
    <s v="Syria Regional Refugee Response Plan "/>
    <x v="54"/>
    <x v="53"/>
    <x v="2"/>
    <n v="5610000000"/>
    <x v="109"/>
    <s v="Refugee Response Plan"/>
  </r>
  <r>
    <x v="10"/>
    <s v="Syria Regional Refugee Response Plan "/>
    <x v="54"/>
    <x v="53"/>
    <x v="3"/>
    <n v="5300000"/>
    <x v="109"/>
    <s v="Refugee Response Plan"/>
  </r>
  <r>
    <x v="10"/>
    <s v="Syria Humanitarian Assistance Response Plan (SHARP)"/>
    <x v="54"/>
    <x v="53"/>
    <x v="1"/>
    <n v="959284768"/>
    <x v="110"/>
    <s v="Consolidated Appeal Process (CAP)"/>
  </r>
  <r>
    <x v="10"/>
    <s v="Syria Humanitarian Assistance Response Plan (SHARP)"/>
    <x v="54"/>
    <x v="53"/>
    <x v="2"/>
    <n v="1409812466"/>
    <x v="110"/>
    <s v="Consolidated Appeal Process (CAP)"/>
  </r>
  <r>
    <x v="10"/>
    <s v="Syria Humanitarian Assistance Response Plan (SHARP)"/>
    <x v="54"/>
    <x v="53"/>
    <x v="1"/>
    <n v="1123400000"/>
    <x v="110"/>
    <m/>
  </r>
  <r>
    <x v="10"/>
    <s v="Syria Humanitarian Assistance Response Plan (SHARP)"/>
    <x v="54"/>
    <x v="53"/>
    <x v="2"/>
    <n v="2256200000"/>
    <x v="110"/>
    <m/>
  </r>
  <r>
    <x v="10"/>
    <s v="Syria Humanitarian Assistance Response Plan (SHARP)"/>
    <x v="54"/>
    <x v="53"/>
    <x v="1"/>
    <n v="215915475"/>
    <x v="110"/>
    <s v="Consolidated Appeal Process (CAP)"/>
  </r>
  <r>
    <x v="10"/>
    <s v="Syria Humanitarian Assistance Response Plan (SHARP)"/>
    <x v="54"/>
    <x v="53"/>
    <x v="2"/>
    <n v="348340163"/>
    <x v="110"/>
    <s v="Consolidated Appeal Process (CAP)"/>
  </r>
  <r>
    <x v="10"/>
    <s v="Syria Humanitarian Assistance Response Plan (SHARP)"/>
    <x v="54"/>
    <x v="53"/>
    <x v="0"/>
    <n v="6800000"/>
    <x v="110"/>
    <s v="Consolidated Appeal Process (CAP)"/>
  </r>
  <r>
    <x v="10"/>
    <s v="Mali"/>
    <x v="33"/>
    <x v="33"/>
    <x v="1"/>
    <n v="160000000"/>
    <x v="63"/>
    <s v="Humanitarian Response Plan (HRP)"/>
  </r>
  <r>
    <x v="10"/>
    <s v="Syria Regional"/>
    <x v="54"/>
    <x v="53"/>
    <x v="2"/>
    <n v="5530000000"/>
    <x v="111"/>
    <s v="Refugee Response Plan"/>
  </r>
  <r>
    <x v="10"/>
    <s v="Mali"/>
    <x v="33"/>
    <x v="33"/>
    <x v="3"/>
    <n v="3200000"/>
    <x v="63"/>
    <s v="Humanitarian Response Plan (HRP)"/>
  </r>
  <r>
    <x v="10"/>
    <s v="Ethiopia"/>
    <x v="17"/>
    <x v="17"/>
    <x v="2"/>
    <n v="1502100145"/>
    <x v="34"/>
    <s v="Humanitarian response plan"/>
  </r>
  <r>
    <x v="10"/>
    <s v="Syria Regional Refugee and Resilience Plan"/>
    <x v="54"/>
    <x v="53"/>
    <x v="3"/>
    <n v="6600000"/>
    <x v="112"/>
    <m/>
  </r>
  <r>
    <x v="10"/>
    <s v="Syria Regional Refugee and Resilience Plan"/>
    <x v="54"/>
    <x v="53"/>
    <x v="3"/>
    <n v="5690000"/>
    <x v="112"/>
    <m/>
  </r>
  <r>
    <x v="10"/>
    <s v="Syria Regional Refugee and Resilience Plan"/>
    <x v="54"/>
    <x v="53"/>
    <x v="1"/>
    <n v="2486000000"/>
    <x v="112"/>
    <m/>
  </r>
  <r>
    <x v="10"/>
    <s v="Syria Regional Refugee and Resilience Plan"/>
    <x v="54"/>
    <x v="53"/>
    <x v="2"/>
    <n v="4500000000"/>
    <x v="112"/>
    <m/>
  </r>
  <r>
    <x v="10"/>
    <s v="Syria Regional Refugee and Resilience Plan"/>
    <x v="54"/>
    <x v="53"/>
    <x v="3"/>
    <n v="4700000"/>
    <x v="112"/>
    <m/>
  </r>
  <r>
    <x v="10"/>
    <s v="Syria Regional Refugee and Resilience Plan (3RP)"/>
    <x v="54"/>
    <x v="53"/>
    <x v="1"/>
    <n v="2400000000"/>
    <x v="113"/>
    <m/>
  </r>
  <r>
    <x v="10"/>
    <s v="Syria Regional Refugee and Resilience Plan (3RP)"/>
    <x v="54"/>
    <x v="53"/>
    <x v="2"/>
    <n v="4500000000"/>
    <x v="113"/>
    <m/>
  </r>
  <r>
    <x v="10"/>
    <s v="Syria Regional Refugee Response Plan (RRP)"/>
    <x v="54"/>
    <x v="53"/>
    <x v="1"/>
    <n v="2180971363"/>
    <x v="114"/>
    <s v="Regional Response Plan"/>
  </r>
  <r>
    <x v="10"/>
    <s v="Syria Regional Refugee Response Plan (RRP)"/>
    <x v="54"/>
    <x v="53"/>
    <x v="2"/>
    <n v="2981640112"/>
    <x v="114"/>
    <s v="Regional Response Plan"/>
  </r>
  <r>
    <x v="10"/>
    <s v="Syria Regional Refugee Response Plan (RRP)"/>
    <x v="54"/>
    <x v="53"/>
    <x v="1"/>
    <n v="2333200000"/>
    <x v="114"/>
    <m/>
  </r>
  <r>
    <x v="10"/>
    <s v="Syria Regional Refugee Response Plan (RRP)"/>
    <x v="54"/>
    <x v="53"/>
    <x v="2"/>
    <n v="3740700000"/>
    <x v="114"/>
    <m/>
  </r>
  <r>
    <x v="10"/>
    <s v="Syria Response Plan"/>
    <x v="54"/>
    <x v="53"/>
    <x v="1"/>
    <n v="1200000000"/>
    <x v="115"/>
    <m/>
  </r>
  <r>
    <x v="10"/>
    <s v="Syria Response Plan"/>
    <x v="54"/>
    <x v="53"/>
    <x v="2"/>
    <n v="2900000000"/>
    <x v="108"/>
    <m/>
  </r>
  <r>
    <x v="10"/>
    <s v="Syria Regional Refugee Response Plan (RRP)"/>
    <x v="54"/>
    <x v="53"/>
    <x v="0"/>
    <n v="5300000"/>
    <x v="114"/>
    <s v="Regional Refugee Response Plan (RRP)"/>
  </r>
  <r>
    <x v="10"/>
    <s v="Uganda"/>
    <x v="55"/>
    <x v="54"/>
    <x v="2"/>
    <n v="184398188"/>
    <x v="116"/>
    <s v="Consolidated Appeal Process (CAP)"/>
  </r>
  <r>
    <x v="10"/>
    <s v="Uganda"/>
    <x v="55"/>
    <x v="54"/>
    <x v="1"/>
    <n v="99109148"/>
    <x v="116"/>
    <s v="Consolidated Appeal Process (CAP)"/>
  </r>
  <r>
    <x v="10"/>
    <s v="Mali"/>
    <x v="33"/>
    <x v="33"/>
    <x v="3"/>
    <n v="6800000"/>
    <x v="63"/>
    <s v="Humanitarian Response Plan (HRP)"/>
  </r>
  <r>
    <x v="10"/>
    <s v="Ukraine"/>
    <x v="56"/>
    <x v="55"/>
    <x v="1"/>
    <n v="148500000"/>
    <x v="117"/>
    <m/>
  </r>
  <r>
    <x v="10"/>
    <s v="Ukraine"/>
    <x v="56"/>
    <x v="55"/>
    <x v="2"/>
    <n v="316000000"/>
    <x v="117"/>
    <m/>
  </r>
  <r>
    <x v="10"/>
    <s v="Ukraine"/>
    <x v="56"/>
    <x v="55"/>
    <x v="3"/>
    <n v="1400000"/>
    <x v="117"/>
    <m/>
  </r>
  <r>
    <x v="10"/>
    <s v="Ukraine"/>
    <x v="56"/>
    <x v="55"/>
    <x v="1"/>
    <n v="88300000"/>
    <x v="117"/>
    <m/>
  </r>
  <r>
    <x v="10"/>
    <s v="Vanuatu"/>
    <x v="57"/>
    <x v="56"/>
    <x v="1"/>
    <n v="21800000"/>
    <x v="118"/>
    <m/>
  </r>
  <r>
    <x v="10"/>
    <s v="Vanuatu"/>
    <x v="57"/>
    <x v="56"/>
    <x v="2"/>
    <n v="37700000"/>
    <x v="118"/>
    <m/>
  </r>
  <r>
    <x v="10"/>
    <s v="Ukraine"/>
    <x v="56"/>
    <x v="55"/>
    <x v="2"/>
    <n v="297900000"/>
    <x v="117"/>
    <m/>
  </r>
  <r>
    <x v="10"/>
    <s v="Ukraine"/>
    <x v="56"/>
    <x v="55"/>
    <x v="3"/>
    <n v="3100000"/>
    <x v="117"/>
    <m/>
  </r>
  <r>
    <x v="10"/>
    <s v="Ukraine"/>
    <x v="56"/>
    <x v="55"/>
    <x v="1"/>
    <n v="56900000"/>
    <x v="117"/>
    <s v="Humanitarian Response Plan (HRP)"/>
  </r>
  <r>
    <x v="10"/>
    <s v="Ukraine"/>
    <x v="56"/>
    <x v="55"/>
    <x v="2"/>
    <n v="203600000"/>
    <x v="117"/>
    <s v="Humanitarian Response Plan (HRP)"/>
  </r>
  <r>
    <x v="10"/>
    <s v="Ukraine"/>
    <x v="56"/>
    <x v="55"/>
    <x v="3"/>
    <n v="3800000"/>
    <x v="117"/>
    <s v="Humanitarian Response Plan (HRP)"/>
  </r>
  <r>
    <x v="10"/>
    <s v="Ukraine"/>
    <x v="56"/>
    <x v="55"/>
    <x v="1"/>
    <n v="66599999.999999993"/>
    <x v="117"/>
    <s v="Humanitarian Response Plan (HRP)"/>
  </r>
  <r>
    <x v="10"/>
    <s v="Ukraine"/>
    <x v="56"/>
    <x v="55"/>
    <x v="2"/>
    <n v="186900000"/>
    <x v="117"/>
    <s v="Humanitarian Response Plan (HRP)"/>
  </r>
  <r>
    <x v="10"/>
    <s v="Ukraine"/>
    <x v="56"/>
    <x v="55"/>
    <x v="3"/>
    <n v="3400000"/>
    <x v="117"/>
    <s v="Humanitarian Response Plan (HRP)"/>
  </r>
  <r>
    <x v="10"/>
    <s v="Ukraine"/>
    <x v="56"/>
    <x v="55"/>
    <x v="2"/>
    <n v="164400000"/>
    <x v="117"/>
    <s v="Humanitarian Response Plan (HRP)"/>
  </r>
  <r>
    <x v="10"/>
    <s v="Mozambique"/>
    <x v="31"/>
    <x v="31"/>
    <x v="1"/>
    <n v="291600000"/>
    <x v="59"/>
    <s v="Humanitarian Response Plan (HRP)"/>
  </r>
  <r>
    <x v="10"/>
    <s v="Haiti"/>
    <x v="19"/>
    <x v="19"/>
    <x v="2"/>
    <n v="252500000"/>
    <x v="36"/>
    <s v="Humanitarian Response Plan (HRP)"/>
  </r>
  <r>
    <x v="10"/>
    <s v="Mozambique"/>
    <x v="31"/>
    <x v="31"/>
    <x v="3"/>
    <n v="2600000"/>
    <x v="59"/>
    <s v="Humanitarian Response Plan (HRP)"/>
  </r>
  <r>
    <x v="10"/>
    <s v="Venezuela"/>
    <x v="58"/>
    <x v="57"/>
    <x v="2"/>
    <n v="222700000"/>
    <x v="119"/>
    <s v="Humanitarian Response Plan (HRP)"/>
  </r>
  <r>
    <x v="10"/>
    <s v="Mozambique Flash Appeal"/>
    <x v="31"/>
    <x v="31"/>
    <x v="3"/>
    <n v="7800000"/>
    <x v="61"/>
    <s v="Humanitarian Flash Appeal"/>
  </r>
  <r>
    <x v="10"/>
    <s v="Myanmar"/>
    <x v="35"/>
    <x v="35"/>
    <x v="1"/>
    <n v="172300000"/>
    <x v="66"/>
    <s v="Humanitarian Response Plan (HRP)"/>
  </r>
  <r>
    <x v="10"/>
    <s v="Myanmar"/>
    <x v="35"/>
    <x v="35"/>
    <x v="3"/>
    <n v="941000"/>
    <x v="66"/>
    <s v="Humanitarian Response Plan (HRP)"/>
  </r>
  <r>
    <x v="10"/>
    <s v="Venezuela Regional"/>
    <x v="58"/>
    <x v="57"/>
    <x v="2"/>
    <n v="737600000"/>
    <x v="120"/>
    <s v="Other"/>
  </r>
  <r>
    <x v="10"/>
    <s v="Haiti"/>
    <x v="19"/>
    <x v="19"/>
    <x v="2"/>
    <n v="235600000"/>
    <x v="36"/>
    <s v="Humanitarian response plan"/>
  </r>
  <r>
    <x v="10"/>
    <s v="Yemen"/>
    <x v="59"/>
    <x v="58"/>
    <x v="1"/>
    <n v="349400000"/>
    <x v="121"/>
    <m/>
  </r>
  <r>
    <x v="10"/>
    <s v="Sri Lanka Floods Flash Appeal (Revised)"/>
    <x v="25"/>
    <x v="25"/>
    <x v="1"/>
    <n v="26626535"/>
    <x v="122"/>
    <s v="Flash appeal"/>
  </r>
  <r>
    <x v="10"/>
    <s v="Yemen"/>
    <x v="59"/>
    <x v="58"/>
    <x v="2"/>
    <n v="596000000"/>
    <x v="121"/>
    <m/>
  </r>
  <r>
    <x v="10"/>
    <s v="Yemen"/>
    <x v="59"/>
    <x v="58"/>
    <x v="3"/>
    <n v="14700000"/>
    <x v="121"/>
    <m/>
  </r>
  <r>
    <x v="10"/>
    <s v="Yemen"/>
    <x v="59"/>
    <x v="58"/>
    <x v="1"/>
    <n v="781000000"/>
    <x v="121"/>
    <m/>
  </r>
  <r>
    <x v="10"/>
    <s v="Yemen"/>
    <x v="59"/>
    <x v="58"/>
    <x v="2"/>
    <n v="1600000000"/>
    <x v="121"/>
    <m/>
  </r>
  <r>
    <x v="10"/>
    <s v="Yemen"/>
    <x v="59"/>
    <x v="58"/>
    <x v="3"/>
    <n v="15900000"/>
    <x v="121"/>
    <m/>
  </r>
  <r>
    <x v="10"/>
    <s v="Yemen"/>
    <x v="59"/>
    <x v="58"/>
    <x v="1"/>
    <n v="935800000"/>
    <x v="121"/>
    <m/>
  </r>
  <r>
    <x v="10"/>
    <s v="Yemen"/>
    <x v="59"/>
    <x v="58"/>
    <x v="2"/>
    <n v="1600000000"/>
    <x v="121"/>
    <m/>
  </r>
  <r>
    <x v="10"/>
    <s v="Yemen"/>
    <x v="59"/>
    <x v="58"/>
    <x v="3"/>
    <n v="21200000"/>
    <x v="121"/>
    <m/>
  </r>
  <r>
    <x v="10"/>
    <s v="Yemen"/>
    <x v="59"/>
    <x v="58"/>
    <x v="1"/>
    <n v="1330000000"/>
    <x v="121"/>
    <s v="Humanitarian Response Plan (HRP)"/>
  </r>
  <r>
    <x v="10"/>
    <s v="Yemen"/>
    <x v="59"/>
    <x v="58"/>
    <x v="2"/>
    <n v="2340000000"/>
    <x v="121"/>
    <s v="Humanitarian Response Plan (HRP)"/>
  </r>
  <r>
    <x v="10"/>
    <s v="Zimbabwe"/>
    <x v="60"/>
    <x v="59"/>
    <x v="2"/>
    <n v="478399290"/>
    <x v="123"/>
    <s v="Consolidated Appeal Process (CAP)"/>
  </r>
  <r>
    <x v="10"/>
    <s v="Zimbabwe"/>
    <x v="60"/>
    <x v="59"/>
    <x v="1"/>
    <n v="226189188"/>
    <x v="123"/>
    <s v="Consolidated Appeal Process (CAP)"/>
  </r>
  <r>
    <x v="10"/>
    <s v="Yemen"/>
    <x v="59"/>
    <x v="58"/>
    <x v="3"/>
    <n v="18800000"/>
    <x v="121"/>
    <s v="Humanitarian Response Plan (HRP)"/>
  </r>
  <r>
    <x v="10"/>
    <s v="West Africa"/>
    <x v="61"/>
    <x v="60"/>
    <x v="1"/>
    <n v="286827637"/>
    <x v="124"/>
    <s v="Consolidated Appeal Process (CAP)"/>
  </r>
  <r>
    <x v="10"/>
    <s v="Zimbabwe"/>
    <x v="60"/>
    <x v="59"/>
    <x v="0"/>
    <n v="8000000"/>
    <x v="123"/>
    <s v="Consolidated Appeal Process (CAP)"/>
  </r>
  <r>
    <x v="10"/>
    <s v="Zimbabwe"/>
    <x v="60"/>
    <x v="59"/>
    <x v="1"/>
    <n v="142500000"/>
    <x v="123"/>
    <m/>
  </r>
  <r>
    <x v="10"/>
    <s v="Zimbabwe"/>
    <x v="60"/>
    <x v="59"/>
    <x v="2"/>
    <n v="352300000"/>
    <x v="123"/>
    <m/>
  </r>
  <r>
    <x v="10"/>
    <s v="Zimbabwe"/>
    <x v="60"/>
    <x v="59"/>
    <x v="3"/>
    <n v="4300000"/>
    <x v="123"/>
    <s v="Humanitarian Response Plan (HRP)"/>
  </r>
  <r>
    <x v="10"/>
    <s v="Myanmar"/>
    <x v="35"/>
    <x v="35"/>
    <x v="3"/>
    <n v="960000"/>
    <x v="66"/>
    <s v="Humanitarian Response Plan (HRP)"/>
  </r>
  <r>
    <x v="10"/>
    <s v="Zimbabwe"/>
    <x v="60"/>
    <x v="59"/>
    <x v="2"/>
    <n v="467900000"/>
    <x v="123"/>
    <s v="Flash appeal"/>
  </r>
  <r>
    <x v="10"/>
    <s v="Zimbabwe"/>
    <x v="60"/>
    <x v="59"/>
    <x v="1"/>
    <n v="206902892"/>
    <x v="123"/>
    <s v="Consolidated Appeal Process (CAP)"/>
  </r>
  <r>
    <x v="10"/>
    <s v="Zimbabwe"/>
    <x v="60"/>
    <x v="59"/>
    <x v="2"/>
    <n v="238444169"/>
    <x v="123"/>
    <s v="Consolidated Appeal Process (CAP)"/>
  </r>
  <r>
    <x v="10"/>
    <s v="Zimbabwe"/>
    <x v="60"/>
    <x v="59"/>
    <x v="0"/>
    <n v="4559084"/>
    <x v="123"/>
    <s v="Consolidated Appeal Process (CAP)"/>
  </r>
  <r>
    <x v="10"/>
    <s v="Zimbabwe"/>
    <x v="60"/>
    <x v="59"/>
    <x v="0"/>
    <n v="1700000"/>
    <x v="123"/>
    <s v="Other"/>
  </r>
  <r>
    <x v="10"/>
    <s v="Zimbabwe"/>
    <x v="60"/>
    <x v="59"/>
    <x v="1"/>
    <n v="76494116"/>
    <x v="123"/>
    <s v="Other"/>
  </r>
  <r>
    <x v="10"/>
    <s v="Zimbabwe"/>
    <x v="60"/>
    <x v="59"/>
    <x v="2"/>
    <n v="146971839"/>
    <x v="123"/>
    <s v="Other"/>
  </r>
  <r>
    <x v="10"/>
    <s v="Caribbean Regional Refugee Response Plan"/>
    <x v="62"/>
    <x v="60"/>
    <x v="1"/>
    <n v="4500000"/>
    <x v="125"/>
    <s v="Other"/>
  </r>
  <r>
    <x v="10"/>
    <s v="Caribbean Regional Refugee Response Plan"/>
    <x v="62"/>
    <x v="60"/>
    <x v="2"/>
    <n v="27100000"/>
    <x v="125"/>
    <s v="Other"/>
  </r>
  <r>
    <x v="10"/>
    <s v="Sahel"/>
    <x v="63"/>
    <x v="60"/>
    <x v="1"/>
    <n v="1200000"/>
    <x v="126"/>
    <m/>
  </r>
  <r>
    <x v="10"/>
    <s v="Sahel"/>
    <x v="63"/>
    <x v="60"/>
    <x v="2"/>
    <n v="4900000"/>
    <x v="126"/>
    <m/>
  </r>
  <r>
    <x v="10"/>
    <s v="Sahel Region"/>
    <x v="63"/>
    <x v="60"/>
    <x v="1"/>
    <n v="23300000"/>
    <x v="126"/>
    <m/>
  </r>
  <r>
    <x v="10"/>
    <s v="Sahel Region"/>
    <x v="63"/>
    <x v="60"/>
    <x v="2"/>
    <n v="49800000"/>
    <x v="126"/>
    <m/>
  </r>
  <r>
    <x v="10"/>
    <s v="Sahel Region"/>
    <x v="63"/>
    <x v="60"/>
    <x v="1"/>
    <n v="1600000"/>
    <x v="126"/>
    <m/>
  </r>
  <r>
    <x v="10"/>
    <s v="Sahel Region"/>
    <x v="63"/>
    <x v="60"/>
    <x v="2"/>
    <n v="10300000"/>
    <x v="126"/>
    <m/>
  </r>
  <r>
    <x v="10"/>
    <s v="Sahel Regional Plan"/>
    <x v="63"/>
    <x v="60"/>
    <x v="3"/>
    <n v="20200000"/>
    <x v="126"/>
    <m/>
  </r>
  <r>
    <x v="10"/>
    <s v="Sahel Regional Plan"/>
    <x v="63"/>
    <x v="60"/>
    <x v="3"/>
    <n v="20400000"/>
    <x v="126"/>
    <m/>
  </r>
  <r>
    <x v="5"/>
    <s v="West Africa"/>
    <x v="61"/>
    <x v="60"/>
    <x v="0"/>
    <n v="1534832"/>
    <x v="124"/>
    <s v="Consolidated Appeal Process (CAP)"/>
  </r>
  <r>
    <x v="5"/>
    <s v="Yemen"/>
    <x v="59"/>
    <x v="58"/>
    <x v="1"/>
    <n v="2290000000"/>
    <x v="121"/>
    <s v="Humanitarian Response Plan (HRP)"/>
  </r>
  <r>
    <x v="5"/>
    <s v="Zimbabwe"/>
    <x v="60"/>
    <x v="59"/>
    <x v="1"/>
    <n v="221723553"/>
    <x v="123"/>
    <s v="Consolidated Appeal Process (CAP)"/>
  </r>
  <r>
    <x v="5"/>
    <s v="Yemen"/>
    <x v="59"/>
    <x v="58"/>
    <x v="2"/>
    <n v="2960000000"/>
    <x v="121"/>
    <s v="Humanitarian Response Plan (HRP)"/>
  </r>
  <r>
    <x v="5"/>
    <s v="Yemen"/>
    <x v="59"/>
    <x v="58"/>
    <x v="3"/>
    <n v="22200000"/>
    <x v="121"/>
    <s v="Humanitarian Response Plan (HRP)"/>
  </r>
  <r>
    <x v="5"/>
    <s v="Niger"/>
    <x v="37"/>
    <x v="37"/>
    <x v="1"/>
    <n v="221700000"/>
    <x v="70"/>
    <s v="Humanitarian Response Plan (HRP)"/>
  </r>
  <r>
    <x v="5"/>
    <s v="Yemen"/>
    <x v="59"/>
    <x v="58"/>
    <x v="2"/>
    <n v="4190000000.0000005"/>
    <x v="121"/>
    <s v="Humanitarian Response Plan (HRP)"/>
  </r>
  <r>
    <x v="5"/>
    <s v="Iraq"/>
    <x v="24"/>
    <x v="24"/>
    <x v="2"/>
    <n v="520000000"/>
    <x v="44"/>
    <s v="Humanitarian Response Plan (HRP)"/>
  </r>
  <r>
    <x v="5"/>
    <s v="Niger"/>
    <x v="37"/>
    <x v="37"/>
    <x v="3"/>
    <n v="2300000"/>
    <x v="70"/>
    <s v="Humanitarian Response Plan (HRP)"/>
  </r>
  <r>
    <x v="5"/>
    <s v="Niger"/>
    <x v="37"/>
    <x v="37"/>
    <x v="3"/>
    <n v="3700000"/>
    <x v="70"/>
    <s v="Humanitarian Response Plan (HRP)"/>
  </r>
  <r>
    <x v="5"/>
    <s v="El Salvador Flash Appeal"/>
    <x v="40"/>
    <x v="40"/>
    <x v="2"/>
    <n v="14781209"/>
    <x v="74"/>
    <s v="Flash appeal"/>
  </r>
  <r>
    <x v="5"/>
    <s v="Yemen Humanitarian Response Plan"/>
    <x v="59"/>
    <x v="58"/>
    <x v="2"/>
    <n v="186121370"/>
    <x v="127"/>
    <s v="Consolidated Appeal Process (CAP)"/>
  </r>
  <r>
    <x v="5"/>
    <s v="Yemen Humanitarian Response Plan"/>
    <x v="59"/>
    <x v="58"/>
    <x v="1"/>
    <n v="121373288"/>
    <x v="127"/>
    <s v="Consolidated Appeal Process (CAP)"/>
  </r>
  <r>
    <x v="5"/>
    <s v="Nicaragua Flash Appeal"/>
    <x v="44"/>
    <x v="43"/>
    <x v="2"/>
    <n v="14840854"/>
    <x v="81"/>
    <s v="Flash appeal"/>
  </r>
  <r>
    <x v="5"/>
    <s v="Yemen Humanitarian Response Plan"/>
    <x v="59"/>
    <x v="58"/>
    <x v="0"/>
    <n v="3861100"/>
    <x v="127"/>
    <s v="Consolidated Appeal Process (CAP)"/>
  </r>
  <r>
    <x v="5"/>
    <s v="Yemen Humanitarian Response Plan"/>
    <x v="59"/>
    <x v="58"/>
    <x v="1"/>
    <n v="395844880"/>
    <x v="127"/>
    <s v="Consolidated Appeal Process (CAP)"/>
  </r>
  <r>
    <x v="5"/>
    <s v="Yemen Humanitarian Response Plan"/>
    <x v="59"/>
    <x v="58"/>
    <x v="2"/>
    <n v="705769562"/>
    <x v="127"/>
    <s v="Consolidated Appeal Process (CAP)"/>
  </r>
  <r>
    <x v="5"/>
    <s v="Yemen Humanitarian Response Plan"/>
    <x v="59"/>
    <x v="58"/>
    <x v="1"/>
    <n v="326374446"/>
    <x v="127"/>
    <s v="Consolidated Appeal Process (CAP)"/>
  </r>
  <r>
    <x v="5"/>
    <s v="Yemen Humanitarian Response Plan"/>
    <x v="59"/>
    <x v="58"/>
    <x v="2"/>
    <n v="585602868"/>
    <x v="127"/>
    <s v="Consolidated Appeal Process (CAP)"/>
  </r>
  <r>
    <x v="5"/>
    <s v="Yemen Humanitarian Response Plan"/>
    <x v="59"/>
    <x v="58"/>
    <x v="0"/>
    <n v="6055575"/>
    <x v="127"/>
    <s v="Consolidated Appeal Process (CAP)"/>
  </r>
  <r>
    <x v="5"/>
    <s v="Sri Lanka Floods Flash Appeal (Revised)"/>
    <x v="25"/>
    <x v="25"/>
    <x v="2"/>
    <n v="46358480"/>
    <x v="122"/>
    <s v="Flash appeal"/>
  </r>
  <r>
    <x v="5"/>
    <s v="Yemen Humanitarian Response Plan"/>
    <x v="59"/>
    <x v="58"/>
    <x v="0"/>
    <n v="7700000"/>
    <x v="127"/>
    <s v="Consolidated Appeal Process (CAP)"/>
  </r>
  <r>
    <x v="5"/>
    <s v="West Africa"/>
    <x v="61"/>
    <x v="60"/>
    <x v="2"/>
    <n v="712179158"/>
    <x v="124"/>
    <s v="Consolidated Appeal Process (CAP)"/>
  </r>
  <r>
    <x v="5"/>
    <s v="Yemen Regional Refugee Response Plan"/>
    <x v="59"/>
    <x v="58"/>
    <x v="1"/>
    <n v="30300000"/>
    <x v="128"/>
    <m/>
  </r>
  <r>
    <x v="5"/>
    <s v="Zimbabwe"/>
    <x v="60"/>
    <x v="59"/>
    <x v="2"/>
    <n v="478582358"/>
    <x v="123"/>
    <s v="Consolidated Appeal Process (CAP)"/>
  </r>
  <r>
    <x v="5"/>
    <s v="Yemen Regional Refugee Response Plan"/>
    <x v="59"/>
    <x v="58"/>
    <x v="2"/>
    <n v="94100000"/>
    <x v="128"/>
    <m/>
  </r>
  <r>
    <x v="5"/>
    <s v="Yemen Regional Refugee Response Plan"/>
    <x v="59"/>
    <x v="58"/>
    <x v="3"/>
    <n v="163980"/>
    <x v="128"/>
    <m/>
  </r>
  <r>
    <x v="5"/>
    <s v="Sri Lanka Joint Plan of Assistance to the Northern Province (JPA)"/>
    <x v="25"/>
    <x v="25"/>
    <x v="2"/>
    <n v="289746771"/>
    <x v="46"/>
    <s v="Other"/>
  </r>
  <r>
    <x v="5"/>
    <s v="Yemen Humanitarian Response Plan"/>
    <x v="59"/>
    <x v="58"/>
    <x v="1"/>
    <n v="194389288"/>
    <x v="127"/>
    <s v="Consolidated Appeal Process (CAP)"/>
  </r>
  <r>
    <x v="5"/>
    <s v="Yemen Humanitarian Response Plan"/>
    <x v="59"/>
    <x v="58"/>
    <x v="2"/>
    <n v="292309700"/>
    <x v="127"/>
    <s v="Consolidated Appeal Process (CAP)"/>
  </r>
  <r>
    <x v="5"/>
    <s v="Sri Lanka Joint Plan of Assistance to the Northern Province (JPA)"/>
    <x v="25"/>
    <x v="25"/>
    <x v="1"/>
    <n v="99533300"/>
    <x v="46"/>
    <s v="Other"/>
  </r>
  <r>
    <x v="5"/>
    <s v="Nigeria"/>
    <x v="41"/>
    <x v="41"/>
    <x v="1"/>
    <n v="504500000"/>
    <x v="75"/>
    <s v="Humanitarian Response Plan (HRP)"/>
  </r>
  <r>
    <x v="5"/>
    <s v="Iraq"/>
    <x v="24"/>
    <x v="24"/>
    <x v="2"/>
    <n v="0"/>
    <x v="44"/>
    <s v="Humanitarian response plan"/>
  </r>
  <r>
    <x v="5"/>
    <s v="Nigeria"/>
    <x v="41"/>
    <x v="41"/>
    <x v="3"/>
    <n v="7100000"/>
    <x v="75"/>
    <s v="Humanitarian Response Plan (HRP)"/>
  </r>
  <r>
    <x v="5"/>
    <s v="Nigeria"/>
    <x v="41"/>
    <x v="41"/>
    <x v="3"/>
    <n v="10600000"/>
    <x v="75"/>
    <s v="Humanitarian Response Plan (HRP)"/>
  </r>
  <r>
    <x v="5"/>
    <s v="occupied Palestinian territory"/>
    <x v="43"/>
    <x v="42"/>
    <x v="1"/>
    <n v="202600000"/>
    <x v="80"/>
    <s v="Humanitarian Response Plan (HRP)"/>
  </r>
  <r>
    <x v="5"/>
    <s v="occupied Palestinian territory"/>
    <x v="43"/>
    <x v="42"/>
    <x v="3"/>
    <n v="2500000"/>
    <x v="80"/>
    <s v="Humanitarian Response Plan (HRP)"/>
  </r>
  <r>
    <x v="5"/>
    <s v="occupied Palestinian territory"/>
    <x v="43"/>
    <x v="42"/>
    <x v="3"/>
    <n v="2400000"/>
    <x v="80"/>
    <s v="Humanitarian Response Plan (HRP)"/>
  </r>
  <r>
    <x v="5"/>
    <s v="Pakistan"/>
    <x v="45"/>
    <x v="44"/>
    <x v="3"/>
    <n v="6710000"/>
    <x v="82"/>
    <s v="COVID-19"/>
  </r>
  <r>
    <x v="5"/>
    <s v="Philippines"/>
    <x v="46"/>
    <x v="45"/>
    <x v="3"/>
    <n v="39000000"/>
    <x v="87"/>
    <s v="COVID-19"/>
  </r>
  <r>
    <x v="5"/>
    <s v="Republic of Congo (Intersectoral)"/>
    <x v="47"/>
    <x v="46"/>
    <x v="3"/>
    <n v="1700000"/>
    <x v="129"/>
    <s v="COVID-19 (Intersectoral)"/>
  </r>
  <r>
    <x v="5"/>
    <s v="Libya"/>
    <x v="29"/>
    <x v="29"/>
    <x v="2"/>
    <n v="110000000"/>
    <x v="54"/>
    <s v="Humanitarian Response Plan (HRP)"/>
  </r>
  <r>
    <x v="5"/>
    <s v="Somalia"/>
    <x v="49"/>
    <x v="48"/>
    <x v="1"/>
    <n v="812300000"/>
    <x v="94"/>
    <s v="Humanitarian Response Plan (HRP)"/>
  </r>
  <r>
    <x v="5"/>
    <s v="Somalia"/>
    <x v="49"/>
    <x v="48"/>
    <x v="3"/>
    <n v="4200000"/>
    <x v="94"/>
    <s v="Humanitarian Response Plan (HRP)"/>
  </r>
  <r>
    <x v="5"/>
    <s v="Somalia"/>
    <x v="49"/>
    <x v="48"/>
    <x v="3"/>
    <n v="5200000"/>
    <x v="94"/>
    <s v="Humanitarian Response Plan (HRP)"/>
  </r>
  <r>
    <x v="5"/>
    <s v="South Sudan"/>
    <x v="50"/>
    <x v="49"/>
    <x v="1"/>
    <n v="1010000000"/>
    <x v="96"/>
    <s v="Humanitarian Response Plan (HRP)"/>
  </r>
  <r>
    <x v="5"/>
    <s v="Libya"/>
    <x v="29"/>
    <x v="29"/>
    <x v="2"/>
    <n v="0"/>
    <x v="54"/>
    <s v="Humanitarian response plan"/>
  </r>
  <r>
    <x v="5"/>
    <s v="South Sudan Regional Refugee Response Plan"/>
    <x v="50"/>
    <x v="49"/>
    <x v="1"/>
    <n v="348200000"/>
    <x v="101"/>
    <s v="Refugee Response Plan"/>
  </r>
  <r>
    <x v="5"/>
    <s v="Mali"/>
    <x v="33"/>
    <x v="33"/>
    <x v="2"/>
    <n v="365600000"/>
    <x v="63"/>
    <s v="Humanitarian Response Plan (HRP)"/>
  </r>
  <r>
    <x v="5"/>
    <s v="South Sudan"/>
    <x v="50"/>
    <x v="49"/>
    <x v="3"/>
    <n v="7200000"/>
    <x v="96"/>
    <s v="Humanitarian Response Plan (HRP)"/>
  </r>
  <r>
    <x v="5"/>
    <s v="Mali"/>
    <x v="33"/>
    <x v="33"/>
    <x v="2"/>
    <n v="498000000"/>
    <x v="63"/>
    <s v="Humanitarian response plan"/>
  </r>
  <r>
    <x v="5"/>
    <s v="South Sudan Regional Refugee Response Plan"/>
    <x v="50"/>
    <x v="49"/>
    <x v="3"/>
    <n v="1500000"/>
    <x v="101"/>
    <s v="Regional Response Plan"/>
  </r>
  <r>
    <x v="5"/>
    <s v="Mozambique"/>
    <x v="31"/>
    <x v="31"/>
    <x v="2"/>
    <n v="254400000"/>
    <x v="59"/>
    <s v="Humanitarian response plan"/>
  </r>
  <r>
    <x v="5"/>
    <s v="South Sudan"/>
    <x v="50"/>
    <x v="49"/>
    <x v="3"/>
    <n v="7500000"/>
    <x v="96"/>
    <s v="Humanitarian Response Plan (HRP)"/>
  </r>
  <r>
    <x v="5"/>
    <s v="Myanmar"/>
    <x v="35"/>
    <x v="35"/>
    <x v="2"/>
    <n v="215000000"/>
    <x v="66"/>
    <s v="Humanitarian Response Plan (HRP)"/>
  </r>
  <r>
    <x v="5"/>
    <s v="South Sudan RRP"/>
    <x v="50"/>
    <x v="49"/>
    <x v="3"/>
    <n v="1220000"/>
    <x v="130"/>
    <s v="Regional Response Plan"/>
  </r>
  <r>
    <x v="5"/>
    <s v="Myanmar"/>
    <x v="35"/>
    <x v="35"/>
    <x v="2"/>
    <n v="276455940"/>
    <x v="66"/>
    <s v="Humanitarian response plan"/>
  </r>
  <r>
    <x v="5"/>
    <s v="Niger"/>
    <x v="37"/>
    <x v="37"/>
    <x v="2"/>
    <n v="373500000"/>
    <x v="70"/>
    <s v="Humanitarian Response Plan (HRP)"/>
  </r>
  <r>
    <x v="5"/>
    <s v="Sudan"/>
    <x v="53"/>
    <x v="52"/>
    <x v="1"/>
    <n v="582000000"/>
    <x v="107"/>
    <s v="Humanitarian Response Plan (HRP)"/>
  </r>
  <r>
    <x v="5"/>
    <s v="Niger"/>
    <x v="37"/>
    <x v="37"/>
    <x v="2"/>
    <n v="500000000"/>
    <x v="70"/>
    <s v="Humanitarian response plan"/>
  </r>
  <r>
    <x v="5"/>
    <s v="Sudan"/>
    <x v="53"/>
    <x v="52"/>
    <x v="3"/>
    <n v="5700000"/>
    <x v="107"/>
    <s v="Humanitarian Response Plan (HRP)"/>
  </r>
  <r>
    <x v="5"/>
    <s v="Nigeria"/>
    <x v="41"/>
    <x v="41"/>
    <x v="2"/>
    <n v="789000000"/>
    <x v="75"/>
    <s v="Humanitarian Response Plan (HRP)"/>
  </r>
  <r>
    <x v="5"/>
    <s v="Sudan"/>
    <x v="53"/>
    <x v="52"/>
    <x v="3"/>
    <n v="12200000"/>
    <x v="107"/>
    <s v="Humanitarian Response Plan (HRP)"/>
  </r>
  <r>
    <x v="5"/>
    <s v="Nigeria"/>
    <x v="41"/>
    <x v="41"/>
    <x v="2"/>
    <n v="0"/>
    <x v="75"/>
    <s v="Humanitarian response plan"/>
  </r>
  <r>
    <x v="5"/>
    <s v="occupied Palestinian territory"/>
    <x v="43"/>
    <x v="42"/>
    <x v="2"/>
    <n v="348000000"/>
    <x v="80"/>
    <s v="Humanitarian Response Plan (HRP)"/>
  </r>
  <r>
    <x v="5"/>
    <s v="Syria"/>
    <x v="54"/>
    <x v="53"/>
    <x v="1"/>
    <n v="1730000000"/>
    <x v="108"/>
    <s v="Humanitarian Response Plan (HRP)"/>
  </r>
  <r>
    <x v="5"/>
    <s v="Syria Regional"/>
    <x v="54"/>
    <x v="53"/>
    <x v="1"/>
    <n v="2009999999.9999998"/>
    <x v="111"/>
    <s v="Refugee Response Plan"/>
  </r>
  <r>
    <x v="5"/>
    <s v="occupied Palestinian territory"/>
    <x v="43"/>
    <x v="42"/>
    <x v="2"/>
    <n v="417567330"/>
    <x v="80"/>
    <s v="Humanitarian response plan"/>
  </r>
  <r>
    <x v="5"/>
    <s v="Syria"/>
    <x v="54"/>
    <x v="53"/>
    <x v="3"/>
    <n v="11700000"/>
    <x v="108"/>
    <s v="Humanitarian Response Plan (HRP)"/>
  </r>
  <r>
    <x v="5"/>
    <s v="Pakistan"/>
    <x v="45"/>
    <x v="44"/>
    <x v="2"/>
    <n v="0"/>
    <x v="82"/>
    <s v="Humanitarian response plan"/>
  </r>
  <r>
    <x v="5"/>
    <s v="Syria Regional"/>
    <x v="54"/>
    <x v="53"/>
    <x v="3"/>
    <n v="5600000"/>
    <x v="111"/>
    <s v="Regional Response Plan"/>
  </r>
  <r>
    <x v="5"/>
    <s v="Syria"/>
    <x v="54"/>
    <x v="53"/>
    <x v="3"/>
    <n v="11100000"/>
    <x v="108"/>
    <s v="Humanitarian Response Plan (HRP)"/>
  </r>
  <r>
    <x v="5"/>
    <s v="Rohingyas (JRP)"/>
    <x v="35"/>
    <x v="60"/>
    <x v="2"/>
    <n v="0"/>
    <x v="131"/>
    <s v="Regional Response Plan"/>
  </r>
  <r>
    <x v="5"/>
    <s v="Somalia"/>
    <x v="49"/>
    <x v="48"/>
    <x v="2"/>
    <n v="1030000000"/>
    <x v="94"/>
    <s v="Humanitarian Response Plan (HRP)"/>
  </r>
  <r>
    <x v="5"/>
    <s v="Syria 3RP"/>
    <x v="54"/>
    <x v="53"/>
    <x v="3"/>
    <n v="10000000"/>
    <x v="132"/>
    <s v="Regional Response Plan"/>
  </r>
  <r>
    <x v="5"/>
    <s v="Somalia"/>
    <x v="49"/>
    <x v="48"/>
    <x v="2"/>
    <n v="0"/>
    <x v="94"/>
    <s v="Humanitarian response plan"/>
  </r>
  <r>
    <x v="5"/>
    <s v="South Sudan"/>
    <x v="50"/>
    <x v="49"/>
    <x v="2"/>
    <n v="1540000000"/>
    <x v="96"/>
    <s v="Humanitarian Response Plan (HRP)"/>
  </r>
  <r>
    <x v="5"/>
    <s v="Tanzania (Intersectoral)"/>
    <x v="64"/>
    <x v="61"/>
    <x v="3"/>
    <n v="11100000"/>
    <x v="133"/>
    <s v="COVID-19 (Intersectoral)"/>
  </r>
  <r>
    <x v="5"/>
    <s v="South Sudan"/>
    <x v="50"/>
    <x v="49"/>
    <x v="2"/>
    <n v="1500000000"/>
    <x v="96"/>
    <s v="Humanitarian response plan"/>
  </r>
  <r>
    <x v="5"/>
    <s v="Togo"/>
    <x v="65"/>
    <x v="62"/>
    <x v="3"/>
    <n v="3500000"/>
    <x v="134"/>
    <s v="COVID-19"/>
  </r>
  <r>
    <x v="5"/>
    <s v="Uganda (Intersectoral)"/>
    <x v="55"/>
    <x v="54"/>
    <x v="3"/>
    <n v="13570000"/>
    <x v="135"/>
    <s v="COVID-19 (Intersectoral)"/>
  </r>
  <r>
    <x v="11"/>
    <s v="South Sudan (RRP)"/>
    <x v="50"/>
    <x v="49"/>
    <x v="2"/>
    <n v="868677970"/>
    <x v="96"/>
    <s v="Regional Response Plan"/>
  </r>
  <r>
    <x v="11"/>
    <s v="South Sudan Regional Refugee Response Plan"/>
    <x v="50"/>
    <x v="49"/>
    <x v="2"/>
    <n v="951000000"/>
    <x v="101"/>
    <s v="Refugee Response Plan"/>
  </r>
  <r>
    <x v="11"/>
    <s v="Ukraine"/>
    <x v="56"/>
    <x v="55"/>
    <x v="1"/>
    <n v="81100000"/>
    <x v="117"/>
    <s v="Humanitarian Response Plan (HRP)"/>
  </r>
  <r>
    <x v="11"/>
    <s v="Sudan"/>
    <x v="53"/>
    <x v="52"/>
    <x v="2"/>
    <n v="1400000000"/>
    <x v="107"/>
    <s v="Humanitarian Response Plan (HRP)"/>
  </r>
  <r>
    <x v="11"/>
    <s v="Ukraine"/>
    <x v="56"/>
    <x v="55"/>
    <x v="3"/>
    <n v="3500000"/>
    <x v="117"/>
    <s v="Humanitarian Response Plan (HRP)"/>
  </r>
  <r>
    <x v="11"/>
    <s v="Ukraine"/>
    <x v="56"/>
    <x v="55"/>
    <x v="3"/>
    <n v="3400000"/>
    <x v="117"/>
    <s v="Humanitarian Response Plan (HRP)"/>
  </r>
  <r>
    <x v="11"/>
    <s v="Sudan"/>
    <x v="53"/>
    <x v="52"/>
    <x v="2"/>
    <n v="0"/>
    <x v="107"/>
    <s v="Humanitarian response plan"/>
  </r>
  <r>
    <x v="11"/>
    <s v="Syria"/>
    <x v="54"/>
    <x v="53"/>
    <x v="2"/>
    <n v="3300000000"/>
    <x v="108"/>
    <s v="Humanitarian Response Plan (HRP)"/>
  </r>
  <r>
    <x v="11"/>
    <s v="Venezuela"/>
    <x v="58"/>
    <x v="57"/>
    <x v="1"/>
    <n v="55500000"/>
    <x v="119"/>
    <s v="Humanitarian Response Plan (HRP)"/>
  </r>
  <r>
    <x v="11"/>
    <s v="Syria"/>
    <x v="54"/>
    <x v="53"/>
    <x v="2"/>
    <n v="4200000000"/>
    <x v="108"/>
    <s v="Humanitarian response plan"/>
  </r>
  <r>
    <x v="11"/>
    <s v="Venezuela Regional"/>
    <x v="58"/>
    <x v="57"/>
    <x v="1"/>
    <n v="382600000"/>
    <x v="120"/>
    <s v="Other"/>
  </r>
  <r>
    <x v="11"/>
    <s v="Venezuela"/>
    <x v="58"/>
    <x v="57"/>
    <x v="3"/>
    <n v="7000000"/>
    <x v="119"/>
    <s v="Humanitarian Response Plan (HRP)"/>
  </r>
  <r>
    <x v="11"/>
    <s v="Syria Refugee Response and Resilience Plan (3RP)"/>
    <x v="66"/>
    <x v="53"/>
    <x v="2"/>
    <n v="5841000000"/>
    <x v="136"/>
    <s v="Regional Response Plan"/>
  </r>
  <r>
    <x v="11"/>
    <s v="Syria Regional"/>
    <x v="54"/>
    <x v="53"/>
    <x v="2"/>
    <n v="5200000000"/>
    <x v="111"/>
    <s v="Refugee Response Plan"/>
  </r>
  <r>
    <x v="11"/>
    <s v="Venezuela Regional"/>
    <x v="58"/>
    <x v="57"/>
    <x v="3"/>
    <n v="3600000"/>
    <x v="120"/>
    <s v="Other"/>
  </r>
  <r>
    <x v="11"/>
    <s v="The Horn of Africa and Yemen (MRP)"/>
    <x v="67"/>
    <x v="60"/>
    <x v="2"/>
    <n v="68193940"/>
    <x v="137"/>
    <s v="Regional Response Plan"/>
  </r>
  <r>
    <x v="11"/>
    <s v="Venezuela"/>
    <x v="58"/>
    <x v="57"/>
    <x v="3"/>
    <n v="7000000"/>
    <x v="119"/>
    <s v="Humanitarian Response Plan (HRP)"/>
  </r>
  <r>
    <x v="11"/>
    <s v="Ukraine"/>
    <x v="56"/>
    <x v="55"/>
    <x v="2"/>
    <n v="157800000"/>
    <x v="117"/>
    <s v="Humanitarian Response Plan (HRP)"/>
  </r>
  <r>
    <x v="11"/>
    <s v="Venezuela RMRP"/>
    <x v="58"/>
    <x v="57"/>
    <x v="3"/>
    <n v="6100000"/>
    <x v="138"/>
    <s v="Regional Response Plan"/>
  </r>
  <r>
    <x v="11"/>
    <s v="Ukraine"/>
    <x v="56"/>
    <x v="55"/>
    <x v="2"/>
    <n v="0"/>
    <x v="117"/>
    <s v="Humanitarian response plan"/>
  </r>
  <r>
    <x v="11"/>
    <s v="Venezuela"/>
    <x v="58"/>
    <x v="57"/>
    <x v="2"/>
    <n v="750000000"/>
    <x v="119"/>
    <s v="Humanitarian Response Plan (HRP)"/>
  </r>
  <r>
    <x v="11"/>
    <s v="Yemen"/>
    <x v="59"/>
    <x v="58"/>
    <x v="1"/>
    <n v="2970000000"/>
    <x v="121"/>
    <s v="Humanitarian Response Plan (HRP)"/>
  </r>
  <r>
    <x v="11"/>
    <s v="Yemen"/>
    <x v="59"/>
    <x v="58"/>
    <x v="3"/>
    <n v="24100000"/>
    <x v="121"/>
    <s v="Humanitarian Response Plan (HRP)"/>
  </r>
  <r>
    <x v="11"/>
    <s v="Venezuela"/>
    <x v="58"/>
    <x v="57"/>
    <x v="2"/>
    <n v="762500000"/>
    <x v="119"/>
    <s v="Humanitarian response plan"/>
  </r>
  <r>
    <x v="11"/>
    <s v="Yemen"/>
    <x v="59"/>
    <x v="58"/>
    <x v="3"/>
    <n v="24300000"/>
    <x v="121"/>
    <s v="Humanitarian Response Plan (HRP)"/>
  </r>
  <r>
    <x v="11"/>
    <s v="Venezuela (RMRP)"/>
    <x v="58"/>
    <x v="57"/>
    <x v="2"/>
    <n v="1436993560"/>
    <x v="119"/>
    <s v="Regional Response Plan"/>
  </r>
  <r>
    <x v="11"/>
    <s v="Venezuela Regional"/>
    <x v="58"/>
    <x v="57"/>
    <x v="2"/>
    <n v="1350000000"/>
    <x v="120"/>
    <s v="Other"/>
  </r>
  <r>
    <x v="11"/>
    <s v="Yemen"/>
    <x v="59"/>
    <x v="58"/>
    <x v="2"/>
    <n v="3200000000"/>
    <x v="121"/>
    <s v="Humanitarian Response Plan (HRP)"/>
  </r>
  <r>
    <x v="11"/>
    <s v="Zambia (Intersectoral)"/>
    <x v="68"/>
    <x v="63"/>
    <x v="3"/>
    <n v="9790000"/>
    <x v="139"/>
    <s v="COVID-19 (Intersectoral)"/>
  </r>
  <r>
    <x v="11"/>
    <s v="Yemen"/>
    <x v="59"/>
    <x v="58"/>
    <x v="2"/>
    <n v="0"/>
    <x v="121"/>
    <s v="Humanitarian response plan"/>
  </r>
  <r>
    <x v="11"/>
    <s v="Zimbabwe"/>
    <x v="60"/>
    <x v="59"/>
    <x v="1"/>
    <n v="233300000"/>
    <x v="123"/>
    <s v="Flash appeal"/>
  </r>
  <r>
    <x v="11"/>
    <s v="Zimbabwe"/>
    <x v="60"/>
    <x v="59"/>
    <x v="3"/>
    <n v="5300000"/>
    <x v="123"/>
    <s v="Humanitarian Flash Appeal"/>
  </r>
  <r>
    <x v="11"/>
    <s v="Zimbabwe"/>
    <x v="60"/>
    <x v="59"/>
    <x v="3"/>
    <n v="7500000"/>
    <x v="123"/>
    <s v="Humanitarian Response Plan (HRP)"/>
  </r>
  <r>
    <x v="11"/>
    <s v="Zimbabwe"/>
    <x v="60"/>
    <x v="59"/>
    <x v="2"/>
    <n v="0"/>
    <x v="123"/>
    <s v="Humanitarian response plan"/>
  </r>
  <r>
    <x v="11"/>
    <s v="Burkina Faso"/>
    <x v="2"/>
    <x v="2"/>
    <x v="3"/>
    <n v="3533773"/>
    <x v="4"/>
    <s v="Humanitarian Response Plan (HRP)"/>
  </r>
  <r>
    <x v="11"/>
    <s v="Burundi"/>
    <x v="3"/>
    <x v="3"/>
    <x v="3"/>
    <n v="2255830"/>
    <x v="7"/>
    <s v="Humanitarian Response Plan (HRP)"/>
  </r>
  <r>
    <x v="11"/>
    <s v="Cameroon"/>
    <x v="5"/>
    <x v="5"/>
    <x v="3"/>
    <n v="4406243"/>
    <x v="11"/>
    <s v="Humanitarian Response Plan (HRP)"/>
  </r>
  <r>
    <x v="11"/>
    <s v="Central African Republic"/>
    <x v="6"/>
    <x v="6"/>
    <x v="3"/>
    <n v="2800000"/>
    <x v="13"/>
    <s v="Humanitarian Response Plan (HRP)"/>
  </r>
  <r>
    <x v="11"/>
    <s v="Chad"/>
    <x v="7"/>
    <x v="7"/>
    <x v="3"/>
    <n v="5496653"/>
    <x v="15"/>
    <s v="Humanitarian Response Plan (HRP)"/>
  </r>
  <r>
    <x v="11"/>
    <s v="Colombia"/>
    <x v="18"/>
    <x v="18"/>
    <x v="3"/>
    <n v="6731041"/>
    <x v="35"/>
    <s v="Humanitarian Response Plan (HRP)"/>
  </r>
  <r>
    <x v="11"/>
    <s v="Democratic Republic of Congo"/>
    <x v="42"/>
    <x v="11"/>
    <x v="3"/>
    <n v="19616782"/>
    <x v="76"/>
    <s v="Humanitarian Response Plan (HRP)"/>
  </r>
  <r>
    <x v="11"/>
    <s v="Haiti"/>
    <x v="19"/>
    <x v="19"/>
    <x v="3"/>
    <n v="4400000"/>
    <x v="36"/>
    <s v="Humanitarian Response Plan (HRP)"/>
  </r>
  <r>
    <x v="11"/>
    <s v="Iraq"/>
    <x v="24"/>
    <x v="24"/>
    <x v="3"/>
    <n v="4100000"/>
    <x v="44"/>
    <s v="Humanitarian Response Plan (HRP)"/>
  </r>
  <r>
    <x v="11"/>
    <s v="Libya"/>
    <x v="29"/>
    <x v="29"/>
    <x v="3"/>
    <n v="1250662"/>
    <x v="54"/>
    <s v="Humanitarian Response Plan (HRP)"/>
  </r>
  <r>
    <x v="11"/>
    <s v="Mali"/>
    <x v="33"/>
    <x v="33"/>
    <x v="3"/>
    <n v="5917269"/>
    <x v="63"/>
    <s v="Humanitarian Response Plan (HRP)"/>
  </r>
  <r>
    <x v="11"/>
    <s v="Mozambique"/>
    <x v="31"/>
    <x v="31"/>
    <x v="3"/>
    <n v="1326777"/>
    <x v="59"/>
    <s v="Humanitarian Response Plan (HRP)"/>
  </r>
  <r>
    <x v="11"/>
    <s v="Myanmar"/>
    <x v="35"/>
    <x v="35"/>
    <x v="3"/>
    <n v="1035782"/>
    <x v="66"/>
    <s v="Humanitarian Response Plan (HRP)"/>
  </r>
  <r>
    <x v="11"/>
    <s v="Niger"/>
    <x v="37"/>
    <x v="37"/>
    <x v="3"/>
    <n v="3821659"/>
    <x v="70"/>
    <s v="Humanitarian Response Plan (HRP)"/>
  </r>
  <r>
    <x v="11"/>
    <s v="Nigeria"/>
    <x v="41"/>
    <x v="41"/>
    <x v="3"/>
    <n v="8700000"/>
    <x v="75"/>
    <s v="Humanitarian Response Plan (HRP)"/>
  </r>
  <r>
    <x v="11"/>
    <s v="occupied Palestinian territory"/>
    <x v="43"/>
    <x v="42"/>
    <x v="3"/>
    <n v="2400000"/>
    <x v="80"/>
    <s v="Humanitarian Response Plan (HRP)"/>
  </r>
  <r>
    <x v="11"/>
    <s v="Pakistan"/>
    <x v="45"/>
    <x v="44"/>
    <x v="3"/>
    <n v="11000000"/>
    <x v="82"/>
    <s v="Humanitarian Response Plan (HRP)"/>
  </r>
  <r>
    <x v="11"/>
    <s v="Somalia"/>
    <x v="49"/>
    <x v="48"/>
    <x v="3"/>
    <n v="5932722"/>
    <x v="94"/>
    <s v="Humanitarian Response Plan (HRP)"/>
  </r>
  <r>
    <x v="11"/>
    <s v="South Sudan"/>
    <x v="50"/>
    <x v="49"/>
    <x v="3"/>
    <n v="8310533"/>
    <x v="96"/>
    <s v="Humanitarian Response Plan (HRP)"/>
  </r>
  <r>
    <x v="11"/>
    <s v="Sudan"/>
    <x v="53"/>
    <x v="52"/>
    <x v="3"/>
    <n v="13446501"/>
    <x v="107"/>
    <s v="Humanitarian Response Plan (HRP)"/>
  </r>
  <r>
    <x v="11"/>
    <s v="Syria"/>
    <x v="54"/>
    <x v="53"/>
    <x v="3"/>
    <n v="13000000"/>
    <x v="108"/>
    <s v="Humanitarian Response Plan (HRP)"/>
  </r>
  <r>
    <x v="11"/>
    <s v="Ukraine"/>
    <x v="56"/>
    <x v="55"/>
    <x v="3"/>
    <n v="3400000"/>
    <x v="117"/>
    <s v="Humanitarian Response Plan (HRP)"/>
  </r>
  <r>
    <x v="11"/>
    <s v="Venezuela"/>
    <x v="58"/>
    <x v="57"/>
    <x v="3"/>
    <n v="7000000"/>
    <x v="119"/>
    <s v="Humanitarian Response Plan (HRP)"/>
  </r>
  <r>
    <x v="11"/>
    <s v="Yemen"/>
    <x v="59"/>
    <x v="58"/>
    <x v="3"/>
    <n v="20700000"/>
    <x v="121"/>
    <s v="Humanitarian Response Plan (HRP)"/>
  </r>
  <r>
    <x v="11"/>
    <s v="Zimbabwe"/>
    <x v="60"/>
    <x v="59"/>
    <x v="3"/>
    <n v="6800000"/>
    <x v="123"/>
    <s v="Humanitarian Response Plan (HRP)"/>
  </r>
  <r>
    <x v="11"/>
    <s v="Honduras Flash Appeal"/>
    <x v="15"/>
    <x v="15"/>
    <x v="3"/>
    <n v="2300000"/>
    <x v="140"/>
    <s v="Flash Appeal (FA)"/>
  </r>
  <r>
    <x v="11"/>
    <s v="Madagascar Flash Appeal"/>
    <x v="27"/>
    <x v="27"/>
    <x v="3"/>
    <n v="1590000"/>
    <x v="49"/>
    <s v="Flash Appeal (FA)"/>
  </r>
  <r>
    <x v="11"/>
    <s v="Rohingyas (JRP)"/>
    <x v="35"/>
    <x v="60"/>
    <x v="3"/>
    <n v="1300000"/>
    <x v="131"/>
    <s v="Regional Response Plan (RRP)"/>
  </r>
  <r>
    <x v="11"/>
    <s v="Burundi (RRP)"/>
    <x v="69"/>
    <x v="3"/>
    <x v="3"/>
    <n v="552000"/>
    <x v="141"/>
    <s v="Regional Response Plan (RRP)"/>
  </r>
  <r>
    <x v="11"/>
    <s v="Democratic Republic of Congo (RRP)"/>
    <x v="42"/>
    <x v="11"/>
    <x v="3"/>
    <n v="1951385"/>
    <x v="142"/>
    <s v="Regional Response Plan (RRP)"/>
  </r>
  <r>
    <x v="11"/>
    <s v="Venezuela (RMRP)"/>
    <x v="58"/>
    <x v="57"/>
    <x v="3"/>
    <n v="7203586"/>
    <x v="143"/>
    <s v="Regional Response Plan (RRP)"/>
  </r>
  <r>
    <x v="11"/>
    <s v="The Horn of Africa and Yemen (MRP)"/>
    <x v="67"/>
    <x v="60"/>
    <x v="3"/>
    <n v="613667"/>
    <x v="144"/>
    <s v="Regional Response Plan (RRP)"/>
  </r>
  <r>
    <x v="11"/>
    <s v="South Sudan (RRP)"/>
    <x v="50"/>
    <x v="49"/>
    <x v="3"/>
    <n v="4105000"/>
    <x v="145"/>
    <s v="Regional Response Plan (RRP)"/>
  </r>
  <r>
    <x v="11"/>
    <s v="Syria Refugee Response and Resilience Plan (3RP)"/>
    <x v="66"/>
    <x v="53"/>
    <x v="3"/>
    <n v="10316142"/>
    <x v="146"/>
    <s v="Regional Response Plan (RRP)"/>
  </r>
  <r>
    <x v="11"/>
    <s v="Nepal Covid-19 Response Plan 2021"/>
    <x v="38"/>
    <x v="38"/>
    <x v="3"/>
    <n v="4900000"/>
    <x v="147"/>
    <s v="Non Humanitarian Response Plan"/>
  </r>
  <r>
    <x v="11"/>
    <s v="Humanitarian Needs Overview El Salvador, Guatemala &amp; Honduras"/>
    <x v="40"/>
    <x v="64"/>
    <x v="3"/>
    <n v="1700000"/>
    <x v="148"/>
    <s v="Humanitarian Response Plan (HRP)"/>
  </r>
  <r>
    <x v="11"/>
    <s v="Humanitarian Needs Overview El Salvador, Guatemala &amp; Honduras"/>
    <x v="14"/>
    <x v="14"/>
    <x v="3"/>
    <n v="3800000"/>
    <x v="148"/>
    <s v="Humanitarian Response Plan (HRP)"/>
  </r>
  <r>
    <x v="11"/>
    <s v="Humanitarian Needs Overview El Salvador, Guatemala &amp; Honduras"/>
    <x v="15"/>
    <x v="15"/>
    <x v="3"/>
    <n v="2800000"/>
    <x v="148"/>
    <s v="Humanitarian Response Plan (HRP)"/>
  </r>
  <r>
    <x v="12"/>
    <s v="Afghanistan"/>
    <x v="0"/>
    <x v="0"/>
    <x v="3"/>
    <n v="24380455"/>
    <x v="0"/>
    <s v="HRP"/>
  </r>
  <r>
    <x v="12"/>
    <s v="Burkina Faso"/>
    <x v="2"/>
    <x v="2"/>
    <x v="3"/>
    <n v="4889324"/>
    <x v="4"/>
    <s v="HRP"/>
  </r>
  <r>
    <x v="12"/>
    <s v="Burundi"/>
    <x v="3"/>
    <x v="3"/>
    <x v="3"/>
    <n v="1795961"/>
    <x v="7"/>
    <s v="HRP"/>
  </r>
  <r>
    <x v="12"/>
    <s v="Cameroon"/>
    <x v="5"/>
    <x v="5"/>
    <x v="3"/>
    <n v="3934444"/>
    <x v="11"/>
    <s v="HRP"/>
  </r>
  <r>
    <x v="12"/>
    <s v="Central African Republic"/>
    <x v="6"/>
    <x v="6"/>
    <x v="3"/>
    <n v="3053039"/>
    <x v="13"/>
    <s v="HRP"/>
  </r>
  <r>
    <x v="12"/>
    <s v="Chad"/>
    <x v="7"/>
    <x v="7"/>
    <x v="3"/>
    <n v="6149509"/>
    <x v="15"/>
    <s v="HRP"/>
  </r>
  <r>
    <x v="12"/>
    <s v="Colombia"/>
    <x v="18"/>
    <x v="18"/>
    <x v="3"/>
    <n v="7693945"/>
    <x v="35"/>
    <s v="HRP"/>
  </r>
  <r>
    <x v="12"/>
    <s v="Democratic Republic of the Congo"/>
    <x v="11"/>
    <x v="11"/>
    <x v="3"/>
    <n v="27026244"/>
    <x v="23"/>
    <s v="HRP"/>
  </r>
  <r>
    <x v="12"/>
    <s v="El Salvador"/>
    <x v="40"/>
    <x v="64"/>
    <x v="3"/>
    <n v="1700000"/>
    <x v="149"/>
    <s v="HRP"/>
  </r>
  <r>
    <x v="12"/>
    <s v="Ethiopia"/>
    <x v="17"/>
    <x v="17"/>
    <x v="3"/>
    <n v="20000000"/>
    <x v="34"/>
    <s v="HRP"/>
  </r>
  <r>
    <x v="12"/>
    <s v="Guatemala"/>
    <x v="14"/>
    <x v="14"/>
    <x v="3"/>
    <n v="3800000"/>
    <x v="26"/>
    <s v="HRP"/>
  </r>
  <r>
    <x v="12"/>
    <s v="Haiti"/>
    <x v="19"/>
    <x v="19"/>
    <x v="3"/>
    <n v="4896979"/>
    <x v="36"/>
    <s v="HRP"/>
  </r>
  <r>
    <x v="12"/>
    <s v="Honduras"/>
    <x v="15"/>
    <x v="15"/>
    <x v="3"/>
    <n v="2800000"/>
    <x v="29"/>
    <s v="HRP"/>
  </r>
  <r>
    <x v="12"/>
    <s v="Iraq"/>
    <x v="24"/>
    <x v="24"/>
    <x v="3"/>
    <n v="2454198"/>
    <x v="44"/>
    <s v="HRP"/>
  </r>
  <r>
    <x v="12"/>
    <s v="Libya"/>
    <x v="29"/>
    <x v="29"/>
    <x v="3"/>
    <n v="803587"/>
    <x v="54"/>
    <s v="HRP"/>
  </r>
  <r>
    <x v="12"/>
    <s v="Mali"/>
    <x v="33"/>
    <x v="33"/>
    <x v="3"/>
    <n v="7522833"/>
    <x v="63"/>
    <s v="HRP"/>
  </r>
  <r>
    <x v="12"/>
    <s v="Mozambique"/>
    <x v="31"/>
    <x v="31"/>
    <x v="3"/>
    <n v="1533924"/>
    <x v="59"/>
    <s v="HRP"/>
  </r>
  <r>
    <x v="12"/>
    <s v="Myanmar"/>
    <x v="35"/>
    <x v="35"/>
    <x v="3"/>
    <n v="14369336"/>
    <x v="66"/>
    <s v="HRP"/>
  </r>
  <r>
    <x v="12"/>
    <s v="Niger"/>
    <x v="37"/>
    <x v="37"/>
    <x v="3"/>
    <n v="3654445"/>
    <x v="70"/>
    <s v="HRP"/>
  </r>
  <r>
    <x v="12"/>
    <s v="Nigeria"/>
    <x v="41"/>
    <x v="41"/>
    <x v="3"/>
    <n v="8364426"/>
    <x v="75"/>
    <s v="HRP"/>
  </r>
  <r>
    <x v="12"/>
    <s v="Occupied Palestinian Territory"/>
    <x v="43"/>
    <x v="42"/>
    <x v="3"/>
    <n v="2075542"/>
    <x v="80"/>
    <s v="HRP"/>
  </r>
  <r>
    <x v="12"/>
    <s v="Somalia"/>
    <x v="49"/>
    <x v="48"/>
    <x v="3"/>
    <n v="7846888"/>
    <x v="94"/>
    <s v="HRP"/>
  </r>
  <r>
    <x v="12"/>
    <s v="South Sudan"/>
    <x v="50"/>
    <x v="49"/>
    <x v="3"/>
    <n v="8872746"/>
    <x v="96"/>
    <s v="HRP"/>
  </r>
  <r>
    <x v="12"/>
    <s v="Sudan"/>
    <x v="53"/>
    <x v="52"/>
    <x v="3"/>
    <n v="14257653"/>
    <x v="107"/>
    <s v="HRP"/>
  </r>
  <r>
    <x v="12"/>
    <s v="Syrian Arab Republic"/>
    <x v="70"/>
    <x v="53"/>
    <x v="3"/>
    <n v="14560823"/>
    <x v="150"/>
    <s v="HRP"/>
  </r>
  <r>
    <x v="12"/>
    <s v="Venezuela"/>
    <x v="58"/>
    <x v="57"/>
    <x v="3"/>
    <n v="7000000"/>
    <x v="119"/>
    <s v="HRP"/>
  </r>
  <r>
    <x v="12"/>
    <s v="Yemen"/>
    <x v="59"/>
    <x v="58"/>
    <x v="3"/>
    <n v="23458603"/>
    <x v="121"/>
    <s v="HRP"/>
  </r>
  <r>
    <x v="12"/>
    <s v="Haiti"/>
    <x v="19"/>
    <x v="19"/>
    <x v="3"/>
    <n v="1600000"/>
    <x v="36"/>
    <s v="FA"/>
  </r>
  <r>
    <x v="12"/>
    <s v="Kenya"/>
    <x v="28"/>
    <x v="28"/>
    <x v="3"/>
    <n v="4460065"/>
    <x v="151"/>
    <s v="FA"/>
  </r>
  <r>
    <x v="12"/>
    <s v="Madagascar"/>
    <x v="27"/>
    <x v="27"/>
    <x v="3"/>
    <n v="3300000"/>
    <x v="48"/>
    <s v="FA"/>
  </r>
  <r>
    <x v="12"/>
    <s v="Malawi"/>
    <x v="71"/>
    <x v="65"/>
    <x v="3"/>
    <n v="679919"/>
    <x v="152"/>
    <s v="FA"/>
  </r>
  <r>
    <x v="12"/>
    <s v="Mozambique"/>
    <x v="31"/>
    <x v="31"/>
    <x v="3"/>
    <n v="599386"/>
    <x v="59"/>
    <s v="FA"/>
  </r>
  <r>
    <x v="12"/>
    <s v="Ukraine"/>
    <x v="56"/>
    <x v="55"/>
    <x v="3"/>
    <n v="17700000"/>
    <x v="117"/>
    <s v="FA"/>
  </r>
  <r>
    <x v="12"/>
    <s v="Afghanistan"/>
    <x v="0"/>
    <x v="0"/>
    <x v="3"/>
    <n v="5702498"/>
    <x v="0"/>
    <s v="RRP"/>
  </r>
  <r>
    <x v="12"/>
    <s v="Democratic Republic of the Congo"/>
    <x v="11"/>
    <x v="11"/>
    <x v="3"/>
    <n v="1217000"/>
    <x v="23"/>
    <s v="RRP"/>
  </r>
  <r>
    <x v="12"/>
    <s v="Rohingya (JRP)"/>
    <x v="35"/>
    <x v="35"/>
    <x v="3"/>
    <n v="1459862"/>
    <x v="153"/>
    <s v="RRP"/>
  </r>
  <r>
    <x v="12"/>
    <s v="South Sudan"/>
    <x v="50"/>
    <x v="49"/>
    <x v="3"/>
    <n v="2560600"/>
    <x v="96"/>
    <s v="RRP"/>
  </r>
  <r>
    <x v="12"/>
    <s v="Syrian Arab Republic (3RP)"/>
    <x v="70"/>
    <x v="53"/>
    <x v="3"/>
    <n v="20111553"/>
    <x v="154"/>
    <s v="RRP"/>
  </r>
  <r>
    <x v="12"/>
    <s v="The Horn of Africa and Yemen (MRP)"/>
    <x v="67"/>
    <x v="60"/>
    <x v="3"/>
    <n v="303804"/>
    <x v="144"/>
    <s v="RRP"/>
  </r>
  <r>
    <x v="12"/>
    <s v="Ukraine"/>
    <x v="56"/>
    <x v="55"/>
    <x v="3"/>
    <n v="5186744"/>
    <x v="117"/>
    <s v="RRP"/>
  </r>
  <r>
    <x v="12"/>
    <s v="Venezuela (RMRP)"/>
    <x v="58"/>
    <x v="57"/>
    <x v="3"/>
    <n v="8859400"/>
    <x v="143"/>
    <s v="RRP"/>
  </r>
  <r>
    <x v="12"/>
    <s v="Lebanon (ERP)"/>
    <x v="52"/>
    <x v="51"/>
    <x v="3"/>
    <n v="2500000"/>
    <x v="155"/>
    <s v="Other"/>
  </r>
  <r>
    <x v="12"/>
    <s v="Pakistan"/>
    <x v="45"/>
    <x v="44"/>
    <x v="3"/>
    <n v="20605258"/>
    <x v="82"/>
    <s v="Other"/>
  </r>
  <r>
    <x v="12"/>
    <s v="Cuba"/>
    <x v="9"/>
    <x v="9"/>
    <x v="3"/>
    <n v="1090000"/>
    <x v="18"/>
    <s v="Non-HRP"/>
  </r>
  <r>
    <x v="12"/>
    <s v="Philippines"/>
    <x v="46"/>
    <x v="45"/>
    <x v="3"/>
    <n v="2400000"/>
    <x v="87"/>
    <s v="Non-HRP"/>
  </r>
  <r>
    <x v="12"/>
    <s v="Sri Lanka"/>
    <x v="25"/>
    <x v="25"/>
    <x v="3"/>
    <n v="6992137"/>
    <x v="156"/>
    <s v="Non-HRP"/>
  </r>
  <r>
    <x v="12"/>
    <s v="Afghanistan"/>
    <x v="0"/>
    <x v="0"/>
    <x v="2"/>
    <n v="4442200000"/>
    <x v="0"/>
    <s v="HRP"/>
  </r>
  <r>
    <x v="12"/>
    <s v="Burkina Faso"/>
    <x v="2"/>
    <x v="2"/>
    <x v="2"/>
    <n v="805099698"/>
    <x v="4"/>
    <s v="HRP"/>
  </r>
  <r>
    <x v="12"/>
    <s v="Burundi"/>
    <x v="3"/>
    <x v="3"/>
    <x v="2"/>
    <n v="182414025"/>
    <x v="7"/>
    <s v="HRP"/>
  </r>
  <r>
    <x v="12"/>
    <s v="Cameroon"/>
    <x v="5"/>
    <x v="5"/>
    <x v="2"/>
    <n v="376046051"/>
    <x v="11"/>
    <s v="HRP"/>
  </r>
  <r>
    <x v="12"/>
    <s v="Central African Republic"/>
    <x v="6"/>
    <x v="6"/>
    <x v="2"/>
    <n v="461253975"/>
    <x v="13"/>
    <s v="HRP"/>
  </r>
  <r>
    <x v="12"/>
    <s v="Chad"/>
    <x v="7"/>
    <x v="7"/>
    <x v="2"/>
    <n v="510909899"/>
    <x v="15"/>
    <s v="HRP"/>
  </r>
  <r>
    <x v="12"/>
    <s v="Colombia"/>
    <x v="18"/>
    <x v="18"/>
    <x v="2"/>
    <n v="282854048"/>
    <x v="35"/>
    <s v="HRP"/>
  </r>
  <r>
    <x v="12"/>
    <s v="Democratic Republic of the Congo"/>
    <x v="11"/>
    <x v="11"/>
    <x v="2"/>
    <n v="1881674597"/>
    <x v="23"/>
    <s v="HRP"/>
  </r>
  <r>
    <x v="12"/>
    <s v="El Salvador"/>
    <x v="40"/>
    <x v="64"/>
    <x v="2"/>
    <n v="114317607"/>
    <x v="149"/>
    <s v="HRP"/>
  </r>
  <r>
    <x v="12"/>
    <s v="Ethiopia"/>
    <x v="17"/>
    <x v="17"/>
    <x v="2"/>
    <n v="3335002211"/>
    <x v="34"/>
    <s v="HRP"/>
  </r>
  <r>
    <x v="12"/>
    <s v="Guatemala"/>
    <x v="14"/>
    <x v="14"/>
    <x v="2"/>
    <n v="153531304"/>
    <x v="26"/>
    <s v="HRP"/>
  </r>
  <r>
    <x v="12"/>
    <s v="Haiti"/>
    <x v="19"/>
    <x v="19"/>
    <x v="2"/>
    <n v="373165734"/>
    <x v="36"/>
    <s v="HRP"/>
  </r>
  <r>
    <x v="12"/>
    <s v="Honduras"/>
    <x v="15"/>
    <x v="15"/>
    <x v="2"/>
    <n v="155296363"/>
    <x v="29"/>
    <s v="HRP"/>
  </r>
  <r>
    <x v="12"/>
    <s v="Iraq"/>
    <x v="24"/>
    <x v="24"/>
    <x v="2"/>
    <n v="400004347"/>
    <x v="44"/>
    <s v="HRP"/>
  </r>
  <r>
    <x v="12"/>
    <s v="Libya"/>
    <x v="29"/>
    <x v="29"/>
    <x v="2"/>
    <n v="113799273"/>
    <x v="54"/>
    <s v="HRP"/>
  </r>
  <r>
    <x v="12"/>
    <s v="Mali"/>
    <x v="33"/>
    <x v="33"/>
    <x v="2"/>
    <n v="685734819"/>
    <x v="63"/>
    <s v="HRP"/>
  </r>
  <r>
    <x v="12"/>
    <s v="Mozambique"/>
    <x v="31"/>
    <x v="31"/>
    <x v="2"/>
    <n v="388499803"/>
    <x v="59"/>
    <s v="HRP"/>
  </r>
  <r>
    <x v="12"/>
    <s v="Myanmar"/>
    <x v="35"/>
    <x v="35"/>
    <x v="2"/>
    <n v="825698032"/>
    <x v="66"/>
    <s v="HRP"/>
  </r>
  <r>
    <x v="12"/>
    <s v="Niger"/>
    <x v="37"/>
    <x v="37"/>
    <x v="2"/>
    <n v="552598446"/>
    <x v="70"/>
    <s v="HRP"/>
  </r>
  <r>
    <x v="12"/>
    <s v="Nigeria"/>
    <x v="41"/>
    <x v="41"/>
    <x v="2"/>
    <n v="1127211641"/>
    <x v="75"/>
    <s v="HRP"/>
  </r>
  <r>
    <x v="12"/>
    <s v="Occupied Palestinian Territory"/>
    <x v="43"/>
    <x v="42"/>
    <x v="2"/>
    <n v="509872202"/>
    <x v="80"/>
    <s v="HRP"/>
  </r>
  <r>
    <x v="12"/>
    <s v="Somalia"/>
    <x v="49"/>
    <x v="48"/>
    <x v="2"/>
    <n v="2267407090"/>
    <x v="94"/>
    <s v="HRP"/>
  </r>
  <r>
    <x v="12"/>
    <s v="South Sudan"/>
    <x v="50"/>
    <x v="49"/>
    <x v="2"/>
    <n v="1699588587"/>
    <x v="96"/>
    <s v="HRP"/>
  </r>
  <r>
    <x v="12"/>
    <s v="Sudan"/>
    <x v="53"/>
    <x v="52"/>
    <x v="2"/>
    <n v="1936697740"/>
    <x v="107"/>
    <s v="HRP"/>
  </r>
  <r>
    <x v="12"/>
    <s v="Syrian Arab Republic"/>
    <x v="70"/>
    <x v="53"/>
    <x v="2"/>
    <n v="4444280227"/>
    <x v="150"/>
    <s v="HRP"/>
  </r>
  <r>
    <x v="12"/>
    <s v="Venezuela"/>
    <x v="58"/>
    <x v="57"/>
    <x v="2"/>
    <n v="794987748"/>
    <x v="119"/>
    <s v="HRP"/>
  </r>
  <r>
    <x v="12"/>
    <s v="Yemen"/>
    <x v="59"/>
    <x v="58"/>
    <x v="2"/>
    <n v="4271938417"/>
    <x v="121"/>
    <s v="HRP"/>
  </r>
  <r>
    <x v="12"/>
    <s v="Haiti"/>
    <x v="19"/>
    <x v="19"/>
    <x v="2"/>
    <n v="145600234"/>
    <x v="36"/>
    <s v="FA"/>
  </r>
  <r>
    <x v="12"/>
    <s v="Kenya"/>
    <x v="28"/>
    <x v="28"/>
    <x v="2"/>
    <n v="289641587"/>
    <x v="151"/>
    <s v="FA"/>
  </r>
  <r>
    <x v="12"/>
    <s v="Madagascar"/>
    <x v="27"/>
    <x v="27"/>
    <x v="2"/>
    <n v="219267779"/>
    <x v="48"/>
    <s v="FA"/>
  </r>
  <r>
    <x v="12"/>
    <s v="Malawi"/>
    <x v="71"/>
    <x v="65"/>
    <x v="2"/>
    <n v="29450000"/>
    <x v="152"/>
    <s v="FA"/>
  </r>
  <r>
    <x v="12"/>
    <s v="Mozambique"/>
    <x v="31"/>
    <x v="31"/>
    <x v="2"/>
    <n v="48073854"/>
    <x v="59"/>
    <s v="FA"/>
  </r>
  <r>
    <x v="12"/>
    <s v="Ukraine"/>
    <x v="56"/>
    <x v="55"/>
    <x v="2"/>
    <n v="4292463880"/>
    <x v="117"/>
    <s v="FA"/>
  </r>
  <r>
    <x v="12"/>
    <s v="Afghanistan"/>
    <x v="0"/>
    <x v="0"/>
    <x v="2"/>
    <n v="623415539"/>
    <x v="0"/>
    <s v="RRP"/>
  </r>
  <r>
    <x v="12"/>
    <s v="Democratic Republic of the Congo"/>
    <x v="11"/>
    <x v="11"/>
    <x v="2"/>
    <n v="596731397"/>
    <x v="23"/>
    <s v="RRP"/>
  </r>
  <r>
    <x v="12"/>
    <s v="Rohingya (JRP)"/>
    <x v="35"/>
    <x v="35"/>
    <x v="2"/>
    <n v="881030780"/>
    <x v="153"/>
    <s v="RRP"/>
  </r>
  <r>
    <x v="12"/>
    <s v="South Sudan"/>
    <x v="50"/>
    <x v="49"/>
    <x v="2"/>
    <n v="873323126"/>
    <x v="96"/>
    <s v="RRP"/>
  </r>
  <r>
    <x v="12"/>
    <s v="Syrian Arab Republic (3RP)"/>
    <x v="70"/>
    <x v="53"/>
    <x v="2"/>
    <n v="6080899576"/>
    <x v="154"/>
    <s v="RRP"/>
  </r>
  <r>
    <x v="12"/>
    <s v="The Horn of Africa and Yemen (MRP)"/>
    <x v="67"/>
    <x v="60"/>
    <x v="2"/>
    <n v="41579330"/>
    <x v="144"/>
    <s v="RRP"/>
  </r>
  <r>
    <x v="12"/>
    <s v="Ukraine"/>
    <x v="56"/>
    <x v="55"/>
    <x v="2"/>
    <n v="1789936991"/>
    <x v="117"/>
    <s v="RRP"/>
  </r>
  <r>
    <x v="12"/>
    <s v="Venezuela (RMRP)"/>
    <x v="58"/>
    <x v="57"/>
    <x v="2"/>
    <n v="1786198773"/>
    <x v="143"/>
    <s v="RRP"/>
  </r>
  <r>
    <x v="12"/>
    <s v="Lebanon (ERP)"/>
    <x v="52"/>
    <x v="51"/>
    <x v="2"/>
    <n v="378175867"/>
    <x v="155"/>
    <s v="Other"/>
  </r>
  <r>
    <x v="12"/>
    <s v="Pakistan"/>
    <x v="45"/>
    <x v="44"/>
    <x v="2"/>
    <n v="472308627"/>
    <x v="82"/>
    <s v="Other"/>
  </r>
  <r>
    <x v="12"/>
    <s v="Cuba"/>
    <x v="9"/>
    <x v="9"/>
    <x v="2"/>
    <n v="41817107"/>
    <x v="18"/>
    <s v="Non-HRP"/>
  </r>
  <r>
    <x v="12"/>
    <s v="Philippines"/>
    <x v="46"/>
    <x v="45"/>
    <x v="2"/>
    <n v="168906963"/>
    <x v="87"/>
    <s v="Non-HRP"/>
  </r>
  <r>
    <x v="12"/>
    <s v="Sri Lanka"/>
    <x v="25"/>
    <x v="25"/>
    <x v="2"/>
    <n v="149692653"/>
    <x v="156"/>
    <s v="Non-HRP"/>
  </r>
  <r>
    <x v="13"/>
    <s v="Afghanistan"/>
    <x v="0"/>
    <x v="0"/>
    <x v="3"/>
    <n v="29174379"/>
    <x v="0"/>
    <s v="HRP"/>
  </r>
  <r>
    <x v="13"/>
    <s v="Burkina Faso"/>
    <x v="2"/>
    <x v="2"/>
    <x v="3"/>
    <n v="4648210"/>
    <x v="4"/>
    <s v="HRP"/>
  </r>
  <r>
    <x v="13"/>
    <s v="Burundi"/>
    <x v="3"/>
    <x v="3"/>
    <x v="3"/>
    <n v="2666886"/>
    <x v="7"/>
    <s v="HRP"/>
  </r>
  <r>
    <x v="13"/>
    <s v="Cameroon"/>
    <x v="5"/>
    <x v="5"/>
    <x v="3"/>
    <n v="4700311"/>
    <x v="11"/>
    <s v="HRP"/>
  </r>
  <r>
    <x v="13"/>
    <s v="Central African Republic"/>
    <x v="6"/>
    <x v="6"/>
    <x v="3"/>
    <n v="3426462"/>
    <x v="13"/>
    <s v="HRP"/>
  </r>
  <r>
    <x v="13"/>
    <s v="Chad"/>
    <x v="7"/>
    <x v="7"/>
    <x v="3"/>
    <n v="7672650"/>
    <x v="15"/>
    <s v="HRP"/>
  </r>
  <r>
    <x v="13"/>
    <s v="Colombia"/>
    <x v="18"/>
    <x v="18"/>
    <x v="3"/>
    <n v="7711265"/>
    <x v="35"/>
    <s v="HRP"/>
  </r>
  <r>
    <x v="13"/>
    <s v="Democratic Republic of the Congo"/>
    <x v="11"/>
    <x v="11"/>
    <x v="3"/>
    <n v="26429388"/>
    <x v="23"/>
    <s v="HRP"/>
  </r>
  <r>
    <x v="13"/>
    <s v="El Salvador"/>
    <x v="40"/>
    <x v="64"/>
    <x v="3"/>
    <n v="1115122"/>
    <x v="149"/>
    <s v="HRP"/>
  </r>
  <r>
    <x v="13"/>
    <s v="Ethiopia"/>
    <x v="17"/>
    <x v="17"/>
    <x v="3"/>
    <n v="28600000"/>
    <x v="34"/>
    <s v="HRP"/>
  </r>
  <r>
    <x v="13"/>
    <s v="Guatemala"/>
    <x v="14"/>
    <x v="14"/>
    <x v="3"/>
    <n v="5000000"/>
    <x v="26"/>
    <s v="HRP"/>
  </r>
  <r>
    <x v="13"/>
    <s v="Haiti"/>
    <x v="19"/>
    <x v="19"/>
    <x v="3"/>
    <n v="5200000"/>
    <x v="36"/>
    <s v="HRP"/>
  </r>
  <r>
    <x v="13"/>
    <s v="Honduras"/>
    <x v="15"/>
    <x v="15"/>
    <x v="3"/>
    <n v="3200000"/>
    <x v="29"/>
    <s v="HRP"/>
  </r>
  <r>
    <x v="13"/>
    <s v="Mali"/>
    <x v="33"/>
    <x v="33"/>
    <x v="3"/>
    <n v="8782254"/>
    <x v="63"/>
    <s v="HRP"/>
  </r>
  <r>
    <x v="13"/>
    <s v="Mozambique"/>
    <x v="31"/>
    <x v="31"/>
    <x v="3"/>
    <n v="2011466"/>
    <x v="59"/>
    <s v="HRP"/>
  </r>
  <r>
    <x v="13"/>
    <s v="Myanmar"/>
    <x v="35"/>
    <x v="35"/>
    <x v="3"/>
    <n v="17619805"/>
    <x v="66"/>
    <s v="HRP"/>
  </r>
  <r>
    <x v="13"/>
    <s v="Niger"/>
    <x v="37"/>
    <x v="37"/>
    <x v="3"/>
    <n v="4319484"/>
    <x v="70"/>
    <s v="HRP"/>
  </r>
  <r>
    <x v="13"/>
    <s v="Nigeria"/>
    <x v="41"/>
    <x v="41"/>
    <x v="3"/>
    <n v="8300000"/>
    <x v="75"/>
    <s v="HRP"/>
  </r>
  <r>
    <x v="13"/>
    <s v="Occupied Palestinian Territory"/>
    <x v="43"/>
    <x v="42"/>
    <x v="3"/>
    <n v="2087420"/>
    <x v="80"/>
    <s v="HRP"/>
  </r>
  <r>
    <x v="13"/>
    <s v="Somalia"/>
    <x v="49"/>
    <x v="48"/>
    <x v="3"/>
    <n v="8250301"/>
    <x v="94"/>
    <s v="HRP"/>
  </r>
  <r>
    <x v="13"/>
    <s v="South Sudan"/>
    <x v="50"/>
    <x v="49"/>
    <x v="3"/>
    <n v="10000000"/>
    <x v="96"/>
    <s v="HRP"/>
  </r>
  <r>
    <x v="13"/>
    <s v="Sudan"/>
    <x v="53"/>
    <x v="52"/>
    <x v="3"/>
    <n v="24681639"/>
    <x v="107"/>
    <s v="HRP"/>
  </r>
  <r>
    <x v="13"/>
    <s v="Syrian Arab Republic"/>
    <x v="70"/>
    <x v="53"/>
    <x v="3"/>
    <n v="15334271"/>
    <x v="150"/>
    <s v="HRP"/>
  </r>
  <r>
    <x v="13"/>
    <s v="Ukraine"/>
    <x v="56"/>
    <x v="55"/>
    <x v="3"/>
    <n v="17569676"/>
    <x v="117"/>
    <s v="HRP"/>
  </r>
  <r>
    <x v="13"/>
    <s v="Venezuela"/>
    <x v="58"/>
    <x v="57"/>
    <x v="3"/>
    <n v="7000000"/>
    <x v="119"/>
    <s v="HRP"/>
  </r>
  <r>
    <x v="13"/>
    <s v="Yemen"/>
    <x v="59"/>
    <x v="58"/>
    <x v="3"/>
    <n v="21640000"/>
    <x v="121"/>
    <s v="HRP"/>
  </r>
  <r>
    <x v="13"/>
    <s v="Kenya"/>
    <x v="28"/>
    <x v="28"/>
    <x v="3"/>
    <n v="6446835"/>
    <x v="151"/>
    <s v="FA"/>
  </r>
  <r>
    <x v="13"/>
    <s v="Libya"/>
    <x v="29"/>
    <x v="29"/>
    <x v="3"/>
    <n v="883937"/>
    <x v="54"/>
    <s v="FA"/>
  </r>
  <r>
    <x v="13"/>
    <s v="Madagascar"/>
    <x v="27"/>
    <x v="27"/>
    <x v="3"/>
    <n v="3897188"/>
    <x v="48"/>
    <s v="FA"/>
  </r>
  <r>
    <x v="13"/>
    <s v="Malawi"/>
    <x v="71"/>
    <x v="65"/>
    <x v="3"/>
    <n v="5858113"/>
    <x v="152"/>
    <s v="FA"/>
  </r>
  <r>
    <x v="13"/>
    <s v="Occupied Palestinian Territory"/>
    <x v="43"/>
    <x v="42"/>
    <x v="3"/>
    <n v="1012580"/>
    <x v="80"/>
    <s v="FA"/>
  </r>
  <r>
    <x v="13"/>
    <s v="Syria Earthquake"/>
    <x v="72"/>
    <x v="53"/>
    <x v="3"/>
    <n v="0"/>
    <x v="157"/>
    <s v="FA"/>
  </r>
  <r>
    <x v="13"/>
    <s v="Türkiye Earthquake"/>
    <x v="73"/>
    <x v="66"/>
    <x v="3"/>
    <n v="0"/>
    <x v="158"/>
    <s v="FA"/>
  </r>
  <r>
    <x v="13"/>
    <s v="Afghanistan"/>
    <x v="0"/>
    <x v="0"/>
    <x v="3"/>
    <n v="7902431"/>
    <x v="0"/>
    <s v="RRP"/>
  </r>
  <r>
    <x v="13"/>
    <s v="Democratic Republic of the Congo"/>
    <x v="11"/>
    <x v="11"/>
    <x v="3"/>
    <n v="1368121"/>
    <x v="23"/>
    <s v="RRP"/>
  </r>
  <r>
    <x v="13"/>
    <s v="Rohingya (JRP)"/>
    <x v="35"/>
    <x v="35"/>
    <x v="3"/>
    <n v="1515698"/>
    <x v="153"/>
    <s v="RRP"/>
  </r>
  <r>
    <x v="13"/>
    <s v="South Sudan"/>
    <x v="50"/>
    <x v="49"/>
    <x v="3"/>
    <n v="3245100"/>
    <x v="96"/>
    <s v="RRP"/>
  </r>
  <r>
    <x v="13"/>
    <s v="Sudan"/>
    <x v="53"/>
    <x v="52"/>
    <x v="3"/>
    <n v="580000"/>
    <x v="107"/>
    <s v="RRP"/>
  </r>
  <r>
    <x v="13"/>
    <s v="Syria (3RP)"/>
    <x v="54"/>
    <x v="53"/>
    <x v="3"/>
    <n v="13489443"/>
    <x v="159"/>
    <s v="RRP"/>
  </r>
  <r>
    <x v="13"/>
    <s v="The Horn of Africa and Yemen (MRP)"/>
    <x v="67"/>
    <x v="60"/>
    <x v="3"/>
    <n v="1218729"/>
    <x v="144"/>
    <s v="RRP"/>
  </r>
  <r>
    <x v="13"/>
    <s v="Ukraine"/>
    <x v="56"/>
    <x v="55"/>
    <x v="3"/>
    <n v="4035000"/>
    <x v="117"/>
    <s v="RRP"/>
  </r>
  <r>
    <x v="13"/>
    <s v="Venezuela (RMRP)"/>
    <x v="58"/>
    <x v="57"/>
    <x v="3"/>
    <n v="9179814"/>
    <x v="143"/>
    <s v="RRP"/>
  </r>
  <r>
    <x v="13"/>
    <s v="Lebanon (ERP)"/>
    <x v="74"/>
    <x v="51"/>
    <x v="3"/>
    <n v="3909222"/>
    <x v="155"/>
    <s v="Other"/>
  </r>
  <r>
    <x v="13"/>
    <s v="Mozambique"/>
    <x v="31"/>
    <x v="31"/>
    <x v="3"/>
    <n v="975016"/>
    <x v="59"/>
    <s v="Other"/>
  </r>
  <r>
    <x v="13"/>
    <s v="Pakistan"/>
    <x v="45"/>
    <x v="44"/>
    <x v="3"/>
    <n v="20605258"/>
    <x v="82"/>
    <s v="Other"/>
  </r>
  <r>
    <x v="13"/>
    <s v="Mongolia"/>
    <x v="30"/>
    <x v="30"/>
    <x v="3"/>
    <n v="213000"/>
    <x v="160"/>
    <s v="Non-HRP"/>
  </r>
  <r>
    <x v="13"/>
    <s v="Afghanistan"/>
    <x v="0"/>
    <x v="0"/>
    <x v="2"/>
    <n v="3227372908"/>
    <x v="0"/>
    <s v="HRP"/>
  </r>
  <r>
    <x v="13"/>
    <s v="Burkina Faso"/>
    <x v="2"/>
    <x v="2"/>
    <x v="2"/>
    <n v="876731475"/>
    <x v="4"/>
    <s v="HRP"/>
  </r>
  <r>
    <x v="13"/>
    <s v="Burundi"/>
    <x v="3"/>
    <x v="3"/>
    <x v="2"/>
    <n v="237180119"/>
    <x v="7"/>
    <s v="HRP"/>
  </r>
  <r>
    <x v="13"/>
    <s v="Cameroon"/>
    <x v="5"/>
    <x v="5"/>
    <x v="2"/>
    <n v="407309869"/>
    <x v="11"/>
    <s v="HRP"/>
  </r>
  <r>
    <x v="13"/>
    <s v="Central African Republic"/>
    <x v="6"/>
    <x v="6"/>
    <x v="2"/>
    <n v="533305798"/>
    <x v="13"/>
    <s v="HRP"/>
  </r>
  <r>
    <x v="13"/>
    <s v="Chad"/>
    <x v="7"/>
    <x v="7"/>
    <x v="2"/>
    <n v="920624766"/>
    <x v="15"/>
    <s v="HRP"/>
  </r>
  <r>
    <x v="13"/>
    <s v="Colombia"/>
    <x v="18"/>
    <x v="18"/>
    <x v="2"/>
    <n v="283317893"/>
    <x v="35"/>
    <s v="HRP"/>
  </r>
  <r>
    <x v="13"/>
    <s v="Democratic Republic of the Congo"/>
    <x v="11"/>
    <x v="11"/>
    <x v="2"/>
    <n v="2252684083"/>
    <x v="23"/>
    <s v="HRP"/>
  </r>
  <r>
    <x v="13"/>
    <s v="El Salvador"/>
    <x v="40"/>
    <x v="64"/>
    <x v="2"/>
    <n v="98416155"/>
    <x v="149"/>
    <s v="HRP"/>
  </r>
  <r>
    <x v="13"/>
    <s v="Ethiopia"/>
    <x v="17"/>
    <x v="17"/>
    <x v="2"/>
    <n v="3994813508"/>
    <x v="34"/>
    <s v="HRP"/>
  </r>
  <r>
    <x v="13"/>
    <s v="Guatemala"/>
    <x v="14"/>
    <x v="14"/>
    <x v="2"/>
    <n v="126145348"/>
    <x v="26"/>
    <s v="HRP"/>
  </r>
  <r>
    <x v="13"/>
    <s v="Haiti"/>
    <x v="19"/>
    <x v="19"/>
    <x v="2"/>
    <n v="719857713"/>
    <x v="36"/>
    <s v="HRP"/>
  </r>
  <r>
    <x v="13"/>
    <s v="Honduras"/>
    <x v="15"/>
    <x v="15"/>
    <x v="2"/>
    <n v="280360869"/>
    <x v="29"/>
    <s v="HRP"/>
  </r>
  <r>
    <x v="13"/>
    <s v="Mali"/>
    <x v="33"/>
    <x v="33"/>
    <x v="2"/>
    <n v="751470941"/>
    <x v="63"/>
    <s v="HRP"/>
  </r>
  <r>
    <x v="13"/>
    <s v="Mozambique"/>
    <x v="31"/>
    <x v="31"/>
    <x v="2"/>
    <n v="512912994"/>
    <x v="59"/>
    <s v="HRP"/>
  </r>
  <r>
    <x v="13"/>
    <s v="Myanmar"/>
    <x v="35"/>
    <x v="35"/>
    <x v="2"/>
    <n v="886738899"/>
    <x v="66"/>
    <s v="HRP"/>
  </r>
  <r>
    <x v="13"/>
    <s v="Niger"/>
    <x v="37"/>
    <x v="37"/>
    <x v="2"/>
    <n v="583906619"/>
    <x v="70"/>
    <s v="HRP"/>
  </r>
  <r>
    <x v="13"/>
    <s v="Nigeria"/>
    <x v="41"/>
    <x v="41"/>
    <x v="2"/>
    <n v="1311953516"/>
    <x v="75"/>
    <s v="HRP"/>
  </r>
  <r>
    <x v="13"/>
    <s v="Occupied Palestinian Territory"/>
    <x v="43"/>
    <x v="42"/>
    <x v="2"/>
    <n v="376729201"/>
    <x v="80"/>
    <s v="HRP"/>
  </r>
  <r>
    <x v="13"/>
    <s v="Somalia"/>
    <x v="49"/>
    <x v="48"/>
    <x v="2"/>
    <n v="2599161218"/>
    <x v="94"/>
    <s v="HRP"/>
  </r>
  <r>
    <x v="13"/>
    <s v="South Sudan"/>
    <x v="50"/>
    <x v="49"/>
    <x v="2"/>
    <n v="2055885216"/>
    <x v="96"/>
    <s v="HRP"/>
  </r>
  <r>
    <x v="13"/>
    <s v="Sudan"/>
    <x v="53"/>
    <x v="52"/>
    <x v="2"/>
    <n v="2565230201"/>
    <x v="107"/>
    <s v="HRP"/>
  </r>
  <r>
    <x v="13"/>
    <s v="Syrian Arab Republic"/>
    <x v="70"/>
    <x v="53"/>
    <x v="2"/>
    <n v="5413802598"/>
    <x v="150"/>
    <s v="HRP"/>
  </r>
  <r>
    <x v="13"/>
    <s v="Ukraine"/>
    <x v="56"/>
    <x v="55"/>
    <x v="2"/>
    <n v="3945656687"/>
    <x v="117"/>
    <s v="HRP"/>
  </r>
  <r>
    <x v="13"/>
    <s v="Venezuela"/>
    <x v="58"/>
    <x v="57"/>
    <x v="2"/>
    <n v="719581691"/>
    <x v="119"/>
    <s v="HRP"/>
  </r>
  <r>
    <x v="13"/>
    <s v="Yemen"/>
    <x v="59"/>
    <x v="58"/>
    <x v="2"/>
    <n v="4344155316"/>
    <x v="121"/>
    <s v="HRP"/>
  </r>
  <r>
    <x v="13"/>
    <s v="Kenya"/>
    <x v="28"/>
    <x v="28"/>
    <x v="2"/>
    <n v="451825224"/>
    <x v="151"/>
    <s v="FA"/>
  </r>
  <r>
    <x v="13"/>
    <s v="Libya"/>
    <x v="29"/>
    <x v="29"/>
    <x v="2"/>
    <n v="37731860"/>
    <x v="54"/>
    <s v="FA"/>
  </r>
  <r>
    <x v="13"/>
    <s v="Madagascar"/>
    <x v="27"/>
    <x v="27"/>
    <x v="2"/>
    <n v="214681354"/>
    <x v="48"/>
    <s v="FA"/>
  </r>
  <r>
    <x v="13"/>
    <s v="Malawi"/>
    <x v="71"/>
    <x v="65"/>
    <x v="2"/>
    <n v="115945732"/>
    <x v="152"/>
    <s v="FA"/>
  </r>
  <r>
    <x v="13"/>
    <s v="Occupied Palestinian Territory"/>
    <x v="43"/>
    <x v="42"/>
    <x v="2"/>
    <n v="629098307"/>
    <x v="80"/>
    <s v="FA"/>
  </r>
  <r>
    <x v="13"/>
    <s v="Syria Earthquake"/>
    <x v="72"/>
    <x v="53"/>
    <x v="2"/>
    <n v="397623464"/>
    <x v="157"/>
    <s v="FA"/>
  </r>
  <r>
    <x v="13"/>
    <s v="Türkiye Earthquake"/>
    <x v="73"/>
    <x v="66"/>
    <x v="2"/>
    <n v="1006545000"/>
    <x v="158"/>
    <s v="FA"/>
  </r>
  <r>
    <x v="13"/>
    <s v="Afghanistan"/>
    <x v="0"/>
    <x v="0"/>
    <x v="2"/>
    <n v="613012986"/>
    <x v="0"/>
    <s v="RRP"/>
  </r>
  <r>
    <x v="13"/>
    <s v="Democratic Republic of the Congo"/>
    <x v="11"/>
    <x v="11"/>
    <x v="2"/>
    <n v="549404765"/>
    <x v="23"/>
    <s v="RRP"/>
  </r>
  <r>
    <x v="13"/>
    <s v="Rohingya (JRP)"/>
    <x v="35"/>
    <x v="35"/>
    <x v="2"/>
    <n v="875927365"/>
    <x v="153"/>
    <s v="RRP"/>
  </r>
  <r>
    <x v="13"/>
    <s v="South Sudan"/>
    <x v="50"/>
    <x v="49"/>
    <x v="2"/>
    <n v="950234784"/>
    <x v="96"/>
    <s v="RRP"/>
  </r>
  <r>
    <x v="13"/>
    <s v="Sudan"/>
    <x v="53"/>
    <x v="52"/>
    <x v="2"/>
    <n v="217629924"/>
    <x v="107"/>
    <s v="RRP"/>
  </r>
  <r>
    <x v="13"/>
    <s v="Syria (3RP)"/>
    <x v="54"/>
    <x v="53"/>
    <x v="2"/>
    <n v="5856939096"/>
    <x v="159"/>
    <s v="RRP"/>
  </r>
  <r>
    <x v="13"/>
    <s v="The Horn of Africa and Yemen (MRP)"/>
    <x v="67"/>
    <x v="60"/>
    <x v="2"/>
    <n v="60414277"/>
    <x v="144"/>
    <s v="RRP"/>
  </r>
  <r>
    <x v="13"/>
    <s v="Ukraine"/>
    <x v="56"/>
    <x v="55"/>
    <x v="2"/>
    <n v="1685495256"/>
    <x v="117"/>
    <s v="RRP"/>
  </r>
  <r>
    <x v="13"/>
    <s v="Venezuela (RMRP)"/>
    <x v="58"/>
    <x v="57"/>
    <x v="2"/>
    <n v="1715042189"/>
    <x v="143"/>
    <s v="RRP"/>
  </r>
  <r>
    <x v="13"/>
    <s v="Lebanon (ERP)"/>
    <x v="74"/>
    <x v="51"/>
    <x v="2"/>
    <n v="200203540"/>
    <x v="155"/>
    <s v="Other"/>
  </r>
  <r>
    <x v="13"/>
    <s v="Mozambique"/>
    <x v="31"/>
    <x v="31"/>
    <x v="2"/>
    <n v="138008861"/>
    <x v="59"/>
    <s v="Other"/>
  </r>
  <r>
    <x v="13"/>
    <s v="Pakistan"/>
    <x v="45"/>
    <x v="44"/>
    <x v="2"/>
    <n v="344007921"/>
    <x v="82"/>
    <s v="Other"/>
  </r>
  <r>
    <x v="13"/>
    <s v="Mongolia"/>
    <x v="30"/>
    <x v="30"/>
    <x v="2"/>
    <n v="5154000"/>
    <x v="160"/>
    <s v="Non-HRP"/>
  </r>
  <r>
    <x v="14"/>
    <s v="Afghanistan"/>
    <x v="0"/>
    <x v="0"/>
    <x v="3"/>
    <n v="23666389"/>
    <x v="0"/>
    <s v="HRP"/>
  </r>
  <r>
    <x v="14"/>
    <s v="Burkina Faso"/>
    <x v="2"/>
    <x v="2"/>
    <x v="3"/>
    <n v="6300000"/>
    <x v="4"/>
    <s v="HRP"/>
  </r>
  <r>
    <x v="14"/>
    <s v="Cameroon"/>
    <x v="5"/>
    <x v="5"/>
    <x v="3"/>
    <n v="3369526"/>
    <x v="11"/>
    <s v="HRP"/>
  </r>
  <r>
    <x v="14"/>
    <s v="Central African Republic"/>
    <x v="6"/>
    <x v="6"/>
    <x v="3"/>
    <n v="2801810"/>
    <x v="13"/>
    <s v="HRP"/>
  </r>
  <r>
    <x v="14"/>
    <s v="Chad"/>
    <x v="7"/>
    <x v="7"/>
    <x v="3"/>
    <n v="5800000"/>
    <x v="15"/>
    <s v="HRP"/>
  </r>
  <r>
    <x v="14"/>
    <s v="Colombia"/>
    <x v="18"/>
    <x v="18"/>
    <x v="3"/>
    <n v="8307129"/>
    <x v="35"/>
    <s v="HRP"/>
  </r>
  <r>
    <x v="14"/>
    <s v="Democratic Republic of the Congo"/>
    <x v="11"/>
    <x v="11"/>
    <x v="3"/>
    <n v="25400000"/>
    <x v="23"/>
    <s v="HRP"/>
  </r>
  <r>
    <x v="14"/>
    <s v="El Salvador"/>
    <x v="40"/>
    <x v="64"/>
    <x v="3"/>
    <n v="1100000"/>
    <x v="149"/>
    <s v="HRP"/>
  </r>
  <r>
    <x v="14"/>
    <s v="Ethiopia"/>
    <x v="17"/>
    <x v="17"/>
    <x v="3"/>
    <n v="21360484"/>
    <x v="34"/>
    <s v="HRP"/>
  </r>
  <r>
    <x v="14"/>
    <s v="Guatemala"/>
    <x v="14"/>
    <x v="14"/>
    <x v="3"/>
    <n v="5300000"/>
    <x v="26"/>
    <s v="HRP"/>
  </r>
  <r>
    <x v="14"/>
    <s v="Haiti"/>
    <x v="19"/>
    <x v="19"/>
    <x v="3"/>
    <n v="5500000"/>
    <x v="36"/>
    <s v="HRP"/>
  </r>
  <r>
    <x v="14"/>
    <s v="Honduras"/>
    <x v="15"/>
    <x v="15"/>
    <x v="3"/>
    <n v="2800000"/>
    <x v="29"/>
    <s v="HRP"/>
  </r>
  <r>
    <x v="14"/>
    <s v="Mali"/>
    <x v="33"/>
    <x v="33"/>
    <x v="3"/>
    <n v="7107194"/>
    <x v="63"/>
    <s v="HRP"/>
  </r>
  <r>
    <x v="14"/>
    <s v="Mozambique"/>
    <x v="31"/>
    <x v="31"/>
    <x v="3"/>
    <n v="2252973"/>
    <x v="59"/>
    <s v="HRP"/>
  </r>
  <r>
    <x v="14"/>
    <s v="Myanmar"/>
    <x v="35"/>
    <x v="35"/>
    <x v="3"/>
    <n v="18590021"/>
    <x v="66"/>
    <s v="HRP"/>
  </r>
  <r>
    <x v="14"/>
    <s v="Niger"/>
    <x v="37"/>
    <x v="37"/>
    <x v="3"/>
    <n v="4500000"/>
    <x v="70"/>
    <s v="HRP"/>
  </r>
  <r>
    <x v="14"/>
    <s v="Nigeria"/>
    <x v="41"/>
    <x v="41"/>
    <x v="3"/>
    <n v="7900000"/>
    <x v="75"/>
    <s v="HRP"/>
  </r>
  <r>
    <x v="14"/>
    <s v="Somalia"/>
    <x v="49"/>
    <x v="48"/>
    <x v="3"/>
    <n v="6869716"/>
    <x v="94"/>
    <s v="HRP"/>
  </r>
  <r>
    <x v="14"/>
    <s v="South Sudan"/>
    <x v="50"/>
    <x v="49"/>
    <x v="3"/>
    <n v="8996986"/>
    <x v="96"/>
    <s v="HRP"/>
  </r>
  <r>
    <x v="14"/>
    <s v="Sudan"/>
    <x v="53"/>
    <x v="52"/>
    <x v="3"/>
    <n v="24786370"/>
    <x v="107"/>
    <s v="HRP"/>
  </r>
  <r>
    <x v="14"/>
    <s v="Syrian Arab Republic"/>
    <x v="70"/>
    <x v="53"/>
    <x v="3"/>
    <n v="15300000"/>
    <x v="150"/>
    <s v="HRP"/>
  </r>
  <r>
    <x v="14"/>
    <s v="Ukraine"/>
    <x v="56"/>
    <x v="55"/>
    <x v="3"/>
    <n v="14622301"/>
    <x v="117"/>
    <s v="HRP"/>
  </r>
  <r>
    <x v="14"/>
    <s v="Venezuela"/>
    <x v="58"/>
    <x v="57"/>
    <x v="3"/>
    <n v="7581480"/>
    <x v="119"/>
    <s v="HRP"/>
  </r>
  <r>
    <x v="14"/>
    <s v="Yemen"/>
    <x v="59"/>
    <x v="58"/>
    <x v="3"/>
    <n v="18182658"/>
    <x v="121"/>
    <s v="HRP"/>
  </r>
  <r>
    <x v="14"/>
    <s v="Libya"/>
    <x v="29"/>
    <x v="29"/>
    <x v="3"/>
    <n v="250000"/>
    <x v="54"/>
    <s v="FA"/>
  </r>
  <r>
    <x v="14"/>
    <s v="Madagascar"/>
    <x v="27"/>
    <x v="27"/>
    <x v="3"/>
    <n v="2295813"/>
    <x v="48"/>
    <s v="FA"/>
  </r>
  <r>
    <x v="14"/>
    <s v="Occupied Palestinian Territory"/>
    <x v="43"/>
    <x v="42"/>
    <x v="3"/>
    <n v="2700000"/>
    <x v="80"/>
    <s v="FA"/>
  </r>
  <r>
    <x v="14"/>
    <s v="Afghanistan"/>
    <x v="0"/>
    <x v="0"/>
    <x v="3"/>
    <n v="7300000"/>
    <x v="0"/>
    <s v="RRP"/>
  </r>
  <r>
    <x v="14"/>
    <s v="Democratic Republic of the Congo"/>
    <x v="11"/>
    <x v="11"/>
    <x v="3"/>
    <n v="1856000"/>
    <x v="23"/>
    <s v="RRP"/>
  </r>
  <r>
    <x v="14"/>
    <s v="Rohingya (JRP)"/>
    <x v="35"/>
    <x v="35"/>
    <x v="3"/>
    <n v="1550000"/>
    <x v="153"/>
    <s v="RRP"/>
  </r>
  <r>
    <x v="14"/>
    <s v="South Sudan"/>
    <x v="50"/>
    <x v="49"/>
    <x v="3"/>
    <n v="4622729"/>
    <x v="96"/>
    <s v="RRP"/>
  </r>
  <r>
    <x v="14"/>
    <s v="Sudan"/>
    <x v="53"/>
    <x v="52"/>
    <x v="3"/>
    <n v="3285935"/>
    <x v="107"/>
    <s v="RRP"/>
  </r>
  <r>
    <x v="14"/>
    <s v="Syria (3RP)"/>
    <x v="54"/>
    <x v="53"/>
    <x v="3"/>
    <n v="17200000"/>
    <x v="159"/>
    <s v="RRP"/>
  </r>
  <r>
    <x v="14"/>
    <s v="The Horn of Africa and Yemen (MRP)"/>
    <x v="67"/>
    <x v="60"/>
    <x v="3"/>
    <n v="1864821"/>
    <x v="144"/>
    <s v="RRP"/>
  </r>
  <r>
    <x v="14"/>
    <s v="Ukraine"/>
    <x v="56"/>
    <x v="55"/>
    <x v="3"/>
    <n v="2245000"/>
    <x v="117"/>
    <s v="RRP"/>
  </r>
  <r>
    <x v="14"/>
    <s v="Venezuela (RMRP)"/>
    <x v="58"/>
    <x v="57"/>
    <x v="3"/>
    <n v="8678941"/>
    <x v="143"/>
    <s v="RRP"/>
  </r>
  <r>
    <x v="14"/>
    <s v="Afghanistan"/>
    <x v="0"/>
    <x v="0"/>
    <x v="2"/>
    <n v="3059587797"/>
    <x v="0"/>
    <s v="HRP"/>
  </r>
  <r>
    <x v="14"/>
    <s v="Burkina Faso"/>
    <x v="2"/>
    <x v="2"/>
    <x v="2"/>
    <n v="935000000"/>
    <x v="4"/>
    <s v="HRP"/>
  </r>
  <r>
    <x v="14"/>
    <s v="Cameroon"/>
    <x v="5"/>
    <x v="5"/>
    <x v="2"/>
    <n v="371369724"/>
    <x v="11"/>
    <s v="HRP"/>
  </r>
  <r>
    <x v="14"/>
    <s v="Central African Republic"/>
    <x v="6"/>
    <x v="6"/>
    <x v="2"/>
    <n v="367670976"/>
    <x v="13"/>
    <s v="HRP"/>
  </r>
  <r>
    <x v="14"/>
    <s v="Chad"/>
    <x v="7"/>
    <x v="7"/>
    <x v="2"/>
    <n v="1181400000"/>
    <x v="15"/>
    <s v="HRP"/>
  </r>
  <r>
    <x v="14"/>
    <s v="Colombia"/>
    <x v="18"/>
    <x v="18"/>
    <x v="2"/>
    <n v="331990687"/>
    <x v="35"/>
    <s v="HRP"/>
  </r>
  <r>
    <x v="14"/>
    <s v="Democratic Republic of the Congo"/>
    <x v="11"/>
    <x v="11"/>
    <x v="2"/>
    <n v="2580627746"/>
    <x v="23"/>
    <s v="HRP"/>
  </r>
  <r>
    <x v="14"/>
    <s v="El Salvador"/>
    <x v="40"/>
    <x v="64"/>
    <x v="2"/>
    <n v="87000000"/>
    <x v="149"/>
    <s v="HRP"/>
  </r>
  <r>
    <x v="14"/>
    <s v="Ethiopia"/>
    <x v="17"/>
    <x v="17"/>
    <x v="2"/>
    <n v="3235782784"/>
    <x v="34"/>
    <s v="HRP"/>
  </r>
  <r>
    <x v="14"/>
    <s v="Guatemala"/>
    <x v="14"/>
    <x v="14"/>
    <x v="2"/>
    <n v="125401425"/>
    <x v="26"/>
    <s v="HRP"/>
  </r>
  <r>
    <x v="14"/>
    <s v="Haiti"/>
    <x v="19"/>
    <x v="19"/>
    <x v="2"/>
    <n v="673767352"/>
    <x v="36"/>
    <s v="HRP"/>
  </r>
  <r>
    <x v="14"/>
    <s v="Honduras"/>
    <x v="15"/>
    <x v="15"/>
    <x v="2"/>
    <n v="203159869"/>
    <x v="29"/>
    <s v="HRP"/>
  </r>
  <r>
    <x v="14"/>
    <s v="Mali"/>
    <x v="33"/>
    <x v="33"/>
    <x v="2"/>
    <n v="701569941"/>
    <x v="63"/>
    <s v="HRP"/>
  </r>
  <r>
    <x v="14"/>
    <s v="Mozambique"/>
    <x v="31"/>
    <x v="31"/>
    <x v="2"/>
    <n v="413420177"/>
    <x v="59"/>
    <s v="HRP"/>
  </r>
  <r>
    <x v="14"/>
    <s v="Myanmar"/>
    <x v="35"/>
    <x v="35"/>
    <x v="2"/>
    <n v="993548103"/>
    <x v="66"/>
    <s v="HRP"/>
  </r>
  <r>
    <x v="14"/>
    <s v="Niger"/>
    <x v="37"/>
    <x v="37"/>
    <x v="2"/>
    <n v="662192757"/>
    <x v="70"/>
    <s v="HRP"/>
  </r>
  <r>
    <x v="14"/>
    <s v="Nigeria"/>
    <x v="41"/>
    <x v="41"/>
    <x v="2"/>
    <n v="860000000"/>
    <x v="75"/>
    <s v="HRP"/>
  </r>
  <r>
    <x v="14"/>
    <s v="Somalia"/>
    <x v="49"/>
    <x v="48"/>
    <x v="2"/>
    <n v="1585259297"/>
    <x v="94"/>
    <s v="HRP"/>
  </r>
  <r>
    <x v="14"/>
    <s v="South Sudan"/>
    <x v="50"/>
    <x v="49"/>
    <x v="2"/>
    <n v="1788817122"/>
    <x v="96"/>
    <s v="HRP"/>
  </r>
  <r>
    <x v="14"/>
    <s v="Sudan"/>
    <x v="53"/>
    <x v="52"/>
    <x v="2"/>
    <n v="2695680744"/>
    <x v="107"/>
    <s v="HRP"/>
  </r>
  <r>
    <x v="14"/>
    <s v="Syrian Arab Republic"/>
    <x v="70"/>
    <x v="53"/>
    <x v="2"/>
    <n v="4400000000"/>
    <x v="150"/>
    <s v="HRP"/>
  </r>
  <r>
    <x v="14"/>
    <s v="Ukraine"/>
    <x v="56"/>
    <x v="55"/>
    <x v="2"/>
    <n v="3107702931"/>
    <x v="117"/>
    <s v="HRP"/>
  </r>
  <r>
    <x v="14"/>
    <s v="Venezuela"/>
    <x v="58"/>
    <x v="57"/>
    <x v="2"/>
    <n v="617034811"/>
    <x v="119"/>
    <s v="HRP"/>
  </r>
  <r>
    <x v="14"/>
    <s v="Yemen"/>
    <x v="59"/>
    <x v="58"/>
    <x v="2"/>
    <n v="2705762394"/>
    <x v="121"/>
    <s v="HRP"/>
  </r>
  <r>
    <x v="14"/>
    <s v="Libya"/>
    <x v="29"/>
    <x v="29"/>
    <x v="2"/>
    <n v="33667840"/>
    <x v="54"/>
    <s v="FA"/>
  </r>
  <r>
    <x v="14"/>
    <s v="Madagascar"/>
    <x v="27"/>
    <x v="27"/>
    <x v="2"/>
    <n v="162217808"/>
    <x v="48"/>
    <s v="FA"/>
  </r>
  <r>
    <x v="14"/>
    <s v="Occupied Palestinian Territory"/>
    <x v="43"/>
    <x v="42"/>
    <x v="2"/>
    <n v="600000000"/>
    <x v="80"/>
    <s v="FA"/>
  </r>
  <r>
    <x v="14"/>
    <s v="Afghanistan"/>
    <x v="0"/>
    <x v="0"/>
    <x v="2"/>
    <n v="620000000"/>
    <x v="0"/>
    <s v="RRP"/>
  </r>
  <r>
    <x v="14"/>
    <s v="Democratic Republic of the Congo"/>
    <x v="11"/>
    <x v="11"/>
    <x v="2"/>
    <n v="629800000"/>
    <x v="23"/>
    <s v="RRP"/>
  </r>
  <r>
    <x v="14"/>
    <s v="Rohingya (JRP)"/>
    <x v="35"/>
    <x v="35"/>
    <x v="2"/>
    <n v="872700000"/>
    <x v="153"/>
    <s v="RRP"/>
  </r>
  <r>
    <x v="14"/>
    <s v="South Sudan"/>
    <x v="50"/>
    <x v="49"/>
    <x v="2"/>
    <n v="981294922"/>
    <x v="96"/>
    <s v="RRP"/>
  </r>
  <r>
    <x v="14"/>
    <s v="Sudan"/>
    <x v="53"/>
    <x v="52"/>
    <x v="2"/>
    <n v="281321594"/>
    <x v="107"/>
    <s v="RRP"/>
  </r>
  <r>
    <x v="14"/>
    <s v="Syria (3RP)"/>
    <x v="54"/>
    <x v="53"/>
    <x v="2"/>
    <n v="5540000000"/>
    <x v="159"/>
    <s v="RRP"/>
  </r>
  <r>
    <x v="14"/>
    <s v="The Horn of Africa and Yemen (MRP)"/>
    <x v="67"/>
    <x v="60"/>
    <x v="2"/>
    <n v="73867855"/>
    <x v="144"/>
    <s v="RRP"/>
  </r>
  <r>
    <x v="14"/>
    <s v="Ukraine"/>
    <x v="56"/>
    <x v="55"/>
    <x v="2"/>
    <n v="1038000000"/>
    <x v="117"/>
    <s v="RRP"/>
  </r>
  <r>
    <x v="14"/>
    <s v="Venezuela (RMRP)"/>
    <x v="58"/>
    <x v="57"/>
    <x v="2"/>
    <n v="1587428979"/>
    <x v="143"/>
    <s v="RRP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9">
  <r>
    <x v="0"/>
    <s v="Afghanistan"/>
    <s v="Afghanistan"/>
    <s v="AFG"/>
    <s v="People targeted"/>
    <n v="7800000"/>
    <s v="Afghanistan"/>
    <s v="Consolidated Appeal Process (CAP)"/>
    <m/>
    <x v="0"/>
  </r>
  <r>
    <x v="0"/>
    <s v="Afghanistan"/>
    <s v="Afghanistan"/>
    <s v="AFG"/>
    <s v="Funding received"/>
    <n v="223824925"/>
    <s v="Afghanistan"/>
    <s v="Consolidated Appeal Process (CAP)"/>
    <m/>
    <x v="1"/>
  </r>
  <r>
    <x v="0"/>
    <s v="Afghanistan"/>
    <s v="Afghanistan"/>
    <s v="AFG"/>
    <s v="Funding requirements"/>
    <n v="448551322"/>
    <s v="Afghanistan"/>
    <s v="Consolidated Appeal Process (CAP)"/>
    <m/>
    <x v="2"/>
  </r>
  <r>
    <x v="0"/>
    <s v="Afghanistan"/>
    <s v="Afghanistan"/>
    <s v="AFG"/>
    <s v="People targeted"/>
    <n v="5400000"/>
    <s v="Afghanistan"/>
    <s v="Consolidated Appeal Process (CAP)"/>
    <m/>
    <x v="0"/>
  </r>
  <r>
    <x v="0"/>
    <s v="Afghanistan"/>
    <s v="Afghanistan"/>
    <s v="AFG"/>
    <s v="Funding received"/>
    <n v="345246607"/>
    <s v="Afghanistan"/>
    <s v="Consolidated Appeal Process (CAP)"/>
    <m/>
    <x v="3"/>
  </r>
  <r>
    <x v="0"/>
    <s v="Afghanistan"/>
    <s v="Afghanistan"/>
    <s v="AFG"/>
    <s v="Funding requirements"/>
    <n v="474428380"/>
    <s v="Afghanistan"/>
    <s v="Consolidated Appeal Process (CAP)"/>
    <m/>
    <x v="3"/>
  </r>
  <r>
    <x v="0"/>
    <s v="Afghanistan"/>
    <s v="Afghanistan"/>
    <s v="AFG"/>
    <s v="People targeted"/>
    <n v="8800000"/>
    <s v="Afghanistan"/>
    <s v="Consolidated Appeal Process (CAP)"/>
    <m/>
    <x v="0"/>
  </r>
  <r>
    <x v="0"/>
    <s v="Afghanistan"/>
    <s v="Afghanistan"/>
    <s v="AFG"/>
    <s v="Funding received"/>
    <n v="309300000"/>
    <s v="Afghanistan"/>
    <m/>
    <m/>
    <x v="3"/>
  </r>
  <r>
    <x v="0"/>
    <s v="Afghanistan"/>
    <s v="Afghanistan"/>
    <s v="AFG"/>
    <s v="Funding requirements"/>
    <n v="406400000"/>
    <s v="Afghanistan"/>
    <m/>
    <m/>
    <x v="3"/>
  </r>
  <r>
    <x v="0"/>
    <s v="Afghanistan"/>
    <s v="Afghanistan"/>
    <s v="AFG"/>
    <s v="People in need"/>
    <n v="9000000"/>
    <s v="Afghanistan"/>
    <m/>
    <m/>
    <x v="0"/>
  </r>
  <r>
    <x v="0"/>
    <s v="Afghanistan"/>
    <s v="Afghanistan"/>
    <s v="AFG"/>
    <s v="Funding received"/>
    <n v="280000000"/>
    <s v="Afghanistan"/>
    <m/>
    <m/>
    <x v="3"/>
  </r>
  <r>
    <x v="0"/>
    <s v="Afghanistan"/>
    <s v="Afghanistan"/>
    <s v="AFG"/>
    <s v="Funding requirements"/>
    <n v="416700000"/>
    <s v="Afghanistan"/>
    <m/>
    <m/>
    <x v="3"/>
  </r>
  <r>
    <x v="0"/>
    <s v="Afghanistan"/>
    <s v="Afghanistan"/>
    <s v="AFG"/>
    <s v="People in need"/>
    <n v="7400000"/>
    <s v="Afghanistan"/>
    <m/>
    <m/>
    <x v="0"/>
  </r>
  <r>
    <x v="0"/>
    <s v="Afghanistan"/>
    <s v="Afghanistan"/>
    <s v="AFG"/>
    <s v="Funding received"/>
    <n v="180000000"/>
    <s v="Afghanistan"/>
    <m/>
    <m/>
    <x v="3"/>
  </r>
  <r>
    <x v="0"/>
    <s v="Afghanistan"/>
    <s v="Afghanistan"/>
    <s v="AFG"/>
    <s v="Funding requirements"/>
    <n v="338800000"/>
    <s v="Afghanistan"/>
    <m/>
    <m/>
    <x v="3"/>
  </r>
  <r>
    <x v="0"/>
    <s v="Afghanistan"/>
    <s v="Afghanistan"/>
    <s v="AFG"/>
    <s v="People in need"/>
    <n v="8100000"/>
    <s v="Afghanistan"/>
    <m/>
    <m/>
    <x v="0"/>
  </r>
  <r>
    <x v="0"/>
    <s v="Afghanistan"/>
    <s v="Afghanistan"/>
    <s v="AFG"/>
    <s v="Funding received"/>
    <n v="286700000"/>
    <s v="Afghanistan"/>
    <s v="Humanitarian Response Plan (HRP)"/>
    <m/>
    <x v="3"/>
  </r>
  <r>
    <x v="0"/>
    <s v="Afghanistan"/>
    <s v="Afghanistan"/>
    <s v="AFG"/>
    <s v="Funding requirements"/>
    <n v="409400000"/>
    <s v="Afghanistan"/>
    <s v="Humanitarian Response Plan (HRP)"/>
    <m/>
    <x v="3"/>
  </r>
  <r>
    <x v="0"/>
    <s v="Afghanistan"/>
    <s v="Afghanistan"/>
    <s v="AFG"/>
    <s v="People in need"/>
    <n v="7400000"/>
    <s v="Afghanistan"/>
    <s v="Humanitarian Response Plan (HRP)"/>
    <m/>
    <x v="0"/>
  </r>
  <r>
    <x v="0"/>
    <s v="Afghanistan"/>
    <s v="Afghanistan"/>
    <s v="AFG"/>
    <s v="Funding received"/>
    <n v="444600000"/>
    <s v="Afghanistan"/>
    <s v="Humanitarian Response Plan (HRP)"/>
    <m/>
    <x v="3"/>
  </r>
  <r>
    <x v="0"/>
    <s v="Afghanistan"/>
    <s v="Afghanistan"/>
    <s v="AFG"/>
    <s v="Funding requirements"/>
    <n v="546600000"/>
    <s v="Afghanistan"/>
    <s v="Humanitarian Response Plan (HRP)"/>
    <m/>
    <x v="3"/>
  </r>
  <r>
    <x v="0"/>
    <s v="Afghanistan"/>
    <s v="Afghanistan"/>
    <s v="AFG"/>
    <s v="People in need"/>
    <n v="6500000"/>
    <s v="Afghanistan"/>
    <s v="Humanitarian Response Plan (HRP)"/>
    <m/>
    <x v="0"/>
  </r>
  <r>
    <x v="0"/>
    <s v="Afghanistan"/>
    <s v="Afghanistan"/>
    <s v="AFG"/>
    <s v="Funding received"/>
    <n v="423400000"/>
    <s v="Afghanistan"/>
    <s v="Humanitarian Response Plan (HRP)"/>
    <m/>
    <x v="3"/>
  </r>
  <r>
    <x v="0"/>
    <s v="Afghanistan"/>
    <s v="Afghanistan"/>
    <s v="AFG"/>
    <s v="Funding requirements"/>
    <n v="611800000"/>
    <s v="Afghanistan"/>
    <s v="Humanitarian Response Plan (HRP)"/>
    <m/>
    <x v="3"/>
  </r>
  <r>
    <x v="0"/>
    <s v="Afghanistan"/>
    <s v="Afghanistan"/>
    <s v="AFG"/>
    <s v="People in need"/>
    <n v="6300000"/>
    <s v="Afghanistan"/>
    <s v="Humanitarian Response Plan (HRP)"/>
    <m/>
    <x v="0"/>
  </r>
  <r>
    <x v="0"/>
    <s v="Afghanistan"/>
    <s v="Afghanistan"/>
    <s v="AFG"/>
    <s v="Funding requirements"/>
    <n v="732600000"/>
    <s v="Afghanistan"/>
    <s v="Humanitarian Response Plan (HRP)"/>
    <m/>
    <x v="3"/>
  </r>
  <r>
    <x v="0"/>
    <s v="Afghanistan"/>
    <s v="Afghanistan"/>
    <s v="AFG"/>
    <s v="People in need"/>
    <n v="13950000"/>
    <s v="Afghanistan"/>
    <s v="Humanitarian Response Plan (HRP)"/>
    <m/>
    <x v="0"/>
  </r>
  <r>
    <x v="0"/>
    <s v="Afghanistan Flash Appeal"/>
    <s v="Afghanistan"/>
    <s v="AFG"/>
    <s v="Funding received"/>
    <n v="53500000"/>
    <s v="Afghanistan Flash Appeal"/>
    <m/>
    <m/>
    <x v="3"/>
  </r>
  <r>
    <x v="0"/>
    <s v="Afghanistan Flash Appeal"/>
    <s v="Afghanistan"/>
    <s v="AFG"/>
    <s v="Funding requirements"/>
    <n v="152100000"/>
    <s v="Afghanistan Flash Appeal"/>
    <m/>
    <m/>
    <x v="3"/>
  </r>
  <r>
    <x v="0"/>
    <s v="Afghanistan Humanitarian Action Plan"/>
    <s v="Afghanistan"/>
    <s v="AFG"/>
    <s v="Funding requirements"/>
    <n v="774508310"/>
    <s v="Afghanistan Humanitarian Action Plan"/>
    <s v="Consolidated Appeal Process (CAP)"/>
    <m/>
    <x v="3"/>
  </r>
  <r>
    <x v="0"/>
    <s v="Afghanistan Humanitarian Action Plan"/>
    <s v="Afghanistan"/>
    <s v="AFG"/>
    <s v="Funding received"/>
    <n v="505299903"/>
    <s v="Afghanistan Humanitarian Action Plan"/>
    <s v="Consolidated Appeal Process (CAP)"/>
    <m/>
    <x v="3"/>
  </r>
  <r>
    <x v="0"/>
    <s v="Afghanistan"/>
    <s v="Afghanistan"/>
    <s v="AFG"/>
    <s v="Funding received"/>
    <n v="426528103"/>
    <s v="Afghanistan"/>
    <s v="Consolidated Appeal Process (CAP)"/>
    <m/>
    <x v="3"/>
  </r>
  <r>
    <x v="0"/>
    <s v="Afghanistan"/>
    <s v="Afghanistan"/>
    <s v="AFG"/>
    <s v="Funding requirements"/>
    <n v="582318627"/>
    <s v="Afghanistan"/>
    <s v="Consolidated Appeal Process (CAP)"/>
    <m/>
    <x v="3"/>
  </r>
  <r>
    <x v="0"/>
    <s v="Bangladesh"/>
    <s v="Bangladesh"/>
    <s v="BGD"/>
    <s v="Funding received"/>
    <n v="149100000"/>
    <s v="Bangladesh"/>
    <s v="Other"/>
    <m/>
    <x v="3"/>
  </r>
  <r>
    <x v="0"/>
    <s v="Bangladesh"/>
    <s v="Bangladesh"/>
    <s v="BGD"/>
    <s v="Funding requirements"/>
    <n v="434100000"/>
    <s v="Bangladesh"/>
    <s v="Other"/>
    <m/>
    <x v="3"/>
  </r>
  <r>
    <x v="0"/>
    <s v="Bangladesh"/>
    <s v="Bangladesh"/>
    <s v="BGD"/>
    <s v="Funding received"/>
    <n v="682100000"/>
    <s v="Bangladesh"/>
    <s v="Other"/>
    <m/>
    <x v="3"/>
  </r>
  <r>
    <x v="0"/>
    <s v="Bangladesh"/>
    <s v="Bangladesh"/>
    <s v="BGD"/>
    <s v="Funding requirements"/>
    <n v="950800000"/>
    <s v="Bangladesh"/>
    <s v="Other"/>
    <m/>
    <x v="3"/>
  </r>
  <r>
    <x v="0"/>
    <s v="Bangladesh"/>
    <s v="Bangladesh"/>
    <s v="BGD"/>
    <s v="People in need"/>
    <n v="1300000"/>
    <s v="Bangladesh"/>
    <s v="Other"/>
    <m/>
    <x v="0"/>
  </r>
  <r>
    <x v="0"/>
    <s v="Bangladesh"/>
    <s v="Bangladesh"/>
    <s v="BGD"/>
    <s v="Funding requirements"/>
    <n v="920500000"/>
    <s v="Bangladesh"/>
    <s v="Other"/>
    <m/>
    <x v="3"/>
  </r>
  <r>
    <x v="0"/>
    <s v="Bangladesh"/>
    <s v="Bangladesh"/>
    <s v="BGD"/>
    <s v="Funding received"/>
    <n v="613900000"/>
    <s v="Bangladesh"/>
    <s v="Other"/>
    <m/>
    <x v="3"/>
  </r>
  <r>
    <x v="0"/>
    <s v="Bangladesh"/>
    <s v="Bangladesh"/>
    <s v="BGD"/>
    <s v="People in need"/>
    <n v="1200000"/>
    <s v="Bangladesh"/>
    <s v="Other"/>
    <m/>
    <x v="0"/>
  </r>
  <r>
    <x v="0"/>
    <s v="Afghanistan"/>
    <s v="Afghanistan"/>
    <s v="AFG"/>
    <s v="Funding requirements"/>
    <n v="1281635457"/>
    <s v="Afghanistan"/>
    <s v="Humanitarian response plan"/>
    <m/>
    <x v="2"/>
  </r>
  <r>
    <x v="0"/>
    <s v="Burkina Faso"/>
    <s v="Burkina Faso"/>
    <s v="BFA"/>
    <s v="Funding received"/>
    <n v="85944494"/>
    <s v="Burkina Faso"/>
    <s v="Consolidated Appeal Process (CAP)"/>
    <m/>
    <x v="3"/>
  </r>
  <r>
    <x v="0"/>
    <s v="Burkina Faso"/>
    <s v="Burkina Faso"/>
    <s v="BFA"/>
    <s v="Funding requirements"/>
    <n v="126062151"/>
    <s v="Burkina Faso"/>
    <s v="Consolidated Appeal Process (CAP)"/>
    <m/>
    <x v="3"/>
  </r>
  <r>
    <x v="0"/>
    <s v="Burkina Faso"/>
    <s v="Burkina Faso"/>
    <s v="BFA"/>
    <s v="People targeted"/>
    <n v="3500000"/>
    <s v="Burkina Faso"/>
    <s v="Consolidated Appeal Process (CAP)"/>
    <m/>
    <x v="0"/>
  </r>
  <r>
    <x v="0"/>
    <s v="Burkina Faso"/>
    <s v="Burkina Faso"/>
    <s v="BFA"/>
    <s v="Funding received"/>
    <n v="76004187"/>
    <s v="Burkina Faso"/>
    <s v="Consolidated Appeal Process (CAP)"/>
    <m/>
    <x v="3"/>
  </r>
  <r>
    <x v="1"/>
    <s v="Burkina Faso"/>
    <s v="Burkina Faso"/>
    <s v="BFA"/>
    <s v="Funding requirements"/>
    <n v="138977186"/>
    <s v="Burkina Faso"/>
    <s v="Consolidated Appeal Process (CAP)"/>
    <m/>
    <x v="3"/>
  </r>
  <r>
    <x v="1"/>
    <s v="Burkina Faso"/>
    <s v="Burkina Faso"/>
    <s v="BFA"/>
    <s v="People targeted"/>
    <n v="3500000"/>
    <s v="Burkina Faso"/>
    <s v="Consolidated Appeal Process (CAP)"/>
    <m/>
    <x v="0"/>
  </r>
  <r>
    <x v="1"/>
    <s v="Burkina Faso"/>
    <s v="Burkina Faso"/>
    <s v="BFA"/>
    <s v="Funding received"/>
    <n v="40500000"/>
    <s v="Burkina Faso"/>
    <m/>
    <m/>
    <x v="3"/>
  </r>
  <r>
    <x v="1"/>
    <s v="Burkina Faso"/>
    <s v="Burkina Faso"/>
    <s v="BFA"/>
    <s v="Funding requirements"/>
    <n v="99300000"/>
    <s v="Burkina Faso"/>
    <m/>
    <m/>
    <x v="3"/>
  </r>
  <r>
    <x v="1"/>
    <s v="Burkina Faso"/>
    <s v="Burkina Faso"/>
    <s v="BFA"/>
    <s v="People in need"/>
    <n v="1300000"/>
    <s v="Burkina Faso"/>
    <m/>
    <m/>
    <x v="0"/>
  </r>
  <r>
    <x v="1"/>
    <s v="Burkina Faso"/>
    <s v="Burkina Faso"/>
    <s v="BFA"/>
    <s v="Funding received"/>
    <n v="30400000"/>
    <s v="Burkina Faso"/>
    <m/>
    <m/>
    <x v="3"/>
  </r>
  <r>
    <x v="1"/>
    <s v="Burkina Faso"/>
    <s v="Burkina Faso"/>
    <s v="BFA"/>
    <s v="Funding requirements"/>
    <n v="98800000"/>
    <s v="Burkina Faso"/>
    <m/>
    <m/>
    <x v="3"/>
  </r>
  <r>
    <x v="1"/>
    <s v="Burkina Faso"/>
    <s v="Burkina Faso"/>
    <s v="BFA"/>
    <s v="People in need"/>
    <n v="939148"/>
    <s v="Burkina Faso"/>
    <m/>
    <m/>
    <x v="0"/>
  </r>
  <r>
    <x v="1"/>
    <s v="Burkina Faso"/>
    <s v="Burkina Faso"/>
    <s v="BFA"/>
    <s v="Funding received"/>
    <n v="49500000"/>
    <s v="Burkina Faso"/>
    <m/>
    <m/>
    <x v="3"/>
  </r>
  <r>
    <x v="1"/>
    <s v="Burkina Faso"/>
    <s v="Burkina Faso"/>
    <s v="BFA"/>
    <s v="Funding requirements"/>
    <n v="90500000"/>
    <s v="Burkina Faso"/>
    <m/>
    <m/>
    <x v="3"/>
  </r>
  <r>
    <x v="1"/>
    <s v="Burkina Faso"/>
    <s v="Burkina Faso"/>
    <s v="BFA"/>
    <s v="People in need"/>
    <n v="1600000"/>
    <s v="Burkina Faso"/>
    <m/>
    <m/>
    <x v="0"/>
  </r>
  <r>
    <x v="1"/>
    <s v="Burkina Faso"/>
    <s v="Burkina Faso"/>
    <s v="BFA"/>
    <s v="Funding received"/>
    <n v="27400000"/>
    <s v="Burkina Faso"/>
    <s v="Humanitarian Response Plan (HRP)"/>
    <m/>
    <x v="3"/>
  </r>
  <r>
    <x v="1"/>
    <s v="Burkina Faso"/>
    <s v="Burkina Faso"/>
    <s v="BFA"/>
    <s v="Funding requirements"/>
    <n v="61100000"/>
    <s v="Burkina Faso"/>
    <s v="Humanitarian Response Plan (HRP)"/>
    <m/>
    <x v="3"/>
  </r>
  <r>
    <x v="1"/>
    <s v="Burkina Faso"/>
    <s v="Burkina Faso"/>
    <s v="BFA"/>
    <s v="People in need"/>
    <n v="861000"/>
    <s v="Burkina Faso"/>
    <s v="Humanitarian Response Plan (HRP)"/>
    <m/>
    <x v="0"/>
  </r>
  <r>
    <x v="1"/>
    <s v="Burkina Faso"/>
    <s v="Burkina Faso"/>
    <s v="BFA"/>
    <s v="Funding received"/>
    <n v="51800000"/>
    <s v="Burkina Faso"/>
    <s v="Other"/>
    <m/>
    <x v="3"/>
  </r>
  <r>
    <x v="1"/>
    <s v="Burkina Faso"/>
    <s v="Burkina Faso"/>
    <s v="BFA"/>
    <s v="Funding requirements"/>
    <n v="90300000"/>
    <s v="Burkina Faso"/>
    <s v="Other"/>
    <m/>
    <x v="3"/>
  </r>
  <r>
    <x v="1"/>
    <s v="Burkina Faso"/>
    <s v="Burkina Faso"/>
    <s v="BFA"/>
    <s v="People in need"/>
    <n v="954000"/>
    <s v="Burkina Faso"/>
    <s v="Other"/>
    <m/>
    <x v="0"/>
  </r>
  <r>
    <x v="1"/>
    <s v="Bangladesh"/>
    <s v="Bangladesh"/>
    <s v="BGD"/>
    <s v="People in need"/>
    <n v="1200000"/>
    <s v="Bangladesh"/>
    <s v="Other"/>
    <m/>
    <x v="0"/>
  </r>
  <r>
    <x v="1"/>
    <s v="Burkina Faso"/>
    <s v="Burkina Faso"/>
    <s v="BFA"/>
    <s v="Funding requirements"/>
    <n v="187000000"/>
    <s v="Burkina Faso"/>
    <s v="Other"/>
    <m/>
    <x v="3"/>
  </r>
  <r>
    <x v="1"/>
    <s v="Bangladesh (Intersectoral)"/>
    <s v="Bangladesh"/>
    <s v="BGD"/>
    <s v="People in need"/>
    <n v="20180000"/>
    <s v="Bangladesh (Intersectoral)"/>
    <s v="COVID-19 (Intersectoral)"/>
    <s v="yes"/>
    <x v="0"/>
  </r>
  <r>
    <x v="1"/>
    <s v="Burkina Faso Emergency Humanitarian Action Plan"/>
    <s v="Burkina Faso"/>
    <s v="BFA"/>
    <s v="Funding received"/>
    <n v="3896575"/>
    <s v="Burkina Faso Emergency Humanitarian Action Plan"/>
    <s v="Other"/>
    <m/>
    <x v="3"/>
  </r>
  <r>
    <x v="1"/>
    <s v="Burkina Faso Emergency Humanitarian Action Plan"/>
    <s v="Burkina Faso"/>
    <s v="BFA"/>
    <s v="Funding requirements"/>
    <n v="14163313"/>
    <s v="Burkina Faso Emergency Humanitarian Action Plan"/>
    <s v="Other"/>
    <m/>
    <x v="3"/>
  </r>
  <r>
    <x v="1"/>
    <s v="Burundi"/>
    <s v="Burundi"/>
    <s v="BDI"/>
    <s v="Funding received"/>
    <n v="43600000"/>
    <s v="Burundi"/>
    <m/>
    <m/>
    <x v="3"/>
  </r>
  <r>
    <x v="1"/>
    <s v="Burundi"/>
    <s v="Burundi"/>
    <s v="BDI"/>
    <s v="Funding requirements"/>
    <n v="62300000"/>
    <s v="Burundi"/>
    <m/>
    <m/>
    <x v="3"/>
  </r>
  <r>
    <x v="1"/>
    <s v="Burundi"/>
    <s v="Burundi"/>
    <s v="BDI"/>
    <s v="Funding received"/>
    <n v="40500000"/>
    <s v="Burundi"/>
    <s v="Humanitarian Response Plan (HRP)"/>
    <m/>
    <x v="3"/>
  </r>
  <r>
    <x v="1"/>
    <s v="Burundi"/>
    <s v="Burundi"/>
    <s v="BDI"/>
    <s v="Funding requirements"/>
    <n v="73700000"/>
    <s v="Burundi"/>
    <s v="Humanitarian Response Plan (HRP)"/>
    <m/>
    <x v="3"/>
  </r>
  <r>
    <x v="1"/>
    <s v="Burundi"/>
    <s v="Burundi"/>
    <s v="BDI"/>
    <s v="People in need"/>
    <n v="3000000"/>
    <s v="Burundi"/>
    <s v="Humanitarian Response Plan (HRP)"/>
    <m/>
    <x v="0"/>
  </r>
  <r>
    <x v="1"/>
    <s v="Burundi"/>
    <s v="Burundi"/>
    <s v="BDI"/>
    <s v="Funding received"/>
    <n v="76000000"/>
    <s v="Burundi"/>
    <s v="Humanitarian Response Plan (HRP)"/>
    <m/>
    <x v="3"/>
  </r>
  <r>
    <x v="1"/>
    <s v="Burundi"/>
    <s v="Burundi"/>
    <s v="BDI"/>
    <s v="Funding requirements"/>
    <n v="141800000"/>
    <s v="Burundi"/>
    <s v="Humanitarian Response Plan (HRP)"/>
    <m/>
    <x v="3"/>
  </r>
  <r>
    <x v="1"/>
    <s v="Burundi"/>
    <s v="Burundi"/>
    <s v="BDI"/>
    <s v="People in need"/>
    <n v="3600000"/>
    <s v="Burundi"/>
    <s v="Humanitarian Response Plan (HRP)"/>
    <m/>
    <x v="0"/>
  </r>
  <r>
    <x v="1"/>
    <s v="Benin"/>
    <s v="Benin"/>
    <s v="BEN"/>
    <s v="People in need"/>
    <n v="3000000"/>
    <s v="Benin"/>
    <s v="COVID-19"/>
    <s v="yes"/>
    <x v="0"/>
  </r>
  <r>
    <x v="1"/>
    <s v="Burundi"/>
    <s v="Burundi"/>
    <s v="BDI"/>
    <s v="Funding requirements"/>
    <n v="106300000"/>
    <s v="Burundi"/>
    <s v="Humanitarian Response Plan (HRP)"/>
    <m/>
    <x v="3"/>
  </r>
  <r>
    <x v="1"/>
    <s v="Bangladesh"/>
    <s v="Bangladesh"/>
    <s v="BGD"/>
    <s v="Funding requirements"/>
    <n v="871000000"/>
    <s v="Bangladesh"/>
    <s v="Other"/>
    <m/>
    <x v="3"/>
  </r>
  <r>
    <x v="1"/>
    <s v="Burkina Faso"/>
    <s v="Burkina Faso"/>
    <s v="BFA"/>
    <s v="Funding received"/>
    <n v="76600000"/>
    <s v="Burkina Faso"/>
    <s v="Other"/>
    <m/>
    <x v="3"/>
  </r>
  <r>
    <x v="1"/>
    <s v="Burkina Faso"/>
    <s v="Burkina Faso"/>
    <s v="BFA"/>
    <s v="People in need"/>
    <n v="1200000"/>
    <s v="Burkina Faso"/>
    <s v="Other"/>
    <m/>
    <x v="0"/>
  </r>
  <r>
    <x v="1"/>
    <s v="Burundi Regional Refugee Response Plan"/>
    <s v="Burundi"/>
    <s v="BDI"/>
    <s v="Funding requirements"/>
    <n v="261700000"/>
    <s v="Burundi Regional Refugee Response Plan"/>
    <s v="Refugee Response Plan"/>
    <m/>
    <x v="3"/>
  </r>
  <r>
    <x v="1"/>
    <s v="Burkina Faso"/>
    <s v="Burkina Faso"/>
    <s v="BFA"/>
    <s v="People in need"/>
    <n v="2900000"/>
    <s v="Burkina Faso"/>
    <s v="Humanitarian Response Plan (HRP)"/>
    <m/>
    <x v="0"/>
  </r>
  <r>
    <x v="1"/>
    <s v="Burkina Faso"/>
    <s v="Burkina Faso"/>
    <s v="BFA"/>
    <s v="Funding requirements"/>
    <n v="295000000"/>
    <s v="Burkina Faso"/>
    <s v="Humanitarian Response Plan (HRP)"/>
    <m/>
    <x v="3"/>
  </r>
  <r>
    <x v="1"/>
    <s v="Burundi Regional Refugee Response Plan"/>
    <s v="Burundi"/>
    <s v="BDI"/>
    <s v="Funding received"/>
    <n v="152800000"/>
    <s v="Burundi Regional Refugee Response Plan"/>
    <s v="Refugee Response Plan"/>
    <m/>
    <x v="3"/>
  </r>
  <r>
    <x v="1"/>
    <s v="Burundi Regional Refugee Response Plan"/>
    <s v="Burundi"/>
    <s v="BDI"/>
    <s v="Funding requirements"/>
    <n v="313900000"/>
    <s v="Burundi Regional Refugee Response Plan"/>
    <s v="Refugee Response Plan"/>
    <m/>
    <x v="3"/>
  </r>
  <r>
    <x v="1"/>
    <s v="Burundi Regional Refugee Response Plan"/>
    <s v="Burundi"/>
    <s v="BDI"/>
    <s v="People in need"/>
    <n v="330000"/>
    <s v="Burundi Regional Refugee Response Plan"/>
    <s v="Refugee Response Plan"/>
    <m/>
    <x v="0"/>
  </r>
  <r>
    <x v="1"/>
    <s v="Burundi Regional Refugee Response Plan"/>
    <s v="Burundi"/>
    <s v="BDI"/>
    <s v="Funding received"/>
    <n v="110600000"/>
    <s v="Burundi Regional Refugee Response Plan"/>
    <s v="Refugee Response Plan"/>
    <m/>
    <x v="3"/>
  </r>
  <r>
    <x v="1"/>
    <s v="Burundi Regional Refugee Response Plan"/>
    <s v="Burundi"/>
    <s v="BDI"/>
    <s v="Funding requirements"/>
    <n v="391200000"/>
    <s v="Burundi Regional Refugee Response Plan"/>
    <s v="Refugee Response Plan"/>
    <m/>
    <x v="3"/>
  </r>
  <r>
    <x v="1"/>
    <s v="Burundi Regional Refugee Response Plan"/>
    <s v="Burundi"/>
    <s v="BDI"/>
    <s v="People in need"/>
    <n v="484000"/>
    <s v="Burundi Regional Refugee Response Plan"/>
    <s v="Refugee Response Plan"/>
    <m/>
    <x v="0"/>
  </r>
  <r>
    <x v="1"/>
    <s v="Burundi Refugee Response Plan"/>
    <s v="Burundi"/>
    <s v="BDI"/>
    <s v="Funding received"/>
    <n v="74300000"/>
    <s v="Burundi Regional Refugee Response Plan"/>
    <s v="Refugee Response Plan"/>
    <m/>
    <x v="3"/>
  </r>
  <r>
    <x v="1"/>
    <s v="Burundi Refugee Response Plan"/>
    <s v="Burundi"/>
    <s v="BDI"/>
    <s v="Funding requirements"/>
    <n v="429300000"/>
    <s v="Burundi Regional Refugee Response Plan"/>
    <s v="Refugee Response Plan"/>
    <m/>
    <x v="3"/>
  </r>
  <r>
    <x v="1"/>
    <s v="Burundi Refugee Response Plan"/>
    <s v="Burundi"/>
    <s v="BDI"/>
    <s v="Funding received"/>
    <n v="73800000"/>
    <s v="Burundi Refugee Response Plan"/>
    <s v="Refugee Response Plan"/>
    <m/>
    <x v="3"/>
  </r>
  <r>
    <x v="1"/>
    <s v="Burundi Refugee Response Plan"/>
    <s v="Burundi"/>
    <s v="BDI"/>
    <s v="Funding requirements"/>
    <n v="306600000"/>
    <s v="Burundi Refugee Response Plan"/>
    <s v="Refugee Response Plan"/>
    <m/>
    <x v="3"/>
  </r>
  <r>
    <x v="1"/>
    <s v="Burundi"/>
    <s v="Burundi"/>
    <s v="BDI"/>
    <s v="Funding received"/>
    <n v="64300000"/>
    <s v="Burundi"/>
    <s v="Humanitarian Response Plan (HRP)"/>
    <m/>
    <x v="3"/>
  </r>
  <r>
    <x v="1"/>
    <s v="Cameroon"/>
    <s v="Cameroon"/>
    <s v="CMR"/>
    <s v="Funding received"/>
    <n v="73000000"/>
    <s v="Cameroon"/>
    <m/>
    <m/>
    <x v="3"/>
  </r>
  <r>
    <x v="1"/>
    <s v="Cameroon"/>
    <s v="Cameroon"/>
    <s v="CMR"/>
    <s v="Funding requirements"/>
    <n v="125800000"/>
    <s v="Cameroon"/>
    <m/>
    <m/>
    <x v="3"/>
  </r>
  <r>
    <x v="1"/>
    <s v="Cameroon"/>
    <s v="Cameroon"/>
    <s v="CMR"/>
    <s v="People in need"/>
    <n v="6100000"/>
    <s v="Cameroon"/>
    <m/>
    <m/>
    <x v="0"/>
  </r>
  <r>
    <x v="1"/>
    <s v="Cameroon"/>
    <s v="Cameroon"/>
    <s v="CMR"/>
    <s v="Funding received"/>
    <n v="117100000"/>
    <s v="Cameroon"/>
    <m/>
    <m/>
    <x v="3"/>
  </r>
  <r>
    <x v="1"/>
    <s v="Cameroon"/>
    <s v="Cameroon"/>
    <s v="CMR"/>
    <s v="Funding requirements"/>
    <n v="264000000"/>
    <s v="Cameroon"/>
    <m/>
    <m/>
    <x v="3"/>
  </r>
  <r>
    <x v="1"/>
    <s v="Cameroon"/>
    <s v="Cameroon"/>
    <s v="CMR"/>
    <s v="People in need"/>
    <n v="2070000"/>
    <s v="Cameroon"/>
    <m/>
    <m/>
    <x v="0"/>
  </r>
  <r>
    <x v="1"/>
    <s v="Cameroon"/>
    <s v="Cameroon"/>
    <s v="CMR"/>
    <s v="Funding received"/>
    <n v="108700000"/>
    <s v="Cameroon"/>
    <m/>
    <m/>
    <x v="3"/>
  </r>
  <r>
    <x v="1"/>
    <s v="Cameroon"/>
    <s v="Cameroon"/>
    <s v="CMR"/>
    <s v="Funding requirements"/>
    <n v="232200000"/>
    <s v="Cameroon"/>
    <m/>
    <m/>
    <x v="3"/>
  </r>
  <r>
    <x v="1"/>
    <s v="Cameroon"/>
    <s v="Cameroon"/>
    <s v="CMR"/>
    <s v="People in need"/>
    <n v="2900000"/>
    <s v="Cameroon"/>
    <m/>
    <m/>
    <x v="0"/>
  </r>
  <r>
    <x v="1"/>
    <s v="Cameroon"/>
    <s v="Cameroon"/>
    <s v="CMR"/>
    <s v="Funding received"/>
    <n v="111900000"/>
    <s v="Cameroon"/>
    <s v="Humanitarian Response Plan (HRP)"/>
    <m/>
    <x v="3"/>
  </r>
  <r>
    <x v="1"/>
    <s v="Cameroon"/>
    <s v="Cameroon"/>
    <s v="CMR"/>
    <s v="Funding requirements"/>
    <n v="238100000"/>
    <s v="Cameroon"/>
    <s v="Humanitarian Response Plan (HRP)"/>
    <m/>
    <x v="3"/>
  </r>
  <r>
    <x v="1"/>
    <s v="Cameroon"/>
    <s v="Cameroon"/>
    <s v="CMR"/>
    <s v="People in need"/>
    <n v="2900000"/>
    <s v="Cameroon"/>
    <s v="Humanitarian Response Plan (HRP)"/>
    <m/>
    <x v="0"/>
  </r>
  <r>
    <x v="1"/>
    <s v="Cameroon"/>
    <s v="Cameroon"/>
    <s v="CMR"/>
    <s v="Funding received"/>
    <n v="117300000"/>
    <s v="Cameroon"/>
    <s v="Humanitarian Response Plan (HRP)"/>
    <m/>
    <x v="3"/>
  </r>
  <r>
    <x v="2"/>
    <s v="Cameroon"/>
    <s v="Cameroon"/>
    <s v="CMR"/>
    <s v="Funding requirements"/>
    <n v="319700000"/>
    <s v="Cameroon"/>
    <s v="Humanitarian Response Plan (HRP)"/>
    <m/>
    <x v="3"/>
  </r>
  <r>
    <x v="2"/>
    <s v="Cameroon"/>
    <s v="Cameroon"/>
    <s v="CMR"/>
    <s v="People in need"/>
    <n v="3400000"/>
    <s v="Cameroon"/>
    <s v="Humanitarian Response Plan (HRP)"/>
    <m/>
    <x v="0"/>
  </r>
  <r>
    <x v="2"/>
    <s v="Burundi Regional Refugee Response Plan"/>
    <s v="Burundi"/>
    <s v="BDI"/>
    <s v="Funding received"/>
    <n v="85400000"/>
    <s v="Burundi Regional Refugee Response Plan"/>
    <s v="Refugee Response Plan"/>
    <m/>
    <x v="3"/>
  </r>
  <r>
    <x v="2"/>
    <s v="Cameroon"/>
    <s v="Cameroon"/>
    <s v="CMR"/>
    <s v="Funding requirements"/>
    <n v="298900000"/>
    <s v="Cameroon"/>
    <s v="Humanitarian Response Plan (HRP)"/>
    <m/>
    <x v="3"/>
  </r>
  <r>
    <x v="2"/>
    <s v="Burundi"/>
    <s v="Burundi"/>
    <s v="BDI"/>
    <s v="People in need"/>
    <n v="1800000"/>
    <s v="Burundi"/>
    <s v="Humanitarian Response Plan (HRP)"/>
    <m/>
    <x v="0"/>
  </r>
  <r>
    <x v="2"/>
    <s v="Burundi Regional Refugee Response Plan"/>
    <s v="Burundi"/>
    <s v="BDI"/>
    <s v="People in need"/>
    <n v="223000"/>
    <s v="Burundi Regional Refugee Response Plan"/>
    <s v="Refugee Response Plan"/>
    <m/>
    <x v="0"/>
  </r>
  <r>
    <x v="2"/>
    <s v="Central African Republic Regional Refugee Response Plan"/>
    <s v="Central African Republic"/>
    <s v="CAF"/>
    <s v="Funding received"/>
    <n v="80500000"/>
    <s v="Central African Republic Regional Refugee Response Plan"/>
    <m/>
    <m/>
    <x v="3"/>
  </r>
  <r>
    <x v="2"/>
    <s v="Central African Republic Regional Refugee Response Plan"/>
    <s v="Central African Republic"/>
    <s v="CAF"/>
    <s v="Funding requirements"/>
    <n v="345700000"/>
    <s v="Central African Republic Regional Refugee Response Plan"/>
    <m/>
    <m/>
    <x v="3"/>
  </r>
  <r>
    <x v="2"/>
    <s v="Central African Republic Regional Refugee Response Plan"/>
    <s v="Central African Republic"/>
    <s v="CAF"/>
    <s v="People in need"/>
    <n v="1300000"/>
    <s v="Central African Republic Regional Refugee Response Plan"/>
    <m/>
    <m/>
    <x v="0"/>
  </r>
  <r>
    <x v="2"/>
    <s v="Central African Republic"/>
    <s v="Central African Republic"/>
    <s v="CAF"/>
    <s v="Funding received"/>
    <n v="102801363"/>
    <s v="Central African Republic"/>
    <s v="Consolidated Appeal Process (CAP)"/>
    <m/>
    <x v="3"/>
  </r>
  <r>
    <x v="2"/>
    <s v="Central African Republic"/>
    <s v="Central African Republic"/>
    <s v="CAF"/>
    <s v="Funding requirements"/>
    <n v="195136527"/>
    <s v="Central African Republic"/>
    <s v="Consolidated Appeal Process (CAP)"/>
    <m/>
    <x v="3"/>
  </r>
  <r>
    <x v="2"/>
    <s v="Central African Republic"/>
    <s v="Central African Republic"/>
    <s v="CAF"/>
    <s v="Funding requirements"/>
    <n v="149882707"/>
    <s v="Central African Republic"/>
    <s v="Consolidated Appeal Process (CAP)"/>
    <m/>
    <x v="3"/>
  </r>
  <r>
    <x v="2"/>
    <s v="Central African Republic"/>
    <s v="Central African Republic"/>
    <s v="CAF"/>
    <s v="Funding received"/>
    <n v="73220547"/>
    <s v="Central African Republic"/>
    <s v="Consolidated Appeal Process (CAP)"/>
    <m/>
    <x v="3"/>
  </r>
  <r>
    <x v="2"/>
    <s v="Central African Republic"/>
    <s v="Central African Republic"/>
    <s v="CAF"/>
    <s v="People targeted"/>
    <n v="1621183"/>
    <s v="Central African Republic"/>
    <s v="Consolidated Appeal Process (CAP)"/>
    <m/>
    <x v="0"/>
  </r>
  <r>
    <x v="2"/>
    <s v="Central African Republic"/>
    <s v="Central African Republic"/>
    <s v="CAF"/>
    <s v="Funding received"/>
    <n v="76649802"/>
    <s v="Central African Republic"/>
    <s v="Consolidated Appeal Process (CAP)"/>
    <m/>
    <x v="3"/>
  </r>
  <r>
    <x v="2"/>
    <s v="Central African Republic"/>
    <s v="Central African Republic"/>
    <s v="CAF"/>
    <s v="Funding requirements"/>
    <n v="124011764"/>
    <s v="Central African Republic"/>
    <s v="Consolidated Appeal Process (CAP)"/>
    <m/>
    <x v="3"/>
  </r>
  <r>
    <x v="2"/>
    <s v="Central African Republic"/>
    <s v="Central African Republic"/>
    <s v="CAF"/>
    <s v="People targeted"/>
    <n v="1920000"/>
    <s v="Central African Republic"/>
    <s v="Consolidated Appeal Process (CAP)"/>
    <m/>
    <x v="0"/>
  </r>
  <r>
    <x v="2"/>
    <s v="Central African Republic"/>
    <s v="Central African Republic"/>
    <s v="CAF"/>
    <s v="People targeted"/>
    <n v="1600000"/>
    <s v="Central African Republic"/>
    <s v="Consolidated Appeal Process (CAP)"/>
    <m/>
    <x v="0"/>
  </r>
  <r>
    <x v="2"/>
    <s v="Central African Republic"/>
    <s v="Central African Republic"/>
    <s v="CAF"/>
    <s v="Funding received"/>
    <n v="378700000"/>
    <s v="Central African Republic"/>
    <m/>
    <m/>
    <x v="3"/>
  </r>
  <r>
    <x v="2"/>
    <s v="Central African Republic"/>
    <s v="Central African Republic"/>
    <s v="CAF"/>
    <s v="Funding requirements"/>
    <n v="555400000"/>
    <s v="Central African Republic"/>
    <m/>
    <m/>
    <x v="3"/>
  </r>
  <r>
    <x v="2"/>
    <s v="Central African Republic"/>
    <s v="Central African Republic"/>
    <s v="CAF"/>
    <s v="People in need"/>
    <n v="2200000"/>
    <s v="Central African Republic"/>
    <m/>
    <m/>
    <x v="0"/>
  </r>
  <r>
    <x v="2"/>
    <s v="Central African Republic"/>
    <s v="Central African Republic"/>
    <s v="CAF"/>
    <s v="Funding received"/>
    <n v="301100000"/>
    <s v="Central African Republic"/>
    <m/>
    <m/>
    <x v="3"/>
  </r>
  <r>
    <x v="2"/>
    <s v="Central African Republic"/>
    <s v="Central African Republic"/>
    <s v="CAF"/>
    <s v="Funding requirements"/>
    <n v="613000000"/>
    <s v="Central African Republic"/>
    <m/>
    <m/>
    <x v="3"/>
  </r>
  <r>
    <x v="2"/>
    <s v="Central African Republic"/>
    <s v="Central African Republic"/>
    <s v="CAF"/>
    <s v="Funding requirements"/>
    <n v="331200000"/>
    <s v="Central African Republic Refugee Response Plan"/>
    <m/>
    <m/>
    <x v="3"/>
  </r>
  <r>
    <x v="2"/>
    <s v="Central African Republic"/>
    <s v="Central African Republic"/>
    <s v="CAF"/>
    <s v="People in need"/>
    <n v="2700000"/>
    <s v="Central African Republic"/>
    <m/>
    <m/>
    <x v="0"/>
  </r>
  <r>
    <x v="2"/>
    <s v="Central African Republic"/>
    <s v="Central African Republic"/>
    <s v="CAF"/>
    <s v="Funding received"/>
    <n v="180900000"/>
    <s v="Central African Republic"/>
    <m/>
    <m/>
    <x v="3"/>
  </r>
  <r>
    <x v="2"/>
    <s v="Central African Republic"/>
    <s v="Central African Republic"/>
    <s v="CAF"/>
    <s v="Funding requirements"/>
    <n v="531500000"/>
    <s v="Central African Republic"/>
    <m/>
    <m/>
    <x v="3"/>
  </r>
  <r>
    <x v="2"/>
    <s v="Central African Republic"/>
    <s v="Central African Republic"/>
    <s v="CAF"/>
    <s v="People in need"/>
    <n v="2400000"/>
    <s v="Central African Republic"/>
    <m/>
    <m/>
    <x v="0"/>
  </r>
  <r>
    <x v="2"/>
    <s v="Central African Republic"/>
    <s v="Central African Republic"/>
    <s v="CAF"/>
    <s v="Funding received"/>
    <n v="181400000"/>
    <s v="Central African Republic"/>
    <s v="Humanitarian Response Plan (HRP)"/>
    <m/>
    <x v="3"/>
  </r>
  <r>
    <x v="2"/>
    <s v="Central African Republic"/>
    <s v="Central African Republic"/>
    <s v="CAF"/>
    <s v="Funding requirements"/>
    <n v="497300000"/>
    <s v="Central African Republic"/>
    <s v="Humanitarian Response Plan (HRP)"/>
    <m/>
    <x v="3"/>
  </r>
  <r>
    <x v="2"/>
    <s v="Central African Republic"/>
    <s v="Central African Republic"/>
    <s v="CAF"/>
    <s v="People in need"/>
    <n v="2400000"/>
    <s v="Central African Republic"/>
    <s v="Humanitarian Response Plan (HRP)"/>
    <m/>
    <x v="0"/>
  </r>
  <r>
    <x v="2"/>
    <s v="Central African Republic"/>
    <s v="Central African Republic"/>
    <s v="CAF"/>
    <s v="Funding received"/>
    <n v="70000000"/>
    <s v="Central African Republic Refugee Response Plan"/>
    <m/>
    <m/>
    <x v="3"/>
  </r>
  <r>
    <x v="2"/>
    <s v="Central African Republic"/>
    <s v="Central African Republic"/>
    <s v="CAF"/>
    <s v="Funding received"/>
    <n v="240600000"/>
    <s v="Central African Republic"/>
    <s v="Humanitarian Response Plan (HRP)"/>
    <m/>
    <x v="3"/>
  </r>
  <r>
    <x v="2"/>
    <s v="Central African Republic"/>
    <s v="Central African Republic"/>
    <s v="CAF"/>
    <s v="Funding requirements"/>
    <n v="515600000"/>
    <s v="Central African Republic"/>
    <s v="Humanitarian Response Plan (HRP)"/>
    <m/>
    <x v="3"/>
  </r>
  <r>
    <x v="2"/>
    <s v="Central African Republic"/>
    <s v="Central African Republic"/>
    <s v="CAF"/>
    <s v="People in need"/>
    <n v="2900000"/>
    <s v="Central African Republic"/>
    <s v="Humanitarian Response Plan (HRP)"/>
    <m/>
    <x v="0"/>
  </r>
  <r>
    <x v="2"/>
    <s v="Burundi"/>
    <s v="Burundi"/>
    <s v="BDI"/>
    <s v="People in need"/>
    <n v="1740000"/>
    <s v="Burundi"/>
    <s v="Humanitarian Response Plan (HRP)"/>
    <m/>
    <x v="0"/>
  </r>
  <r>
    <x v="2"/>
    <s v="Central African Republic"/>
    <s v="Central African Republic"/>
    <s v="CAF"/>
    <s v="Funding requirements"/>
    <n v="430700000"/>
    <s v="Central African Republic"/>
    <s v="Humanitarian Response Plan (HRP)"/>
    <m/>
    <x v="3"/>
  </r>
  <r>
    <x v="2"/>
    <s v="Burkina Faso"/>
    <s v="Burkina Faso"/>
    <s v="BFA"/>
    <s v="Funding requirements"/>
    <n v="607400000"/>
    <s v="Burkina Faso"/>
    <s v="Humanitarian response plan"/>
    <m/>
    <x v="2"/>
  </r>
  <r>
    <x v="2"/>
    <s v="Central African Republic"/>
    <s v="Central African Republic"/>
    <s v="CAF"/>
    <s v="Funding received"/>
    <n v="65171054"/>
    <s v="Central African Republic"/>
    <s v="Consolidated Appeal Process (CAP)"/>
    <m/>
    <x v="3"/>
  </r>
  <r>
    <x v="2"/>
    <s v="Central African Republic"/>
    <s v="Central African Republic"/>
    <s v="CAF"/>
    <s v="Funding requirements"/>
    <n v="141947471"/>
    <s v="Central African Republic"/>
    <s v="Consolidated Appeal Process (CAP)"/>
    <m/>
    <x v="3"/>
  </r>
  <r>
    <x v="2"/>
    <s v="Chad"/>
    <s v="Chad"/>
    <s v="TCD"/>
    <s v="Funding received"/>
    <n v="314112102"/>
    <s v="Chad"/>
    <s v="Consolidated Appeal Process (CAP)"/>
    <m/>
    <x v="3"/>
  </r>
  <r>
    <x v="2"/>
    <s v="Chad"/>
    <s v="Chad"/>
    <s v="TCD"/>
    <s v="Funding requirements"/>
    <n v="544088494"/>
    <s v="Chad"/>
    <s v="Consolidated Appeal Process (CAP)"/>
    <m/>
    <x v="3"/>
  </r>
  <r>
    <x v="2"/>
    <s v="Chad"/>
    <s v="Chad"/>
    <s v="TCD"/>
    <s v="Funding received"/>
    <n v="326279750"/>
    <s v="Chad"/>
    <s v="Consolidated Appeal Process (CAP)"/>
    <m/>
    <x v="3"/>
  </r>
  <r>
    <x v="2"/>
    <s v="Chad"/>
    <s v="Chad"/>
    <s v="TCD"/>
    <s v="People targeted"/>
    <n v="2283310"/>
    <s v="Chad"/>
    <s v="Consolidated Appeal Process (CAP)"/>
    <m/>
    <x v="0"/>
  </r>
  <r>
    <x v="2"/>
    <s v="Chad"/>
    <s v="Chad"/>
    <s v="TCD"/>
    <s v="Funding received"/>
    <n v="356072026"/>
    <s v="Chad"/>
    <s v="Consolidated Appeal Process (CAP)"/>
    <m/>
    <x v="3"/>
  </r>
  <r>
    <x v="2"/>
    <s v="Chad"/>
    <s v="Chad"/>
    <s v="TCD"/>
    <s v="Funding requirements"/>
    <n v="571946997"/>
    <s v="Chad"/>
    <s v="Consolidated Appeal Process (CAP)"/>
    <m/>
    <x v="3"/>
  </r>
  <r>
    <x v="2"/>
    <s v="Chad"/>
    <s v="Chad"/>
    <s v="TCD"/>
    <s v="People targeted"/>
    <n v="2989000"/>
    <s v="Chad"/>
    <s v="Consolidated Appeal Process (CAP)"/>
    <m/>
    <x v="0"/>
  </r>
  <r>
    <x v="2"/>
    <s v="Chad"/>
    <s v="Chad"/>
    <s v="TCD"/>
    <s v="Funding received"/>
    <n v="297860990"/>
    <s v="Chad"/>
    <s v="Consolidated Appeal Process (CAP)"/>
    <m/>
    <x v="3"/>
  </r>
  <r>
    <x v="2"/>
    <s v="Chad"/>
    <s v="Chad"/>
    <s v="TCD"/>
    <s v="Funding requirements"/>
    <n v="509937289"/>
    <s v="Chad"/>
    <s v="Consolidated Appeal Process (CAP)"/>
    <m/>
    <x v="3"/>
  </r>
  <r>
    <x v="2"/>
    <s v="Chad"/>
    <s v="Chad"/>
    <s v="TCD"/>
    <s v="People targeted"/>
    <n v="4200000"/>
    <s v="Chad"/>
    <s v="Consolidated Appeal Process (CAP)"/>
    <m/>
    <x v="0"/>
  </r>
  <r>
    <x v="2"/>
    <s v="Chad"/>
    <s v="Chad"/>
    <s v="TCD"/>
    <s v="Funding received"/>
    <n v="226500000"/>
    <s v="Chad"/>
    <m/>
    <m/>
    <x v="3"/>
  </r>
  <r>
    <x v="2"/>
    <s v="Chad"/>
    <s v="Chad"/>
    <s v="TCD"/>
    <s v="Funding requirements"/>
    <n v="618500000"/>
    <s v="Chad"/>
    <m/>
    <m/>
    <x v="3"/>
  </r>
  <r>
    <x v="2"/>
    <s v="Chad"/>
    <s v="Chad"/>
    <s v="TCD"/>
    <s v="People in need"/>
    <n v="2870000"/>
    <s v="Chad"/>
    <m/>
    <m/>
    <x v="0"/>
  </r>
  <r>
    <x v="2"/>
    <s v="Chad"/>
    <s v="Chad"/>
    <s v="TCD"/>
    <s v="Funding received"/>
    <n v="250700000"/>
    <s v="Chad"/>
    <m/>
    <m/>
    <x v="3"/>
  </r>
  <r>
    <x v="2"/>
    <s v="Chad"/>
    <s v="Chad"/>
    <s v="TCD"/>
    <s v="Funding requirements"/>
    <n v="571600000"/>
    <s v="Chad"/>
    <m/>
    <m/>
    <x v="3"/>
  </r>
  <r>
    <x v="2"/>
    <s v="Chad"/>
    <s v="Chad"/>
    <s v="TCD"/>
    <s v="People in need"/>
    <n v="3000000"/>
    <s v="Chad"/>
    <m/>
    <m/>
    <x v="0"/>
  </r>
  <r>
    <x v="2"/>
    <s v="Chad"/>
    <s v="Chad"/>
    <s v="TCD"/>
    <s v="Funding received"/>
    <n v="210500000"/>
    <s v="Chad"/>
    <m/>
    <m/>
    <x v="3"/>
  </r>
  <r>
    <x v="2"/>
    <s v="Chad"/>
    <s v="Chad"/>
    <s v="TCD"/>
    <s v="Funding requirements"/>
    <n v="541300000"/>
    <s v="Chad"/>
    <m/>
    <m/>
    <x v="3"/>
  </r>
  <r>
    <x v="2"/>
    <s v="Chad"/>
    <s v="Chad"/>
    <s v="TCD"/>
    <s v="People in need"/>
    <n v="2300000"/>
    <s v="Chad"/>
    <m/>
    <m/>
    <x v="0"/>
  </r>
  <r>
    <x v="2"/>
    <s v="Chad"/>
    <s v="Chad"/>
    <s v="TCD"/>
    <s v="Funding received"/>
    <n v="227000000"/>
    <s v="Chad"/>
    <s v="Humanitarian Response Plan (HRP)"/>
    <m/>
    <x v="3"/>
  </r>
  <r>
    <x v="2"/>
    <s v="Chad"/>
    <s v="Chad"/>
    <s v="TCD"/>
    <s v="Funding requirements"/>
    <n v="588600000"/>
    <s v="Chad"/>
    <s v="Humanitarian Response Plan (HRP)"/>
    <m/>
    <x v="3"/>
  </r>
  <r>
    <x v="2"/>
    <s v="Chad"/>
    <s v="Chad"/>
    <s v="TCD"/>
    <s v="People in need"/>
    <n v="4700000"/>
    <s v="Chad"/>
    <s v="Humanitarian Response Plan (HRP)"/>
    <m/>
    <x v="0"/>
  </r>
  <r>
    <x v="2"/>
    <s v="Chad"/>
    <s v="Chad"/>
    <s v="TCD"/>
    <s v="Funding received"/>
    <n v="255100000"/>
    <s v="Chad"/>
    <s v="Humanitarian Response Plan (HRP)"/>
    <m/>
    <x v="3"/>
  </r>
  <r>
    <x v="2"/>
    <s v="Chad"/>
    <s v="Chad"/>
    <s v="TCD"/>
    <s v="Funding requirements"/>
    <n v="543800000"/>
    <s v="Chad"/>
    <s v="Humanitarian Response Plan (HRP)"/>
    <m/>
    <x v="3"/>
  </r>
  <r>
    <x v="2"/>
    <s v="Chad"/>
    <s v="Chad"/>
    <s v="TCD"/>
    <s v="People in need"/>
    <n v="4900000"/>
    <s v="Chad"/>
    <s v="Humanitarian Response Plan (HRP)"/>
    <m/>
    <x v="0"/>
  </r>
  <r>
    <x v="2"/>
    <s v="Burundi RRP"/>
    <s v="Burundi"/>
    <s v="BDI"/>
    <s v="People in need"/>
    <n v="250000"/>
    <s v="Burundi RRP"/>
    <s v="Regional Response Plan"/>
    <m/>
    <x v="0"/>
  </r>
  <r>
    <x v="2"/>
    <s v="Chad"/>
    <s v="Chad"/>
    <s v="TCD"/>
    <s v="Funding requirements"/>
    <n v="476600000"/>
    <s v="Chad"/>
    <s v="Humanitarian Response Plan (HRP)"/>
    <m/>
    <x v="3"/>
  </r>
  <r>
    <x v="2"/>
    <s v="Burundi"/>
    <s v="Burundi"/>
    <s v="BDI"/>
    <s v="Funding requirements"/>
    <n v="104000000"/>
    <s v="Burundi"/>
    <s v="Humanitarian Response Plan (HRP)"/>
    <m/>
    <x v="3"/>
  </r>
  <r>
    <x v="2"/>
    <s v="Cameroon"/>
    <s v="Cameroon"/>
    <s v="CMR"/>
    <s v="Funding received"/>
    <n v="123600000"/>
    <s v="Cameroon"/>
    <s v="Humanitarian Response Plan (HRP)"/>
    <m/>
    <x v="3"/>
  </r>
  <r>
    <x v="2"/>
    <s v="Chad"/>
    <s v="Chad"/>
    <s v="TCD"/>
    <s v="Funding requirements"/>
    <n v="535276140"/>
    <s v="Chad"/>
    <s v="Consolidated Appeal Process (CAP)"/>
    <m/>
    <x v="3"/>
  </r>
  <r>
    <x v="3"/>
    <s v="Cameroon"/>
    <s v="Cameroon"/>
    <s v="CMR"/>
    <s v="People in need"/>
    <n v="4300000"/>
    <s v="Cameroon"/>
    <s v="Humanitarian Response Plan (HRP)"/>
    <m/>
    <x v="0"/>
  </r>
  <r>
    <x v="3"/>
    <s v="Cote d'Ivoire"/>
    <s v="Cote d'Ivoire"/>
    <s v="CIV"/>
    <s v="Funding received"/>
    <n v="101406953"/>
    <s v="Cote d'Ivoire"/>
    <s v="Consolidated Appeal Process (CAP)"/>
    <m/>
    <x v="3"/>
  </r>
  <r>
    <x v="3"/>
    <s v="Cote d'Ivoire"/>
    <s v="Cote d'Ivoire"/>
    <s v="CIV"/>
    <s v="Funding requirements"/>
    <n v="160691683"/>
    <s v="Cote d'Ivoire"/>
    <s v="Consolidated Appeal Process (CAP)"/>
    <m/>
    <x v="3"/>
  </r>
  <r>
    <x v="3"/>
    <s v="Cote d'Ivoire"/>
    <s v="Cote d'Ivoire"/>
    <s v="CIV"/>
    <s v="People targeted"/>
    <n v="1143502"/>
    <s v="Cote d'Ivoire"/>
    <s v="Consolidated Appeal Process (CAP)"/>
    <m/>
    <x v="0"/>
  </r>
  <r>
    <x v="3"/>
    <s v="Cuba"/>
    <s v="Cuba"/>
    <s v="CUB"/>
    <s v="Funding received"/>
    <n v="10300000"/>
    <s v="Cuba"/>
    <s v="Other"/>
    <m/>
    <x v="3"/>
  </r>
  <r>
    <x v="3"/>
    <s v="Cuba"/>
    <s v="Cuba"/>
    <s v="CUB"/>
    <s v="Funding requirements"/>
    <n v="55600000"/>
    <s v="Cuba"/>
    <s v="Other"/>
    <m/>
    <x v="3"/>
  </r>
  <r>
    <x v="3"/>
    <s v="Cuba"/>
    <s v="Cuba"/>
    <s v="CUB"/>
    <s v="People in need"/>
    <n v="9485235"/>
    <s v="Cuba"/>
    <s v="Other"/>
    <m/>
    <x v="0"/>
  </r>
  <r>
    <x v="3"/>
    <s v="Cuba"/>
    <s v="Cuba"/>
    <s v="CUB"/>
    <s v="Funding received"/>
    <n v="12250508"/>
    <s v="Cuba Plan of Action"/>
    <s v="Other"/>
    <m/>
    <x v="3"/>
  </r>
  <r>
    <x v="3"/>
    <s v="Cuba"/>
    <s v="Cuba"/>
    <s v="CUB"/>
    <s v="Funding requirements"/>
    <n v="30392419"/>
    <s v="Cuba Plan of Action"/>
    <s v="Other"/>
    <m/>
    <x v="3"/>
  </r>
  <r>
    <x v="3"/>
    <s v="Democratic People's Republic of Korea"/>
    <s v="Democratic People's Republic of Korea"/>
    <s v="PRK"/>
    <s v="Funding received"/>
    <n v="23000000"/>
    <s v="Democratic People's Republic of Korea"/>
    <m/>
    <m/>
    <x v="3"/>
  </r>
  <r>
    <x v="3"/>
    <s v="Democratic People's Republic of Korea"/>
    <s v="Democratic People's Republic of Korea"/>
    <s v="PRK"/>
    <s v="Funding requirements"/>
    <n v="111000000"/>
    <s v="Democratic People's Republic of Korea"/>
    <m/>
    <m/>
    <x v="3"/>
  </r>
  <r>
    <x v="3"/>
    <s v="Democratic People's Republic of Korea"/>
    <s v="Democratic People's Republic of Korea"/>
    <s v="PRK"/>
    <s v="Funding received"/>
    <n v="30600000"/>
    <s v="Democratic People's Republic of Korea"/>
    <s v="Other"/>
    <m/>
    <x v="3"/>
  </r>
  <r>
    <x v="3"/>
    <s v="Democratic People's Republic of Korea"/>
    <s v="Democratic People's Republic of Korea"/>
    <s v="PRK"/>
    <s v="Funding requirements"/>
    <n v="113500000"/>
    <s v="Democratic People's Republic of Korea"/>
    <s v="Other"/>
    <m/>
    <x v="3"/>
  </r>
  <r>
    <x v="3"/>
    <s v="Democratic People's Republic of Korea"/>
    <s v="Democratic People's Republic of Korea"/>
    <s v="PRK"/>
    <s v="People in need"/>
    <n v="18000000"/>
    <s v="Democratic People's Republic of Korea"/>
    <s v="Other"/>
    <m/>
    <x v="0"/>
  </r>
  <r>
    <x v="3"/>
    <s v="Democratic People's Republic of Korea"/>
    <s v="Democratic People's Republic of Korea"/>
    <s v="PRK"/>
    <s v="Funding received"/>
    <n v="26200000"/>
    <s v="Democratic People's Republic of Korea"/>
    <s v="Other"/>
    <m/>
    <x v="3"/>
  </r>
  <r>
    <x v="3"/>
    <s v="Democratic People's Republic of Korea"/>
    <s v="Democratic People's Republic of Korea"/>
    <s v="PRK"/>
    <s v="Funding requirements"/>
    <n v="111200000"/>
    <s v="Democratic People's Republic of Korea"/>
    <s v="Other"/>
    <m/>
    <x v="3"/>
  </r>
  <r>
    <x v="3"/>
    <s v="Democratic People's Republic of Korea"/>
    <s v="Democratic People's Republic of Korea"/>
    <s v="PRK"/>
    <s v="People in need"/>
    <n v="10300000"/>
    <s v="Democratic People's Republic of Korea"/>
    <s v="Other"/>
    <m/>
    <x v="0"/>
  </r>
  <r>
    <x v="3"/>
    <s v="Cameroon"/>
    <s v="Cameroon"/>
    <s v="CMR"/>
    <s v="People in need"/>
    <n v="6200000"/>
    <s v="Cameroon"/>
    <s v="Humanitarian Response Plan (HRP)"/>
    <m/>
    <x v="0"/>
  </r>
  <r>
    <x v="3"/>
    <s v="Democratic People's Republic of Korea"/>
    <s v="Democratic People's Republic of Korea"/>
    <s v="PRK"/>
    <s v="Funding requirements"/>
    <n v="120300000"/>
    <s v="Democratic People's Republic of Korea"/>
    <s v="Other"/>
    <m/>
    <x v="3"/>
  </r>
  <r>
    <x v="3"/>
    <s v="Burundi"/>
    <s v="Burundi"/>
    <s v="BDI"/>
    <s v="Funding requirements"/>
    <n v="195647826"/>
    <s v="Burundi"/>
    <s v="Humanitarian response plan"/>
    <m/>
    <x v="2"/>
  </r>
  <r>
    <x v="3"/>
    <s v="Democratic People's Republic of Korea Overview of Needs and Assistance"/>
    <s v="Democratic People's Republic of Korea"/>
    <s v="PRK"/>
    <s v="Funding received"/>
    <n v="103886477"/>
    <s v="Democratic People's Republic of Korea Overview of Needs and Assistance"/>
    <s v="Other"/>
    <m/>
    <x v="3"/>
  </r>
  <r>
    <x v="3"/>
    <s v="Democratic People's Republic of Korea Overview of Needs and Assistance"/>
    <s v="Democratic People's Republic of Korea"/>
    <s v="PRK"/>
    <s v="Funding requirements"/>
    <n v="198066562"/>
    <s v="Democratic People's Republic of Korea Overview of Needs and Assistance"/>
    <s v="Other"/>
    <m/>
    <x v="3"/>
  </r>
  <r>
    <x v="3"/>
    <s v="Democratic People's Republic of Korea : Overview of Needs and Assistance"/>
    <s v="Democratic People's Republic of Korea"/>
    <s v="PRK"/>
    <s v="Funding requirements"/>
    <n v="218740000"/>
    <s v="Democratic People's Republic of Korea : Overview of Needs and Assistance"/>
    <s v="Other"/>
    <m/>
    <x v="3"/>
  </r>
  <r>
    <x v="3"/>
    <s v="Democratic People's Republic of Korea : Overview of Needs and Assistance"/>
    <s v="Democratic People's Republic of Korea"/>
    <s v="PRK"/>
    <s v="Funding received"/>
    <n v="73139091"/>
    <s v="Democratic People's Republic of Korea : Overview of Needs and Assistance"/>
    <s v="Other"/>
    <m/>
    <x v="3"/>
  </r>
  <r>
    <x v="3"/>
    <s v="Democratic Republic of the Congo"/>
    <s v="Democratic Republic of the Congo"/>
    <s v="COD"/>
    <s v="Funding received"/>
    <n v="629381833"/>
    <s v="Democratic Republic of the Congo"/>
    <s v="Consolidated Appeal Process (CAP)"/>
    <m/>
    <x v="3"/>
  </r>
  <r>
    <x v="3"/>
    <s v="Democratic Republic of the Congo"/>
    <s v="Democratic Republic of the Congo"/>
    <s v="COD"/>
    <s v="Funding requirements"/>
    <n v="892643970"/>
    <s v="Democratic Republic of the Congo"/>
    <s v="Consolidated Appeal Process (CAP)"/>
    <m/>
    <x v="3"/>
  </r>
  <r>
    <x v="3"/>
    <s v="Democratic Republic of the Congo"/>
    <s v="Democratic Republic of the Congo"/>
    <s v="COD"/>
    <s v="People in need"/>
    <n v="6400000"/>
    <s v="Democratic Republic of the Congo"/>
    <m/>
    <m/>
    <x v="0"/>
  </r>
  <r>
    <x v="3"/>
    <s v="Democratic Republic of the Congo"/>
    <s v="Democratic Republic of the Congo"/>
    <s v="COD"/>
    <s v="People in need"/>
    <n v="7000000"/>
    <s v="Democratic Republic of the Congo"/>
    <m/>
    <m/>
    <x v="0"/>
  </r>
  <r>
    <x v="3"/>
    <s v="Democratic Republic of the Congo"/>
    <s v="Democratic Republic of the Congo"/>
    <s v="COD"/>
    <s v="Funding requirements"/>
    <n v="827616628"/>
    <s v="Democratic Republic of the Congo"/>
    <s v="Consolidated Appeal Process (CAP)"/>
    <m/>
    <x v="3"/>
  </r>
  <r>
    <x v="3"/>
    <s v="Democratic Republic of the Congo"/>
    <s v="Democratic Republic of the Congo"/>
    <s v="COD"/>
    <s v="Funding received"/>
    <n v="521026865"/>
    <s v="Democratic Republic of the Congo"/>
    <s v="Consolidated Appeal Process (CAP)"/>
    <m/>
    <x v="3"/>
  </r>
  <r>
    <x v="3"/>
    <s v="Democratic Republic of the Congo"/>
    <s v="Democratic Republic of the Congo"/>
    <s v="COD"/>
    <s v="People targeted"/>
    <n v="7500000"/>
    <s v="Democratic Republic of the Congo"/>
    <s v="Consolidated Appeal Process (CAP)"/>
    <m/>
    <x v="0"/>
  </r>
  <r>
    <x v="3"/>
    <s v="Democratic Republic of the Congo"/>
    <s v="Democratic Republic of the Congo"/>
    <s v="COD"/>
    <s v="Funding received"/>
    <n v="584431727"/>
    <s v="Democratic Republic of the Congo"/>
    <s v="Consolidated Appeal Process (CAP)"/>
    <m/>
    <x v="3"/>
  </r>
  <r>
    <x v="3"/>
    <s v="Democratic Republic of the Congo"/>
    <s v="Democratic Republic of the Congo"/>
    <s v="COD"/>
    <s v="Funding requirements"/>
    <n v="791331026"/>
    <s v="Democratic Republic of the Congo"/>
    <s v="Consolidated Appeal Process (CAP)"/>
    <m/>
    <x v="3"/>
  </r>
  <r>
    <x v="3"/>
    <s v="Democratic Republic of the Congo"/>
    <s v="Democratic Republic of the Congo"/>
    <s v="COD"/>
    <s v="People targeted"/>
    <n v="5310000"/>
    <s v="Democratic Republic of the Congo"/>
    <s v="Consolidated Appeal Process (CAP)"/>
    <m/>
    <x v="0"/>
  </r>
  <r>
    <x v="3"/>
    <s v="Democratic Republic of the Congo"/>
    <s v="Democratic Republic of the Congo"/>
    <s v="COD"/>
    <s v="People targeted"/>
    <n v="14700000"/>
    <s v="Democratic Republic of the Congo"/>
    <s v="Consolidated Appeal Process (CAP)"/>
    <m/>
    <x v="0"/>
  </r>
  <r>
    <x v="3"/>
    <s v="Democratic Republic of the Congo"/>
    <s v="Democratic Republic of the Congo"/>
    <s v="COD"/>
    <s v="Funding received"/>
    <n v="392900000"/>
    <s v="Democratic Republic of the Congo"/>
    <m/>
    <m/>
    <x v="3"/>
  </r>
  <r>
    <x v="3"/>
    <s v="Democratic Republic of the Congo"/>
    <s v="Democratic Republic of the Congo"/>
    <s v="COD"/>
    <s v="Funding requirements"/>
    <n v="832100000"/>
    <s v="Democratic Republic of the Congo"/>
    <m/>
    <m/>
    <x v="3"/>
  </r>
  <r>
    <x v="3"/>
    <s v="Dominica Flash Appeal"/>
    <s v="Dominica"/>
    <s v="DMA"/>
    <s v="Funding received"/>
    <n v="15100000"/>
    <s v="Dominica Flash Appeal"/>
    <s v="Humanitarian Response Plan (HRP)"/>
    <m/>
    <x v="3"/>
  </r>
  <r>
    <x v="3"/>
    <s v="Dominica Flash Appeal"/>
    <s v="Dominica"/>
    <s v="DMA"/>
    <s v="Funding requirements"/>
    <n v="31100000"/>
    <s v="Dominica Flash Appeal"/>
    <s v="Humanitarian Response Plan (HRP)"/>
    <m/>
    <x v="3"/>
  </r>
  <r>
    <x v="3"/>
    <s v="Democratic Republic of the Congo"/>
    <s v="Democratic Republic of the Congo"/>
    <s v="COD"/>
    <s v="Funding received"/>
    <n v="373400000"/>
    <s v="Democratic Republic of the Congo"/>
    <m/>
    <m/>
    <x v="3"/>
  </r>
  <r>
    <x v="3"/>
    <s v="Democratic Republic of the Congo"/>
    <s v="Democratic Republic of the Congo"/>
    <s v="COD"/>
    <s v="Funding requirements"/>
    <n v="692000000"/>
    <s v="Democratic Republic of the Congo"/>
    <m/>
    <m/>
    <x v="3"/>
  </r>
  <r>
    <x v="3"/>
    <s v="Democratic Republic of the Congo"/>
    <s v="Democratic Republic of the Congo"/>
    <s v="COD"/>
    <s v="Funding received"/>
    <n v="374600000"/>
    <s v="Democratic Republic of the Congo"/>
    <m/>
    <m/>
    <x v="3"/>
  </r>
  <r>
    <x v="3"/>
    <s v="Democratic Republic of the Congo"/>
    <s v="Democratic Republic of the Congo"/>
    <s v="COD"/>
    <s v="Funding requirements"/>
    <n v="690000000"/>
    <s v="Democratic Republic of the Congo"/>
    <m/>
    <m/>
    <x v="3"/>
  </r>
  <r>
    <x v="3"/>
    <s v="Democratic Republic of the Congo"/>
    <s v="Democratic Republic of the Congo"/>
    <s v="COD"/>
    <s v="People in need"/>
    <n v="7500000"/>
    <s v="Democratic Republic of the Congo"/>
    <m/>
    <m/>
    <x v="0"/>
  </r>
  <r>
    <x v="3"/>
    <s v="Democratic Republic of the Congo"/>
    <s v="Democratic Republic of the Congo"/>
    <s v="COD"/>
    <s v="Funding received"/>
    <n v="388400000"/>
    <s v="Democratic Republic of the Congo"/>
    <s v="Humanitarian Response Plan (HRP)"/>
    <m/>
    <x v="3"/>
  </r>
  <r>
    <x v="3"/>
    <s v="Democratic Republic of the Congo"/>
    <s v="Democratic Republic of the Congo"/>
    <s v="COD"/>
    <s v="Funding requirements"/>
    <n v="812600000"/>
    <s v="Democratic Republic of the Congo"/>
    <s v="Humanitarian Response Plan (HRP)"/>
    <m/>
    <x v="3"/>
  </r>
  <r>
    <x v="3"/>
    <s v="Democratic Republic of the Congo"/>
    <s v="Democratic Republic of the Congo"/>
    <s v="COD"/>
    <s v="People in need"/>
    <n v="8500000"/>
    <s v="Democratic Republic of the Congo"/>
    <s v="Humanitarian Response Plan (HRP)"/>
    <m/>
    <x v="0"/>
  </r>
  <r>
    <x v="3"/>
    <s v="Democratic Republic of the Congo"/>
    <s v="Democratic Republic of the Congo"/>
    <s v="COD"/>
    <s v="Funding received"/>
    <n v="733300000"/>
    <s v="Democratic Republic of the Congo"/>
    <s v="Humanitarian Response Plan (HRP)"/>
    <m/>
    <x v="3"/>
  </r>
  <r>
    <x v="3"/>
    <s v="Democratic Republic of the Congo"/>
    <s v="Democratic Republic of the Congo"/>
    <s v="COD"/>
    <s v="Funding requirements"/>
    <n v="1680000000"/>
    <s v="Democratic Republic of the Congo"/>
    <s v="Humanitarian Response Plan (HRP)"/>
    <m/>
    <x v="3"/>
  </r>
  <r>
    <x v="3"/>
    <s v="Democratic Republic of the Congo"/>
    <s v="Democratic Republic of the Congo"/>
    <s v="COD"/>
    <s v="People in need"/>
    <n v="13100000"/>
    <s v="Democratic Republic of the Congo"/>
    <s v="Humanitarian Response Plan (HRP)"/>
    <m/>
    <x v="0"/>
  </r>
  <r>
    <x v="3"/>
    <s v="Central African Republic"/>
    <s v="Central African Republic"/>
    <s v="CAF"/>
    <s v="Funding received"/>
    <n v="287200000"/>
    <s v="Central African Republic"/>
    <s v="Humanitarian Response Plan (HRP)"/>
    <m/>
    <x v="3"/>
  </r>
  <r>
    <x v="3"/>
    <s v="Democratic Republic of the Congo"/>
    <s v="Democratic Republic of the Congo"/>
    <s v="COD"/>
    <s v="Funding requirements"/>
    <n v="1650000000"/>
    <s v="Democratic Republic of the Congo"/>
    <s v="Humanitarian Response Plan (HRP)"/>
    <m/>
    <x v="3"/>
  </r>
  <r>
    <x v="3"/>
    <s v="Central African Republic"/>
    <s v="Central African Republic"/>
    <s v="CAF"/>
    <s v="People in need"/>
    <n v="2900000"/>
    <s v="Central African Republic"/>
    <s v="Humanitarian Response Plan (HRP)"/>
    <m/>
    <x v="0"/>
  </r>
  <r>
    <x v="3"/>
    <s v="Gambia"/>
    <s v="Gambia"/>
    <s v="GMB"/>
    <s v="Funding received"/>
    <n v="4400000"/>
    <s v="Gambia"/>
    <m/>
    <m/>
    <x v="3"/>
  </r>
  <r>
    <x v="3"/>
    <s v="Gambia"/>
    <s v="Gambia"/>
    <s v="GMB"/>
    <s v="Funding requirements"/>
    <n v="18300000"/>
    <s v="Gambia"/>
    <m/>
    <m/>
    <x v="3"/>
  </r>
  <r>
    <x v="3"/>
    <s v="Gambia"/>
    <s v="Gambia"/>
    <s v="GMB"/>
    <s v="People in need"/>
    <n v="289235"/>
    <s v="Gambia"/>
    <m/>
    <m/>
    <x v="0"/>
  </r>
  <r>
    <x v="3"/>
    <s v="Gambia"/>
    <s v="Gambia"/>
    <s v="GMB"/>
    <s v="Funding received"/>
    <n v="1100000"/>
    <s v="Gambia"/>
    <m/>
    <m/>
    <x v="3"/>
  </r>
  <r>
    <x v="3"/>
    <s v="Gambia"/>
    <s v="Gambia"/>
    <s v="GMB"/>
    <s v="Funding requirements"/>
    <n v="23700000"/>
    <s v="Gambia"/>
    <m/>
    <m/>
    <x v="3"/>
  </r>
  <r>
    <x v="3"/>
    <s v="Gambia"/>
    <s v="Gambia"/>
    <s v="GMB"/>
    <s v="People in need"/>
    <n v="566868"/>
    <s v="Gambia"/>
    <m/>
    <m/>
    <x v="0"/>
  </r>
  <r>
    <x v="3"/>
    <s v="Gambia"/>
    <s v="Gambia"/>
    <s v="GMB"/>
    <s v="Funding received"/>
    <n v="440200"/>
    <s v="Gambia"/>
    <m/>
    <m/>
    <x v="3"/>
  </r>
  <r>
    <x v="3"/>
    <s v="Gambia"/>
    <s v="Gambia"/>
    <s v="GMB"/>
    <s v="Funding requirements"/>
    <n v="11500000"/>
    <s v="Gambia"/>
    <m/>
    <m/>
    <x v="3"/>
  </r>
  <r>
    <x v="3"/>
    <s v="Gambia"/>
    <s v="Gambia"/>
    <s v="GMB"/>
    <s v="People in need"/>
    <n v="181858"/>
    <s v="Gambia"/>
    <m/>
    <m/>
    <x v="0"/>
  </r>
  <r>
    <x v="3"/>
    <s v="Guatemala"/>
    <s v="Guatemala"/>
    <s v="GTM"/>
    <s v="Funding received"/>
    <n v="10100000"/>
    <s v="Guatemala"/>
    <m/>
    <m/>
    <x v="3"/>
  </r>
  <r>
    <x v="3"/>
    <s v="Guatemala"/>
    <s v="Guatemala"/>
    <s v="GTM"/>
    <s v="Funding requirements"/>
    <n v="23800000"/>
    <s v="Guatemala"/>
    <m/>
    <m/>
    <x v="3"/>
  </r>
  <r>
    <x v="3"/>
    <s v="Guatemala"/>
    <s v="Guatemala"/>
    <s v="GTM"/>
    <s v="Funding received"/>
    <n v="15900000"/>
    <s v="Guatemala"/>
    <m/>
    <m/>
    <x v="3"/>
  </r>
  <r>
    <x v="3"/>
    <s v="Guatemala"/>
    <s v="Guatemala"/>
    <s v="GTM"/>
    <s v="Funding requirements"/>
    <n v="56700000"/>
    <s v="Guatemala"/>
    <m/>
    <m/>
    <x v="3"/>
  </r>
  <r>
    <x v="4"/>
    <s v="Guatemala"/>
    <s v="Guatemala"/>
    <s v="GTM"/>
    <s v="People in need"/>
    <n v="1500000"/>
    <s v="Guatemala"/>
    <m/>
    <m/>
    <x v="0"/>
  </r>
  <r>
    <x v="4"/>
    <s v="Guatemala Flash Appeal (Revised)"/>
    <s v="Guatemala"/>
    <s v="GTM"/>
    <s v="Funding requirements"/>
    <n v="16701505"/>
    <s v="Guatemala Flash Appeal (Revised)"/>
    <s v="Flash appeal"/>
    <m/>
    <x v="3"/>
  </r>
  <r>
    <x v="4"/>
    <s v="Guatemala Flash Appeal (Revised)"/>
    <s v="Guatemala"/>
    <s v="GTM"/>
    <s v="Funding received"/>
    <n v="8103006"/>
    <s v="Guatemala Flash Appeal (Revised)"/>
    <s v="Flash appeal"/>
    <m/>
    <x v="3"/>
  </r>
  <r>
    <x v="4"/>
    <s v="Guatemala Food Insecurity and Acute Malnutrition Appeal"/>
    <s v="Guatemala"/>
    <s v="GTM"/>
    <s v="Funding requirements"/>
    <n v="34193050"/>
    <s v="Guatemala Food Insecurity and Acute Malnutrition Appeal"/>
    <s v="Consolidated Appeal Process (CAP)"/>
    <m/>
    <x v="3"/>
  </r>
  <r>
    <x v="4"/>
    <s v="Guatemala Food Insecurity and Acute Malnutrition Appeal"/>
    <s v="Guatemala"/>
    <s v="GTM"/>
    <s v="Funding received"/>
    <n v="8238535"/>
    <s v="Guatemala Food Insecurity and Acute Malnutrition Appeal"/>
    <s v="Consolidated Appeal Process (CAP)"/>
    <m/>
    <x v="3"/>
  </r>
  <r>
    <x v="4"/>
    <s v="Honduras"/>
    <s v="Honduras"/>
    <s v="HND"/>
    <s v="Funding received"/>
    <n v="7100000"/>
    <s v="Honduras"/>
    <m/>
    <m/>
    <x v="3"/>
  </r>
  <r>
    <x v="4"/>
    <s v="Honduras"/>
    <s v="Honduras"/>
    <s v="HND"/>
    <s v="Funding requirements"/>
    <n v="13200000"/>
    <s v="Honduras"/>
    <m/>
    <m/>
    <x v="3"/>
  </r>
  <r>
    <x v="4"/>
    <s v="Honduras"/>
    <s v="Honduras"/>
    <s v="HND"/>
    <s v="Funding received"/>
    <n v="5300000"/>
    <s v="Honduras"/>
    <m/>
    <m/>
    <x v="3"/>
  </r>
  <r>
    <x v="4"/>
    <s v="Honduras"/>
    <s v="Honduras"/>
    <s v="HND"/>
    <s v="Funding requirements"/>
    <n v="44200000"/>
    <s v="Honduras"/>
    <m/>
    <m/>
    <x v="3"/>
  </r>
  <r>
    <x v="4"/>
    <s v="Honduras"/>
    <s v="Honduras"/>
    <s v="HND"/>
    <s v="People in need"/>
    <n v="1400000"/>
    <s v="Honduras"/>
    <m/>
    <m/>
    <x v="0"/>
  </r>
  <r>
    <x v="4"/>
    <s v="Central African Republic"/>
    <s v="Central African Republic"/>
    <s v="CAF"/>
    <s v="People in need"/>
    <n v="2600000"/>
    <s v="Central African Republic"/>
    <s v="Humanitarian Response Plan (HRP)"/>
    <m/>
    <x v="0"/>
  </r>
  <r>
    <x v="4"/>
    <s v="Democratic Republic of the Congo"/>
    <s v="Democratic Republic of the Congo"/>
    <s v="COD"/>
    <s v="Funding requirements"/>
    <n v="676800000"/>
    <s v="Democratic Republic of the Congo Regional Response Plan"/>
    <s v="Refugee Response Plan"/>
    <m/>
    <x v="3"/>
  </r>
  <r>
    <x v="4"/>
    <s v="Burundi (RRP)"/>
    <s v="Burundi"/>
    <s v="BDI"/>
    <s v="Funding requirements"/>
    <n v="208889587"/>
    <s v="Burundi"/>
    <s v="Regional Response Plan"/>
    <m/>
    <x v="2"/>
  </r>
  <r>
    <x v="4"/>
    <s v="Burundi Regional Refugee Response Plan"/>
    <s v="Burundi"/>
    <s v="BDI"/>
    <s v="Funding requirements"/>
    <n v="235800000"/>
    <s v="Burundi Regional Refugee Response Plan"/>
    <s v="Refugee Response Plan"/>
    <m/>
    <x v="3"/>
  </r>
  <r>
    <x v="4"/>
    <s v="Democratic Republic of the Congo Regional Response Plan"/>
    <s v="Democratic Republic of the Congo"/>
    <s v="COD"/>
    <s v="Funding received"/>
    <n v="164100000"/>
    <s v="Democratic Republic of the Congo Regional Response Plan"/>
    <s v="Refugee Response Plan"/>
    <m/>
    <x v="3"/>
  </r>
  <r>
    <x v="4"/>
    <s v="Democratic Republic of the Congo Regional Response Plan"/>
    <s v="Democratic Republic of the Congo"/>
    <s v="COD"/>
    <s v="Funding requirements"/>
    <n v="547000000"/>
    <s v="Democratic Republic of the Congo Regional Response Plan"/>
    <s v="Refugee Response Plan"/>
    <m/>
    <x v="3"/>
  </r>
  <r>
    <x v="4"/>
    <s v="Democratic Republic of the Congo Regional Response Plan"/>
    <s v="Democratic Republic of the Congo"/>
    <s v="COD"/>
    <s v="People in need"/>
    <n v="941000"/>
    <s v="Democratic Republic of the Congo Regional Response Plan"/>
    <s v="Refugee Response Plan"/>
    <m/>
    <x v="0"/>
  </r>
  <r>
    <x v="4"/>
    <s v="Democratic Republic of the Congo"/>
    <s v="Democratic Republic of the Congo"/>
    <s v="COD"/>
    <s v="Funding received"/>
    <n v="488391703"/>
    <s v="Democratic Republic of the Congo"/>
    <s v="Consolidated Appeal Process (CAP)"/>
    <m/>
    <x v="3"/>
  </r>
  <r>
    <x v="4"/>
    <s v="Democratic Republic of the Congo"/>
    <s v="Democratic Republic of the Congo"/>
    <s v="COD"/>
    <s v="Funding requirements"/>
    <n v="735754098"/>
    <s v="Democratic Republic of the Congo"/>
    <s v="Consolidated Appeal Process (CAP)"/>
    <m/>
    <x v="3"/>
  </r>
  <r>
    <x v="5"/>
    <s v="Djibouti"/>
    <s v="Djibouti"/>
    <s v="DJI"/>
    <s v="Funding received"/>
    <n v="24753575"/>
    <s v="Djibouti"/>
    <s v="Consolidated Appeal Process (CAP)"/>
    <m/>
    <x v="3"/>
  </r>
  <r>
    <x v="5"/>
    <s v="Djibouti"/>
    <s v="Djibouti"/>
    <s v="DJI"/>
    <s v="Funding requirements"/>
    <n v="69982984"/>
    <s v="Djibouti"/>
    <s v="Consolidated Appeal Process (CAP)"/>
    <m/>
    <x v="3"/>
  </r>
  <r>
    <x v="5"/>
    <s v="Djibouti"/>
    <s v="Djibouti"/>
    <s v="DJI"/>
    <s v="People targeted"/>
    <n v="300000"/>
    <s v="Djibouti"/>
    <s v="Consolidated Appeal Process (CAP)"/>
    <m/>
    <x v="0"/>
  </r>
  <r>
    <x v="5"/>
    <s v="Djibouti"/>
    <s v="Djibouti"/>
    <s v="DJI"/>
    <s v="Funding received"/>
    <n v="21000000"/>
    <s v="Djibouti"/>
    <m/>
    <m/>
    <x v="3"/>
  </r>
  <r>
    <x v="5"/>
    <s v="Djibouti"/>
    <s v="Djibouti"/>
    <s v="DJI"/>
    <s v="Funding requirements"/>
    <n v="74100000"/>
    <s v="Djibouti"/>
    <m/>
    <m/>
    <x v="3"/>
  </r>
  <r>
    <x v="5"/>
    <s v="Djibouti"/>
    <s v="Djibouti"/>
    <s v="DJI"/>
    <s v="People in need"/>
    <n v="300000"/>
    <s v="Djibouti"/>
    <m/>
    <m/>
    <x v="0"/>
  </r>
  <r>
    <x v="5"/>
    <s v="Djibouti"/>
    <s v="Djibouti"/>
    <s v="DJI"/>
    <s v="Funding received"/>
    <n v="17300000"/>
    <s v="Djibouti"/>
    <m/>
    <m/>
    <x v="3"/>
  </r>
  <r>
    <x v="5"/>
    <s v="Djibouti"/>
    <s v="Djibouti"/>
    <s v="DJI"/>
    <s v="Funding requirements"/>
    <n v="82000000"/>
    <s v="Djibouti"/>
    <m/>
    <m/>
    <x v="3"/>
  </r>
  <r>
    <x v="5"/>
    <s v="Djibouti"/>
    <s v="Djibouti"/>
    <s v="DJI"/>
    <s v="People in need"/>
    <n v="300000"/>
    <s v="Djibouti"/>
    <m/>
    <m/>
    <x v="0"/>
  </r>
  <r>
    <x v="5"/>
    <s v="Djibouti"/>
    <s v="Djibouti"/>
    <s v="DJI"/>
    <s v="Funding received"/>
    <n v="26300000"/>
    <s v="Djibouti"/>
    <m/>
    <m/>
    <x v="3"/>
  </r>
  <r>
    <x v="5"/>
    <s v="Djibouti"/>
    <s v="Djibouti"/>
    <s v="DJI"/>
    <s v="Funding requirements"/>
    <n v="74800000"/>
    <s v="Djibouti"/>
    <m/>
    <m/>
    <x v="3"/>
  </r>
  <r>
    <x v="5"/>
    <s v="Djibouti"/>
    <s v="Djibouti"/>
    <s v="DJI"/>
    <s v="People in need"/>
    <n v="282417"/>
    <s v="Djibouti"/>
    <m/>
    <m/>
    <x v="0"/>
  </r>
  <r>
    <x v="5"/>
    <s v="Djibouti"/>
    <s v="Djibouti"/>
    <s v="DJI"/>
    <s v="Funding received"/>
    <n v="11100000"/>
    <s v="Djibouti"/>
    <s v="Humanitarian Response Plan (HRP)"/>
    <m/>
    <x v="3"/>
  </r>
  <r>
    <x v="5"/>
    <s v="Djibouti"/>
    <s v="Djibouti"/>
    <s v="DJI"/>
    <s v="Funding requirements"/>
    <n v="43000000"/>
    <s v="Djibouti"/>
    <s v="Humanitarian Response Plan (HRP)"/>
    <m/>
    <x v="3"/>
  </r>
  <r>
    <x v="5"/>
    <s v="Djibouti"/>
    <s v="Djibouti"/>
    <s v="DJI"/>
    <s v="People in need"/>
    <n v="289000"/>
    <s v="Djibouti"/>
    <s v="Humanitarian Response Plan (HRP)"/>
    <m/>
    <x v="0"/>
  </r>
  <r>
    <x v="5"/>
    <s v="Djibouti Appeal"/>
    <s v="Djibouti"/>
    <s v="DJI"/>
    <s v="Funding received"/>
    <n v="40222828"/>
    <s v="Djibouti Appeal"/>
    <s v="Consolidated Appeal Process (CAP)"/>
    <m/>
    <x v="3"/>
  </r>
  <r>
    <x v="5"/>
    <s v="Djibouti Appeal"/>
    <s v="Djibouti"/>
    <s v="DJI"/>
    <s v="Funding requirements"/>
    <n v="79310556"/>
    <s v="Djibouti Appeal"/>
    <s v="Consolidated Appeal Process (CAP)"/>
    <m/>
    <x v="3"/>
  </r>
  <r>
    <x v="5"/>
    <s v="Djibouti Appeal"/>
    <s v="Djibouti"/>
    <s v="DJI"/>
    <s v="People targeted"/>
    <n v="206000"/>
    <s v="Djibouti Appeal"/>
    <s v="Consolidated Appeal Process (CAP)"/>
    <m/>
    <x v="0"/>
  </r>
  <r>
    <x v="5"/>
    <s v="Djibouti Drought Appeal"/>
    <s v="Djibouti"/>
    <s v="DJI"/>
    <s v="People targeted"/>
    <n v="120000"/>
    <s v="Djibouti Drought Appeal"/>
    <s v="Consolidated Appeal Process (CAP)"/>
    <m/>
    <x v="0"/>
  </r>
  <r>
    <x v="5"/>
    <s v="Djibouti Drought Appeal"/>
    <s v="Djibouti"/>
    <s v="DJI"/>
    <s v="Funding received"/>
    <n v="19370114"/>
    <s v="Djibouti Drought Appeal"/>
    <s v="Consolidated Appeal Process (CAP)"/>
    <m/>
    <x v="3"/>
  </r>
  <r>
    <x v="4"/>
    <s v="Chad"/>
    <s v="Chad"/>
    <s v="TCD"/>
    <s v="Funding received"/>
    <n v="231900000"/>
    <s v="Chad"/>
    <s v="Humanitarian Response Plan (HRP)"/>
    <m/>
    <x v="3"/>
  </r>
  <r>
    <x v="4"/>
    <s v="Chad"/>
    <s v="Chad"/>
    <s v="TCD"/>
    <s v="People in need"/>
    <n v="4300000"/>
    <s v="Chad"/>
    <s v="Humanitarian Response Plan (HRP)"/>
    <m/>
    <x v="0"/>
  </r>
  <r>
    <x v="5"/>
    <s v="Djibouti Drought Appeal"/>
    <s v="Djibouti"/>
    <s v="DJI"/>
    <s v="Funding requirements"/>
    <n v="33264338"/>
    <s v="Djibouti Drought Appeal"/>
    <s v="Consolidated Appeal Process (CAP)"/>
    <m/>
    <x v="3"/>
  </r>
  <r>
    <x v="4"/>
    <s v="Chad"/>
    <s v="Chad"/>
    <s v="TCD"/>
    <s v="People in need"/>
    <n v="6400000"/>
    <s v="Chad"/>
    <s v="Humanitarian Response Plan (HRP)"/>
    <m/>
    <x v="0"/>
  </r>
  <r>
    <x v="4"/>
    <s v="Ethiopia"/>
    <s v="Ethiopia"/>
    <s v="ETH"/>
    <s v="Funding received"/>
    <n v="1061000000"/>
    <s v="Ethiopia"/>
    <m/>
    <m/>
    <x v="3"/>
  </r>
  <r>
    <x v="4"/>
    <s v="Ethiopia"/>
    <s v="Ethiopia"/>
    <s v="ETH"/>
    <s v="Funding requirements"/>
    <n v="1600000000"/>
    <s v="Ethiopia"/>
    <m/>
    <m/>
    <x v="3"/>
  </r>
  <r>
    <x v="4"/>
    <s v="Ethiopia"/>
    <s v="Ethiopia"/>
    <s v="ETH"/>
    <s v="People in need"/>
    <n v="10000000"/>
    <s v="Ethiopia"/>
    <m/>
    <m/>
    <x v="0"/>
  </r>
  <r>
    <x v="4"/>
    <s v="Ethiopia"/>
    <s v="Ethiopia"/>
    <s v="ETH"/>
    <s v="Funding received"/>
    <n v="549600000"/>
    <s v="Ethiopia"/>
    <s v="Humanitarian Response Plan (HRP)"/>
    <m/>
    <x v="3"/>
  </r>
  <r>
    <x v="4"/>
    <s v="Ethiopia"/>
    <s v="Ethiopia"/>
    <s v="ETH"/>
    <s v="Funding requirements"/>
    <n v="1420000000"/>
    <s v="Ethiopia"/>
    <s v="Humanitarian Response Plan (HRP)"/>
    <m/>
    <x v="3"/>
  </r>
  <r>
    <x v="4"/>
    <s v="Ethiopia"/>
    <s v="Ethiopia"/>
    <s v="ETH"/>
    <s v="People in need"/>
    <n v="12500000"/>
    <s v="Ethiopia"/>
    <s v="Humanitarian Response Plan (HRP)"/>
    <m/>
    <x v="0"/>
  </r>
  <r>
    <x v="4"/>
    <s v="Ethiopia"/>
    <s v="Ethiopia"/>
    <s v="ETH"/>
    <s v="Funding received"/>
    <n v="635700000"/>
    <s v="Ethiopia"/>
    <s v="Humanitarian Response Plan (HRP)"/>
    <m/>
    <x v="3"/>
  </r>
  <r>
    <x v="4"/>
    <s v="Ethiopia"/>
    <s v="Ethiopia"/>
    <s v="ETH"/>
    <s v="Funding requirements"/>
    <n v="1180000000"/>
    <s v="Ethiopia"/>
    <s v="Humanitarian Response Plan (HRP)"/>
    <m/>
    <x v="3"/>
  </r>
  <r>
    <x v="4"/>
    <s v="Ethiopia"/>
    <s v="Ethiopia"/>
    <s v="ETH"/>
    <s v="People in need"/>
    <n v="7000000"/>
    <s v="Ethiopia"/>
    <s v="Humanitarian Response Plan (HRP)"/>
    <m/>
    <x v="0"/>
  </r>
  <r>
    <x v="4"/>
    <s v="Ethiopia"/>
    <s v="Ethiopia"/>
    <s v="ETH"/>
    <s v="Funding requirements"/>
    <n v="771500000"/>
    <s v="Ethiopia"/>
    <s v="Humanitarian Response Plan (HRP)"/>
    <m/>
    <x v="3"/>
  </r>
  <r>
    <x v="4"/>
    <s v="Cameroon"/>
    <s v="Cameroon"/>
    <s v="CMR"/>
    <s v="Funding requirements"/>
    <n v="317000000"/>
    <s v="Cameroon"/>
    <s v="Humanitarian Response Plan (HRP)"/>
    <m/>
    <x v="3"/>
  </r>
  <r>
    <x v="4"/>
    <s v="Colombia"/>
    <s v="Colombia"/>
    <s v="COL"/>
    <s v="People in need"/>
    <n v="10400000"/>
    <s v="Colombia"/>
    <s v="Humanitarian Response Plan (HRP)"/>
    <m/>
    <x v="0"/>
  </r>
  <r>
    <x v="4"/>
    <s v="Haiti"/>
    <s v="Haiti"/>
    <s v="HTI"/>
    <s v="People targeted"/>
    <n v="2100000"/>
    <s v="Haiti"/>
    <s v="Consolidated Appeal Process (CAP)"/>
    <m/>
    <x v="0"/>
  </r>
  <r>
    <x v="4"/>
    <s v="Haiti"/>
    <s v="Haiti"/>
    <s v="HTI"/>
    <s v="Funding received"/>
    <n v="70311344"/>
    <s v="Haiti"/>
    <s v="Consolidated Appeal Process (CAP)"/>
    <m/>
    <x v="3"/>
  </r>
  <r>
    <x v="4"/>
    <s v="Haiti"/>
    <s v="Haiti"/>
    <s v="HTI"/>
    <s v="Funding requirements"/>
    <n v="151080810"/>
    <s v="Haiti"/>
    <s v="Consolidated Appeal Process (CAP)"/>
    <m/>
    <x v="3"/>
  </r>
  <r>
    <x v="4"/>
    <s v="Haiti"/>
    <s v="Haiti"/>
    <s v="HTI"/>
    <s v="People targeted"/>
    <n v="1188000"/>
    <s v="Haiti"/>
    <s v="Consolidated Appeal Process (CAP)"/>
    <m/>
    <x v="0"/>
  </r>
  <r>
    <x v="4"/>
    <s v="Haiti"/>
    <s v="Haiti"/>
    <s v="HTI"/>
    <s v="Funding received"/>
    <n v="89900000"/>
    <s v="Haiti"/>
    <m/>
    <m/>
    <x v="3"/>
  </r>
  <r>
    <x v="4"/>
    <s v="Haiti"/>
    <s v="Haiti"/>
    <s v="HTI"/>
    <s v="Funding requirements"/>
    <n v="157500000"/>
    <s v="Haiti"/>
    <m/>
    <m/>
    <x v="3"/>
  </r>
  <r>
    <x v="4"/>
    <s v="Haiti"/>
    <s v="Haiti"/>
    <s v="HTI"/>
    <s v="People in need"/>
    <n v="817000"/>
    <s v="Haiti"/>
    <m/>
    <m/>
    <x v="0"/>
  </r>
  <r>
    <x v="4"/>
    <s v="Haiti"/>
    <s v="Haiti"/>
    <s v="HTI"/>
    <s v="Funding received"/>
    <n v="62100000"/>
    <s v="Haiti"/>
    <m/>
    <m/>
    <x v="3"/>
  </r>
  <r>
    <x v="4"/>
    <s v="Haiti"/>
    <s v="Haiti"/>
    <s v="HTI"/>
    <s v="Funding requirements"/>
    <n v="193800000"/>
    <s v="Haiti"/>
    <m/>
    <m/>
    <x v="3"/>
  </r>
  <r>
    <x v="4"/>
    <s v="Haiti"/>
    <s v="Haiti"/>
    <s v="HTI"/>
    <s v="People in need"/>
    <n v="1600000"/>
    <s v="Haiti"/>
    <m/>
    <m/>
    <x v="0"/>
  </r>
  <r>
    <x v="4"/>
    <s v="Haiti"/>
    <s v="Haiti"/>
    <s v="HTI"/>
    <s v="Funding received"/>
    <n v="71300000"/>
    <s v="Haiti"/>
    <s v="Humanitarian Response Plan (HRP)"/>
    <m/>
    <x v="3"/>
  </r>
  <r>
    <x v="4"/>
    <s v="Haiti"/>
    <s v="Haiti"/>
    <s v="HTI"/>
    <s v="Funding requirements"/>
    <n v="192200000"/>
    <s v="Haiti"/>
    <s v="Humanitarian Response Plan (HRP)"/>
    <m/>
    <x v="3"/>
  </r>
  <r>
    <x v="4"/>
    <s v="Haiti"/>
    <s v="Haiti"/>
    <s v="HTI"/>
    <s v="People in need"/>
    <n v="2700000"/>
    <s v="Haiti"/>
    <s v="Humanitarian Response Plan (HRP)"/>
    <m/>
    <x v="0"/>
  </r>
  <r>
    <x v="4"/>
    <s v="Haiti"/>
    <s v="Haiti"/>
    <s v="HTI"/>
    <s v="Funding received"/>
    <n v="28200000"/>
    <s v="Haiti"/>
    <s v="Humanitarian Response Plan (HRP)"/>
    <m/>
    <x v="3"/>
  </r>
  <r>
    <x v="4"/>
    <s v="Haiti"/>
    <s v="Haiti"/>
    <s v="HTI"/>
    <s v="Funding requirements"/>
    <n v="252200000"/>
    <s v="Haiti"/>
    <s v="Humanitarian Response Plan (HRP)"/>
    <m/>
    <x v="3"/>
  </r>
  <r>
    <x v="4"/>
    <s v="Haiti"/>
    <s v="Haiti"/>
    <s v="HTI"/>
    <s v="People in need"/>
    <n v="2800000"/>
    <s v="Haiti"/>
    <s v="Humanitarian Response Plan (HRP)"/>
    <m/>
    <x v="0"/>
  </r>
  <r>
    <x v="4"/>
    <s v="Democratic People's Republic of Korea"/>
    <s v="Democratic People's Republic of Korea"/>
    <s v="PRK"/>
    <s v="Funding received"/>
    <n v="32000000"/>
    <s v="Democratic People's Republic of Korea"/>
    <s v="Other"/>
    <m/>
    <x v="3"/>
  </r>
  <r>
    <x v="4"/>
    <s v="Haiti"/>
    <s v="Haiti"/>
    <s v="HTI"/>
    <s v="Funding requirements"/>
    <n v="126200000"/>
    <s v="Haiti"/>
    <s v="Humanitarian Response Plan (HRP)"/>
    <m/>
    <x v="3"/>
  </r>
  <r>
    <x v="4"/>
    <s v="Cameroon"/>
    <s v="Cameroon"/>
    <s v="CMR"/>
    <s v="Funding requirements"/>
    <n v="360000000"/>
    <s v="Cameroon"/>
    <s v="Humanitarian response plan"/>
    <m/>
    <x v="2"/>
  </r>
  <r>
    <x v="4"/>
    <s v="Haiti Flash Appeal"/>
    <s v="Haiti"/>
    <s v="HTI"/>
    <s v="Funding received"/>
    <n v="64300000"/>
    <s v="Haiti Flash Appeal"/>
    <m/>
    <m/>
    <x v="3"/>
  </r>
  <r>
    <x v="4"/>
    <s v="Haiti Flash Appeal"/>
    <s v="Haiti"/>
    <s v="HTI"/>
    <s v="Funding requirements"/>
    <n v="139000000"/>
    <s v="Haiti Flash Appeal"/>
    <m/>
    <m/>
    <x v="3"/>
  </r>
  <r>
    <x v="4"/>
    <s v="Haiti Humanitarian Action Plan"/>
    <s v="Haiti"/>
    <s v="HTI"/>
    <s v="Funding received"/>
    <n v="72771635"/>
    <s v="Haiti Humanitarian Action Plan"/>
    <s v="Consolidated Appeal Process (CAP)"/>
    <m/>
    <x v="3"/>
  </r>
  <r>
    <x v="4"/>
    <s v="Kyrgyzstan Flash Appeal (Revised)"/>
    <s v="Kyrgyzstan"/>
    <s v="KGZ"/>
    <s v="Funding requirements"/>
    <n v="94231852"/>
    <s v="Kyrgyzstan Flash Appeal (Revised)"/>
    <s v="Flash appeal"/>
    <m/>
    <x v="3"/>
  </r>
  <r>
    <x v="4"/>
    <s v="Kyrgyzstan Flash Appeal (Revised)"/>
    <s v="Kyrgyzstan"/>
    <s v="KGZ"/>
    <s v="Funding received"/>
    <n v="68617608"/>
    <s v="Kyrgyzstan Flash Appeal (Revised)"/>
    <s v="Flash appeal"/>
    <m/>
    <x v="3"/>
  </r>
  <r>
    <x v="6"/>
    <s v="Liberia"/>
    <s v="Liberia"/>
    <s v="LBR"/>
    <s v="Funding received"/>
    <n v="37229017"/>
    <s v="Liberia"/>
    <s v="Consolidated Appeal Process (CAP)"/>
    <m/>
    <x v="3"/>
  </r>
  <r>
    <x v="6"/>
    <s v="Liberia"/>
    <s v="Liberia"/>
    <s v="LBR"/>
    <s v="Funding requirements"/>
    <n v="97912181"/>
    <s v="Liberia"/>
    <s v="Consolidated Appeal Process (CAP)"/>
    <m/>
    <x v="3"/>
  </r>
  <r>
    <x v="6"/>
    <s v="Liberia"/>
    <s v="Liberia"/>
    <s v="LBR"/>
    <s v="People targeted"/>
    <n v="200245"/>
    <s v="Liberia"/>
    <s v="Consolidated Appeal Process (CAP)"/>
    <m/>
    <x v="0"/>
  </r>
  <r>
    <x v="6"/>
    <s v="Haiti Humanitarian Action Plan"/>
    <s v="Haiti"/>
    <s v="HTI"/>
    <s v="Funding requirements"/>
    <n v="152343810"/>
    <s v="Haiti Humanitarian Action Plan"/>
    <s v="Consolidated Appeal Process (CAP)"/>
    <m/>
    <x v="3"/>
  </r>
  <r>
    <x v="6"/>
    <s v="Haiti Humanitarian Action Plan"/>
    <s v="Haiti"/>
    <s v="HTI"/>
    <s v="People targeted"/>
    <n v="900000"/>
    <s v="Haiti Humanitarian Action Plan"/>
    <s v="Consolidated Appeal Process (CAP)"/>
    <m/>
    <x v="0"/>
  </r>
  <r>
    <x v="6"/>
    <s v="Haiti Humanitarian Appeal (Revised)"/>
    <s v="Haiti"/>
    <s v="HTI"/>
    <s v="Funding requirements"/>
    <n v="1502221330"/>
    <s v="Haiti Humanitarian Appeal (Revised)"/>
    <s v="Flash appeal"/>
    <m/>
    <x v="3"/>
  </r>
  <r>
    <x v="6"/>
    <s v="Haiti Humanitarian Appeal (Revised)"/>
    <s v="Haiti"/>
    <s v="HTI"/>
    <s v="Funding received"/>
    <n v="1108519732"/>
    <s v="Haiti Humanitarian Appeal (Revised)"/>
    <s v="Flash appeal"/>
    <m/>
    <x v="3"/>
  </r>
  <r>
    <x v="6"/>
    <s v="Haiti"/>
    <s v="Haiti"/>
    <s v="HTI"/>
    <s v="Funding received"/>
    <n v="6300000"/>
    <s v="Haiti"/>
    <m/>
    <m/>
    <x v="3"/>
  </r>
  <r>
    <x v="6"/>
    <s v="Haiti"/>
    <s v="Haiti"/>
    <s v="HTI"/>
    <s v="Funding requirements"/>
    <n v="25500000"/>
    <s v="Haiti"/>
    <m/>
    <m/>
    <x v="3"/>
  </r>
  <r>
    <x v="6"/>
    <s v="Haiti"/>
    <s v="Haiti"/>
    <s v="HTI"/>
    <s v="Funding received"/>
    <n v="220820927"/>
    <s v="Haiti"/>
    <s v="Consolidated Appeal Process (CAP)"/>
    <m/>
    <x v="3"/>
  </r>
  <r>
    <x v="6"/>
    <s v="Haiti"/>
    <s v="Haiti"/>
    <s v="HTI"/>
    <s v="Funding requirements"/>
    <n v="382390619"/>
    <s v="Haiti"/>
    <s v="Consolidated Appeal Process (CAP)"/>
    <m/>
    <x v="3"/>
  </r>
  <r>
    <x v="6"/>
    <s v="Indonesia"/>
    <s v="Indonesia"/>
    <s v="IDN"/>
    <s v="Funding received"/>
    <n v="16700000"/>
    <s v="Indonesia"/>
    <s v="Other"/>
    <m/>
    <x v="3"/>
  </r>
  <r>
    <x v="6"/>
    <s v="Indonesia"/>
    <s v="Indonesia"/>
    <s v="IDN"/>
    <s v="Funding requirements"/>
    <n v="50500000"/>
    <s v="Indonesia"/>
    <s v="Other"/>
    <m/>
    <x v="3"/>
  </r>
  <r>
    <x v="6"/>
    <s v="Indonesia"/>
    <s v="Indonesia"/>
    <s v="IDN"/>
    <s v="People in need"/>
    <n v="1500000"/>
    <s v="Indonesia"/>
    <s v="Other"/>
    <m/>
    <x v="0"/>
  </r>
  <r>
    <x v="6"/>
    <s v="Democratic People's Republic of Korea"/>
    <s v="Democratic People's Republic of Korea"/>
    <s v="PRK"/>
    <s v="People in need"/>
    <n v="10900000"/>
    <s v="Democratic People's Republic of Korea"/>
    <s v="Other"/>
    <m/>
    <x v="0"/>
  </r>
  <r>
    <x v="6"/>
    <s v="Iran"/>
    <s v="Iran"/>
    <s v="IRN"/>
    <s v="Funding requirements"/>
    <n v="25000000"/>
    <s v="Iran"/>
    <s v="Other"/>
    <m/>
    <x v="3"/>
  </r>
  <r>
    <x v="6"/>
    <s v="Democratic People's Republic of Korea"/>
    <s v="Democratic People's Republic of Korea"/>
    <s v="PRK"/>
    <s v="People in need"/>
    <n v="10400000"/>
    <s v="Democratic People's Republic of Korea"/>
    <s v="Other"/>
    <s v="yes"/>
    <x v="0"/>
  </r>
  <r>
    <x v="6"/>
    <s v="Iraq"/>
    <s v="Iraq"/>
    <s v="IRQ"/>
    <s v="Funding received"/>
    <n v="819400000"/>
    <s v="Iraq"/>
    <m/>
    <m/>
    <x v="3"/>
  </r>
  <r>
    <x v="6"/>
    <s v="Iraq"/>
    <s v="Iraq"/>
    <s v="IRQ"/>
    <s v="Funding requirements"/>
    <n v="1113300000"/>
    <s v="Iraq"/>
    <m/>
    <m/>
    <x v="3"/>
  </r>
  <r>
    <x v="6"/>
    <s v="Iraq"/>
    <s v="Iraq"/>
    <s v="IRQ"/>
    <s v="People in need"/>
    <n v="5200000"/>
    <s v="Iraq"/>
    <m/>
    <m/>
    <x v="0"/>
  </r>
  <r>
    <x v="6"/>
    <s v="Iraq"/>
    <s v="Iraq"/>
    <s v="IRQ"/>
    <s v="Funding received"/>
    <n v="439700000"/>
    <s v="Iraq"/>
    <m/>
    <m/>
    <x v="3"/>
  </r>
  <r>
    <x v="6"/>
    <s v="Sri Lanka Common Humanitarian Action Plan"/>
    <s v="Sri Lanka"/>
    <s v="LKA"/>
    <s v="Funding received"/>
    <n v="153824575"/>
    <s v="Sri Lanka Common Humanitarian Action Plan"/>
    <s v="Other"/>
    <m/>
    <x v="3"/>
  </r>
  <r>
    <x v="6"/>
    <s v="Sri Lanka Common Humanitarian Action Plan"/>
    <s v="Sri Lanka"/>
    <s v="LKA"/>
    <s v="Funding requirements"/>
    <n v="289605365"/>
    <s v="Sri Lanka Common Humanitarian Action Plan"/>
    <s v="Other"/>
    <m/>
    <x v="3"/>
  </r>
  <r>
    <x v="6"/>
    <s v="Iraq"/>
    <s v="Iraq"/>
    <s v="IRQ"/>
    <s v="Funding requirements"/>
    <n v="704300000"/>
    <s v="Iraq"/>
    <m/>
    <m/>
    <x v="3"/>
  </r>
  <r>
    <x v="6"/>
    <s v="Iraq"/>
    <s v="Iraq"/>
    <s v="IRQ"/>
    <s v="People in need"/>
    <n v="8200000"/>
    <s v="Iraq"/>
    <m/>
    <m/>
    <x v="0"/>
  </r>
  <r>
    <x v="6"/>
    <s v="Iraq"/>
    <s v="Iraq"/>
    <s v="IRQ"/>
    <s v="Funding received"/>
    <n v="663600000"/>
    <s v="Iraq"/>
    <m/>
    <m/>
    <x v="3"/>
  </r>
  <r>
    <x v="6"/>
    <s v="Iraq"/>
    <s v="Iraq"/>
    <s v="IRQ"/>
    <s v="Funding requirements"/>
    <n v="860500000"/>
    <s v="Iraq"/>
    <m/>
    <m/>
    <x v="3"/>
  </r>
  <r>
    <x v="6"/>
    <s v="Sri Lanka Joint Plan of Assistance to the Northern Province (JPA)"/>
    <s v="Sri Lanka"/>
    <s v="LKA"/>
    <s v="Funding received"/>
    <n v="40172849"/>
    <s v="Sri Lanka Joint Plan of Assistance to the Northern Province (JPA)"/>
    <s v="Other"/>
    <m/>
    <x v="3"/>
  </r>
  <r>
    <x v="6"/>
    <s v="Sri Lanka Joint Plan of Assistance to the Northern Province (JPA)"/>
    <s v="Sri Lanka"/>
    <s v="LKA"/>
    <s v="Funding requirements"/>
    <n v="147118508"/>
    <s v="Sri Lanka Joint Plan of Assistance to the Northern Province (JPA)"/>
    <s v="Other"/>
    <m/>
    <x v="3"/>
  </r>
  <r>
    <x v="6"/>
    <s v="Lesotho Food Insecurity"/>
    <s v="Lesotho"/>
    <s v="LSO"/>
    <s v="Funding received"/>
    <n v="23805699"/>
    <s v="Lesotho Food Insecurity"/>
    <s v="Flash appeal"/>
    <m/>
    <x v="3"/>
  </r>
  <r>
    <x v="6"/>
    <s v="Lesotho Food Insecurity"/>
    <s v="Lesotho"/>
    <s v="LSO"/>
    <s v="Funding requirements"/>
    <n v="38458738"/>
    <s v="Lesotho Food Insecurity"/>
    <s v="Flash appeal"/>
    <m/>
    <x v="3"/>
  </r>
  <r>
    <x v="6"/>
    <s v="Madagascar"/>
    <s v="Madagascar"/>
    <s v="MDG"/>
    <s v="Funding requirements"/>
    <n v="32400000"/>
    <s v="Madagascar"/>
    <s v="Flash appeal"/>
    <m/>
    <x v="3"/>
  </r>
  <r>
    <x v="6"/>
    <s v="Central African Republic"/>
    <s v="Central African Republic"/>
    <s v="CAF"/>
    <s v="Funding requirements"/>
    <n v="387800000"/>
    <s v="Central African Republic"/>
    <s v="Humanitarian Response Plan (HRP)"/>
    <m/>
    <x v="3"/>
  </r>
  <r>
    <x v="6"/>
    <s v="Madagascar Flash Appeal"/>
    <s v="Madagascar"/>
    <s v="MDG"/>
    <s v="Funding received"/>
    <n v="13300000"/>
    <s v="Madagascar Flash Appeal"/>
    <s v="Humanitarian Response Plan (HRP)"/>
    <m/>
    <x v="3"/>
  </r>
  <r>
    <x v="6"/>
    <s v="Madagascar Flash Appeal"/>
    <s v="Madagascar"/>
    <s v="MDG"/>
    <s v="Funding requirements"/>
    <n v="20100000"/>
    <s v="Madagascar Flash Appeal"/>
    <s v="Humanitarian Response Plan (HRP)"/>
    <m/>
    <x v="3"/>
  </r>
  <r>
    <x v="6"/>
    <s v="Iraq"/>
    <s v="Iraq"/>
    <s v="IRQ"/>
    <s v="People in need"/>
    <n v="11000000"/>
    <s v="Iraq"/>
    <m/>
    <m/>
    <x v="0"/>
  </r>
  <r>
    <x v="6"/>
    <s v="Iraq"/>
    <s v="Iraq"/>
    <s v="IRQ"/>
    <s v="Funding received"/>
    <n v="808700000"/>
    <s v="Iraq"/>
    <s v="Humanitarian Response Plan (HRP)"/>
    <m/>
    <x v="3"/>
  </r>
  <r>
    <x v="6"/>
    <s v="Iraq"/>
    <s v="Iraq"/>
    <s v="IRQ"/>
    <s v="Funding requirements"/>
    <n v="984600000"/>
    <s v="Iraq"/>
    <s v="Humanitarian Response Plan (HRP)"/>
    <m/>
    <x v="3"/>
  </r>
  <r>
    <x v="6"/>
    <s v="Iraq"/>
    <s v="Iraq"/>
    <s v="IRQ"/>
    <s v="People in need"/>
    <n v="11000000"/>
    <s v="Iraq"/>
    <s v="Humanitarian Response Plan (HRP)"/>
    <m/>
    <x v="0"/>
  </r>
  <r>
    <x v="6"/>
    <s v="Iraq"/>
    <s v="Iraq"/>
    <s v="IRQ"/>
    <s v="Funding received"/>
    <n v="455300000"/>
    <s v="Iraq"/>
    <s v="Humanitarian Response Plan (HRP)"/>
    <m/>
    <x v="3"/>
  </r>
  <r>
    <x v="6"/>
    <s v="Iraq"/>
    <s v="Iraq"/>
    <s v="IRQ"/>
    <s v="Funding requirements"/>
    <n v="568700000"/>
    <s v="Iraq"/>
    <s v="Humanitarian Response Plan (HRP)"/>
    <m/>
    <x v="3"/>
  </r>
  <r>
    <x v="6"/>
    <s v="Iraq"/>
    <s v="Iraq"/>
    <s v="IRQ"/>
    <s v="People in need"/>
    <n v="8700000"/>
    <s v="Iraq"/>
    <s v="Humanitarian Response Plan (HRP)"/>
    <m/>
    <x v="0"/>
  </r>
  <r>
    <x v="6"/>
    <s v="Democratic Republic of the Congo"/>
    <s v="Democratic Republic of the Congo"/>
    <s v="COD"/>
    <s v="Funding received"/>
    <n v="680900000"/>
    <s v="Democratic Republic of the Congo"/>
    <s v="Humanitarian Response Plan (HRP)"/>
    <m/>
    <x v="3"/>
  </r>
  <r>
    <x v="6"/>
    <s v="Iraq"/>
    <s v="Iraq"/>
    <s v="IRQ"/>
    <s v="Funding requirements"/>
    <n v="701200000"/>
    <s v="Iraq"/>
    <s v="Humanitarian Response Plan (HRP)"/>
    <m/>
    <x v="3"/>
  </r>
  <r>
    <x v="6"/>
    <s v="Democratic Republic of the Congo"/>
    <s v="Democratic Republic of the Congo"/>
    <s v="COD"/>
    <s v="Funding received"/>
    <n v="146900000"/>
    <s v="Democratic Republic of the Congo Regional Response Plan"/>
    <s v="Refugee Response Plan"/>
    <m/>
    <x v="3"/>
  </r>
  <r>
    <x v="6"/>
    <s v="Democratic Republic of the Congo"/>
    <s v="Democratic Republic of the Congo"/>
    <s v="COD"/>
    <s v="People in need"/>
    <n v="12800000"/>
    <s v="Democratic Republic of the Congo"/>
    <s v="Humanitarian Response Plan (HRP)"/>
    <m/>
    <x v="0"/>
  </r>
  <r>
    <x v="6"/>
    <s v="Iraq Humanitarian Action Plan"/>
    <s v="Iraq"/>
    <s v="IRQ"/>
    <s v="Funding received"/>
    <n v="51113653"/>
    <s v="Iraq Humanitarian Action Plan"/>
    <s v="Other"/>
    <m/>
    <x v="3"/>
  </r>
  <r>
    <x v="6"/>
    <s v="Iraq Humanitarian Action Plan"/>
    <s v="Iraq"/>
    <s v="IRQ"/>
    <s v="Funding requirements"/>
    <n v="187725113"/>
    <s v="Iraq Humanitarian Action Plan"/>
    <s v="Other"/>
    <m/>
    <x v="3"/>
  </r>
  <r>
    <x v="6"/>
    <s v="Mosul Flash Appeal"/>
    <s v="Iraq"/>
    <s v="IRQ"/>
    <s v="Funding received"/>
    <n v="232700000"/>
    <s v="Mosul Flash Appeal"/>
    <m/>
    <m/>
    <x v="3"/>
  </r>
  <r>
    <x v="6"/>
    <s v="Mosul Flash Appeal"/>
    <s v="Iraq"/>
    <s v="IRQ"/>
    <s v="Funding requirements"/>
    <n v="283700000"/>
    <s v="Mosul Flash Appeal"/>
    <m/>
    <m/>
    <x v="3"/>
  </r>
  <r>
    <x v="6"/>
    <s v="Kenya Emergency Humanitarian Response Plan"/>
    <s v="Kenya"/>
    <s v="KEN"/>
    <s v="Funding requirements"/>
    <n v="603544553"/>
    <s v="Kenya Emergency Humanitarian Response Plan"/>
    <s v="Consolidated Appeal Process (CAP)"/>
    <m/>
    <x v="3"/>
  </r>
  <r>
    <x v="6"/>
    <s v="Kenya Emergency Humanitarian Response Plan"/>
    <s v="Kenya"/>
    <s v="KEN"/>
    <s v="Funding received"/>
    <n v="399288552"/>
    <s v="Kenya Emergency Humanitarian Response Plan"/>
    <s v="Consolidated Appeal Process (CAP)"/>
    <m/>
    <x v="3"/>
  </r>
  <r>
    <x v="6"/>
    <s v="Kenya Emergency Humanitarian Response Plan"/>
    <s v="Kenya"/>
    <s v="KEN"/>
    <s v="People targeted"/>
    <n v="1655500"/>
    <s v="Kenya Emergency Humanitarian Response Plan"/>
    <s v="Consolidated Appeal Process (CAP)"/>
    <m/>
    <x v="0"/>
  </r>
  <r>
    <x v="6"/>
    <s v="Kenya Emergency Humanitarian Response Plan"/>
    <s v="Kenya"/>
    <s v="KEN"/>
    <s v="Funding received"/>
    <n v="545023141"/>
    <s v="Kenya Emergency Humanitarian Response Plan"/>
    <s v="Consolidated Appeal Process (CAP)"/>
    <m/>
    <x v="3"/>
  </r>
  <r>
    <x v="6"/>
    <s v="Kenya Emergency Humanitarian Response Plan"/>
    <s v="Kenya"/>
    <s v="KEN"/>
    <s v="Funding requirements"/>
    <n v="796807640"/>
    <s v="Kenya Emergency Humanitarian Response Plan"/>
    <s v="Consolidated Appeal Process (CAP)"/>
    <m/>
    <x v="3"/>
  </r>
  <r>
    <x v="6"/>
    <s v="Kenya Emergency Humanitarian Response Plan"/>
    <s v="Kenya"/>
    <s v="KEN"/>
    <s v="People targeted"/>
    <n v="2726000"/>
    <s v="Kenya Emergency Humanitarian Response Plan"/>
    <s v="Consolidated Appeal Process (CAP)"/>
    <m/>
    <x v="0"/>
  </r>
  <r>
    <x v="6"/>
    <s v="Kenya Emergency Humanitarian Response Plan"/>
    <s v="Kenya"/>
    <s v="KEN"/>
    <s v="Funding received"/>
    <n v="372462747"/>
    <s v="Kenya Emergency Humanitarian Response Plan"/>
    <s v="Consolidated Appeal Process (CAP)"/>
    <m/>
    <x v="3"/>
  </r>
  <r>
    <x v="6"/>
    <s v="Kenya Emergency Humanitarian Response Plan"/>
    <s v="Kenya"/>
    <s v="KEN"/>
    <s v="Funding requirements"/>
    <n v="663311782"/>
    <s v="Kenya Emergency Humanitarian Response Plan"/>
    <s v="Consolidated Appeal Process (CAP)"/>
    <m/>
    <x v="3"/>
  </r>
  <r>
    <x v="6"/>
    <s v="Kenya Emergency Humanitarian Response Plan"/>
    <s v="Kenya"/>
    <s v="KEN"/>
    <s v="People targeted"/>
    <n v="1700000"/>
    <s v="Kenya Emergency Humanitarian Response Plan"/>
    <s v="Consolidated Appeal Process (CAP)"/>
    <m/>
    <x v="0"/>
  </r>
  <r>
    <x v="6"/>
    <s v="Kenya Flash Appeal"/>
    <s v="Kenya"/>
    <s v="KEN"/>
    <s v="Funding received"/>
    <n v="85800000"/>
    <s v="Kenya Flash Appeal"/>
    <s v="Humanitarian Response Plan (HRP)"/>
    <m/>
    <x v="3"/>
  </r>
  <r>
    <x v="6"/>
    <s v="Kenya Flash Appeal"/>
    <s v="Kenya"/>
    <s v="KEN"/>
    <s v="Funding requirements"/>
    <n v="119900000"/>
    <s v="Kenya Flash Appeal"/>
    <s v="Humanitarian Response Plan (HRP)"/>
    <m/>
    <x v="3"/>
  </r>
  <r>
    <x v="6"/>
    <s v="Kenya Emergency Humanitarian Response Plan"/>
    <s v="Kenya"/>
    <s v="KEN"/>
    <s v="Funding received"/>
    <n v="532438919"/>
    <s v="Kenya Emergency Humanitarian Response Plan"/>
    <s v="Consolidated Appeal Process (CAP)"/>
    <m/>
    <x v="3"/>
  </r>
  <r>
    <x v="6"/>
    <s v="Kenya Emergency Humanitarian Response Plan"/>
    <s v="Kenya"/>
    <s v="KEN"/>
    <s v="Funding requirements"/>
    <n v="741818150"/>
    <s v="Kenya Emergency Humanitarian Response Plan"/>
    <s v="Consolidated Appeal Process (CAP)"/>
    <m/>
    <x v="3"/>
  </r>
  <r>
    <x v="6"/>
    <s v="Democratic Republic of the Congo"/>
    <s v="Democratic Republic of the Congo"/>
    <s v="COD"/>
    <s v="People in need"/>
    <n v="727000"/>
    <s v="Democratic Republic of the Congo Regional Response Plan"/>
    <s v="Regional Response Plan"/>
    <m/>
    <x v="0"/>
  </r>
  <r>
    <x v="6"/>
    <s v="Libya"/>
    <s v="Libya"/>
    <s v="LBY"/>
    <s v="Funding received"/>
    <n v="13100000"/>
    <s v="Libya"/>
    <m/>
    <m/>
    <x v="3"/>
  </r>
  <r>
    <x v="6"/>
    <s v="Libya"/>
    <s v="Libya"/>
    <s v="LBY"/>
    <s v="Funding requirements"/>
    <n v="35700000"/>
    <s v="Libya"/>
    <m/>
    <m/>
    <x v="3"/>
  </r>
  <r>
    <x v="6"/>
    <s v="Libya"/>
    <s v="Libya"/>
    <s v="LBY"/>
    <s v="People in need"/>
    <n v="331302"/>
    <s v="Libya"/>
    <m/>
    <m/>
    <x v="0"/>
  </r>
  <r>
    <x v="6"/>
    <s v="Libya"/>
    <s v="Libya"/>
    <s v="LBY"/>
    <s v="Funding received"/>
    <n v="48600000"/>
    <s v="Libya"/>
    <m/>
    <m/>
    <x v="3"/>
  </r>
  <r>
    <x v="6"/>
    <s v="Libya"/>
    <s v="Libya"/>
    <s v="LBY"/>
    <s v="Funding requirements"/>
    <n v="172500000"/>
    <s v="Libya"/>
    <m/>
    <m/>
    <x v="3"/>
  </r>
  <r>
    <x v="6"/>
    <s v="Libya"/>
    <s v="Libya"/>
    <s v="LBY"/>
    <s v="People in need"/>
    <n v="2400000"/>
    <s v="Libya"/>
    <m/>
    <m/>
    <x v="0"/>
  </r>
  <r>
    <x v="6"/>
    <s v="Libya"/>
    <s v="Libya"/>
    <s v="LBY"/>
    <s v="Funding received"/>
    <n v="85700000"/>
    <s v="Libya"/>
    <s v="Humanitarian Response Plan (HRP)"/>
    <m/>
    <x v="3"/>
  </r>
  <r>
    <x v="6"/>
    <s v="Libya"/>
    <s v="Libya"/>
    <s v="LBY"/>
    <s v="Funding requirements"/>
    <n v="151000000"/>
    <s v="Libya"/>
    <s v="Humanitarian Response Plan (HRP)"/>
    <m/>
    <x v="3"/>
  </r>
  <r>
    <x v="6"/>
    <s v="Libya"/>
    <s v="Libya"/>
    <s v="LBY"/>
    <s v="People in need"/>
    <n v="1300000"/>
    <s v="Libya"/>
    <s v="Humanitarian Response Plan (HRP)"/>
    <m/>
    <x v="0"/>
  </r>
  <r>
    <x v="6"/>
    <s v="Libya"/>
    <s v="Libya"/>
    <s v="LBY"/>
    <s v="Funding received"/>
    <n v="77600000"/>
    <s v="Libya"/>
    <s v="Humanitarian Response Plan (HRP)"/>
    <m/>
    <x v="3"/>
  </r>
  <r>
    <x v="6"/>
    <s v="Libya"/>
    <s v="Libya"/>
    <s v="LBY"/>
    <s v="Funding requirements"/>
    <n v="312700000"/>
    <s v="Libya"/>
    <s v="Humanitarian Response Plan (HRP)"/>
    <m/>
    <x v="3"/>
  </r>
  <r>
    <x v="6"/>
    <s v="Libya"/>
    <s v="Libya"/>
    <s v="LBY"/>
    <s v="People in need"/>
    <n v="1100000"/>
    <s v="Libya"/>
    <s v="Humanitarian Response Plan (HRP)"/>
    <m/>
    <x v="0"/>
  </r>
  <r>
    <x v="6"/>
    <s v="Democratic Republic of the Congo"/>
    <s v="Democratic Republic of the Congo"/>
    <s v="COD"/>
    <s v="People in need"/>
    <n v="25600000"/>
    <s v="Democratic Republic of the Congo"/>
    <s v="Humanitarian Response Plan (HRP)"/>
    <m/>
    <x v="0"/>
  </r>
  <r>
    <x v="6"/>
    <s v="Libya"/>
    <s v="Libya"/>
    <s v="LBY"/>
    <s v="Funding requirements"/>
    <n v="201600000"/>
    <s v="Libya"/>
    <s v="Humanitarian Response Plan (HRP)"/>
    <m/>
    <x v="3"/>
  </r>
  <r>
    <x v="6"/>
    <s v="Central African Republic"/>
    <s v="Central African Republic"/>
    <s v="CAF"/>
    <s v="Funding requirements"/>
    <n v="444760000"/>
    <s v="Central African Republic"/>
    <s v="Humanitarian response plan"/>
    <m/>
    <x v="2"/>
  </r>
  <r>
    <x v="6"/>
    <s v="Libya Flash Appeal"/>
    <s v="Libya"/>
    <s v="LBY"/>
    <s v="Funding received"/>
    <n v="499000"/>
    <s v="Libya Flash Appeal"/>
    <m/>
    <m/>
    <x v="3"/>
  </r>
  <r>
    <x v="6"/>
    <s v="Libya Flash Appeal"/>
    <s v="Libya"/>
    <s v="LBY"/>
    <s v="Funding requirements"/>
    <n v="10700000"/>
    <s v="Libya Flash Appeal"/>
    <m/>
    <m/>
    <x v="3"/>
  </r>
  <r>
    <x v="6"/>
    <s v="Regional Flash Appeal for the Libyan Crisis"/>
    <s v="Libya"/>
    <s v="LBY"/>
    <s v="Funding received"/>
    <n v="279208324"/>
    <s v="Regional Flash Appeal for the Libyan Crisis"/>
    <s v="Flash appeal"/>
    <m/>
    <x v="3"/>
  </r>
  <r>
    <x v="6"/>
    <s v="Regional Flash Appeal for the Libyan Crisis"/>
    <s v="Libya"/>
    <s v="LBY"/>
    <s v="Funding requirements"/>
    <n v="336182831"/>
    <s v="Regional Flash Appeal for the Libyan Crisis"/>
    <s v="Flash appeal"/>
    <m/>
    <x v="3"/>
  </r>
  <r>
    <x v="6"/>
    <s v="Chad"/>
    <s v="Chad"/>
    <s v="TCD"/>
    <s v="Funding requirements"/>
    <n v="500000000"/>
    <s v="Chad"/>
    <s v="Humanitarian Response Plan (HRP)"/>
    <m/>
    <x v="3"/>
  </r>
  <r>
    <x v="6"/>
    <s v="Mongolia Dzud Appeal"/>
    <s v="Mongolia"/>
    <s v="MNG"/>
    <s v="Funding requirements"/>
    <n v="18150794"/>
    <s v="Mongolia Dzud Appeal"/>
    <s v="Consolidated Appeal Process (CAP)"/>
    <m/>
    <x v="3"/>
  </r>
  <r>
    <x v="6"/>
    <s v="Mongolia Dzud Appeal"/>
    <s v="Mongolia"/>
    <s v="MNG"/>
    <s v="Funding received"/>
    <n v="3379194"/>
    <s v="Mongolia Dzud Appeal"/>
    <s v="Consolidated Appeal Process (CAP)"/>
    <m/>
    <x v="3"/>
  </r>
  <r>
    <x v="6"/>
    <s v="Democratic Republic of the Congo RRP"/>
    <s v="Democratic Republic of the Congo"/>
    <s v="COD"/>
    <s v="People in need"/>
    <n v="741000"/>
    <s v="Democratic Republic of the Congo RRP"/>
    <s v="Regional Response Plan"/>
    <m/>
    <x v="0"/>
  </r>
  <r>
    <x v="6"/>
    <s v="Mozambique"/>
    <s v="Mozambique"/>
    <s v="MOZ"/>
    <s v="Funding requirements"/>
    <n v="620500000"/>
    <s v="Mozambique"/>
    <s v="Humanitarian Response Plan (HRP)"/>
    <m/>
    <x v="3"/>
  </r>
  <r>
    <x v="6"/>
    <s v="Djibouti (Intersectoral)"/>
    <s v="Djibouti"/>
    <s v="DJI"/>
    <s v="People in need"/>
    <n v="1150000"/>
    <s v="Djibouti (Intersectoral)"/>
    <s v="COVID-19 (Intersectoral)"/>
    <s v="yes"/>
    <x v="0"/>
  </r>
  <r>
    <x v="6"/>
    <s v="Mozambique Flash Appeal"/>
    <s v="Mozambique"/>
    <s v="MOZ"/>
    <s v="Funding received"/>
    <n v="4600000"/>
    <s v="Mozambique Flash Appeal"/>
    <s v="Humanitarian Response Plan (HRP)"/>
    <m/>
    <x v="3"/>
  </r>
  <r>
    <x v="6"/>
    <s v="Mozambique Flash Appeal"/>
    <s v="Mozambique"/>
    <s v="MOZ"/>
    <s v="Funding requirements"/>
    <n v="10200000"/>
    <s v="Mozambique Flash Appeal"/>
    <s v="Humanitarian Response Plan (HRP)"/>
    <m/>
    <x v="3"/>
  </r>
  <r>
    <x v="6"/>
    <s v="Mauritania"/>
    <s v="Mauritania"/>
    <s v="MRT"/>
    <s v="Funding received"/>
    <n v="57341522"/>
    <s v="Mauritania"/>
    <s v="Consolidated Appeal Process (CAP)"/>
    <m/>
    <x v="3"/>
  </r>
  <r>
    <x v="6"/>
    <s v="Mauritania"/>
    <s v="Mauritania"/>
    <s v="MRT"/>
    <s v="Funding requirements"/>
    <n v="92362781"/>
    <s v="Mauritania"/>
    <s v="Consolidated Appeal Process (CAP)"/>
    <m/>
    <x v="3"/>
  </r>
  <r>
    <x v="6"/>
    <s v="Mauritania"/>
    <s v="Mauritania"/>
    <s v="MRT"/>
    <s v="People targeted"/>
    <n v="848472"/>
    <s v="Mauritania"/>
    <s v="Consolidated Appeal Process (CAP)"/>
    <m/>
    <x v="0"/>
  </r>
  <r>
    <x v="6"/>
    <s v="Mauritania"/>
    <s v="Mauritania"/>
    <s v="MRT"/>
    <s v="Funding received"/>
    <n v="88512172"/>
    <s v="Mauritania"/>
    <s v="Consolidated Appeal Process (CAP)"/>
    <m/>
    <x v="3"/>
  </r>
  <r>
    <x v="6"/>
    <s v="Mauritania"/>
    <s v="Mauritania"/>
    <s v="MRT"/>
    <s v="Funding requirements"/>
    <n v="106793308"/>
    <s v="Mauritania"/>
    <s v="Consolidated Appeal Process (CAP)"/>
    <m/>
    <x v="3"/>
  </r>
  <r>
    <x v="6"/>
    <s v="Mauritania"/>
    <s v="Mauritania"/>
    <s v="MRT"/>
    <s v="People targeted"/>
    <n v="400000"/>
    <s v="Mauritania"/>
    <s v="Consolidated Appeal Process (CAP)"/>
    <m/>
    <x v="0"/>
  </r>
  <r>
    <x v="6"/>
    <s v="Mauritania"/>
    <s v="Mauritania"/>
    <s v="MRT"/>
    <s v="Funding received"/>
    <n v="37700000"/>
    <s v="Mauritania"/>
    <m/>
    <m/>
    <x v="3"/>
  </r>
  <r>
    <x v="6"/>
    <s v="Mauritania"/>
    <s v="Mauritania"/>
    <s v="MRT"/>
    <s v="Funding requirements"/>
    <n v="90900000"/>
    <s v="Mauritania"/>
    <m/>
    <m/>
    <x v="3"/>
  </r>
  <r>
    <x v="7"/>
    <s v="Mauritania"/>
    <s v="Mauritania"/>
    <s v="MRT"/>
    <s v="People in need"/>
    <n v="390000"/>
    <s v="Mauritania"/>
    <m/>
    <m/>
    <x v="0"/>
  </r>
  <r>
    <x v="7"/>
    <s v="Mauritania"/>
    <s v="Mauritania"/>
    <s v="MRT"/>
    <s v="Funding received"/>
    <n v="50800000"/>
    <s v="Mauritania"/>
    <m/>
    <m/>
    <x v="3"/>
  </r>
  <r>
    <x v="7"/>
    <s v="Mauritania"/>
    <s v="Mauritania"/>
    <s v="MRT"/>
    <s v="Funding requirements"/>
    <n v="94600000"/>
    <s v="Mauritania"/>
    <m/>
    <m/>
    <x v="3"/>
  </r>
  <r>
    <x v="7"/>
    <s v="Mauritania"/>
    <s v="Mauritania"/>
    <s v="MRT"/>
    <s v="People in need"/>
    <n v="465000"/>
    <s v="Mauritania"/>
    <m/>
    <m/>
    <x v="0"/>
  </r>
  <r>
    <x v="7"/>
    <s v="Mauritania"/>
    <s v="Mauritania"/>
    <s v="MRT"/>
    <s v="Funding received"/>
    <n v="21300000"/>
    <s v="Mauritania"/>
    <m/>
    <m/>
    <x v="3"/>
  </r>
  <r>
    <x v="7"/>
    <s v="Mauritania"/>
    <s v="Mauritania"/>
    <s v="MRT"/>
    <s v="Funding requirements"/>
    <n v="89200000"/>
    <s v="Mauritania"/>
    <m/>
    <m/>
    <x v="3"/>
  </r>
  <r>
    <x v="7"/>
    <s v="Mauritania"/>
    <s v="Mauritania"/>
    <s v="MRT"/>
    <s v="People in need"/>
    <n v="468000"/>
    <s v="Mauritania"/>
    <m/>
    <m/>
    <x v="0"/>
  </r>
  <r>
    <x v="7"/>
    <s v="Mauritania"/>
    <s v="Mauritania"/>
    <s v="MRT"/>
    <s v="Funding received"/>
    <n v="25200000"/>
    <s v="Mauritania"/>
    <s v="Humanitarian Response Plan (HRP)"/>
    <m/>
    <x v="3"/>
  </r>
  <r>
    <x v="7"/>
    <s v="Mauritania"/>
    <s v="Mauritania"/>
    <s v="MRT"/>
    <s v="Funding requirements"/>
    <n v="74500000"/>
    <s v="Mauritania"/>
    <s v="Humanitarian Response Plan (HRP)"/>
    <m/>
    <x v="3"/>
  </r>
  <r>
    <x v="7"/>
    <s v="Mauritania"/>
    <s v="Mauritania"/>
    <s v="MRT"/>
    <s v="People in need"/>
    <n v="539000"/>
    <s v="Mauritania"/>
    <s v="Humanitarian Response Plan (HRP)"/>
    <m/>
    <x v="0"/>
  </r>
  <r>
    <x v="7"/>
    <s v="Mauritania"/>
    <s v="Mauritania"/>
    <s v="MRT"/>
    <s v="Funding received"/>
    <n v="70600000"/>
    <s v="Mauritania"/>
    <s v="Other"/>
    <m/>
    <x v="3"/>
  </r>
  <r>
    <x v="7"/>
    <s v="Mauritania"/>
    <s v="Mauritania"/>
    <s v="MRT"/>
    <s v="Funding requirements"/>
    <n v="116000000"/>
    <s v="Mauritania"/>
    <s v="Other"/>
    <m/>
    <x v="3"/>
  </r>
  <r>
    <x v="7"/>
    <s v="Mauritania"/>
    <s v="Mauritania"/>
    <s v="MRT"/>
    <s v="People in need"/>
    <n v="830000"/>
    <s v="Mauritania"/>
    <s v="Other"/>
    <m/>
    <x v="0"/>
  </r>
  <r>
    <x v="7"/>
    <s v="Mali"/>
    <s v="Mali"/>
    <s v="MLI"/>
    <s v="Funding received"/>
    <n v="152898473"/>
    <s v="Mali"/>
    <s v="Consolidated Appeal Process (CAP)"/>
    <m/>
    <x v="3"/>
  </r>
  <r>
    <x v="7"/>
    <s v="Mali"/>
    <s v="Mali"/>
    <s v="MLI"/>
    <s v="Funding requirements"/>
    <n v="214562367"/>
    <s v="Mali"/>
    <s v="Consolidated Appeal Process (CAP)"/>
    <m/>
    <x v="3"/>
  </r>
  <r>
    <x v="7"/>
    <s v="Mali"/>
    <s v="Mali"/>
    <s v="MLI"/>
    <s v="People targeted"/>
    <n v="6903226"/>
    <s v="Mali"/>
    <s v="Consolidated Appeal Process (CAP)"/>
    <m/>
    <x v="0"/>
  </r>
  <r>
    <x v="7"/>
    <s v="Mali"/>
    <s v="Mali"/>
    <s v="MLI"/>
    <s v="Funding received"/>
    <n v="264726309"/>
    <s v="Mali"/>
    <s v="Consolidated Appeal Process (CAP)"/>
    <m/>
    <x v="3"/>
  </r>
  <r>
    <x v="7"/>
    <s v="Mali"/>
    <s v="Mali"/>
    <s v="MLI"/>
    <s v="Funding requirements"/>
    <n v="476926521"/>
    <s v="Mali"/>
    <s v="Consolidated Appeal Process (CAP)"/>
    <m/>
    <x v="3"/>
  </r>
  <r>
    <x v="7"/>
    <s v="Mali"/>
    <s v="Mali"/>
    <s v="MLI"/>
    <s v="People targeted"/>
    <n v="3900000"/>
    <s v="Mali"/>
    <s v="Consolidated Appeal Process (CAP)"/>
    <m/>
    <x v="0"/>
  </r>
  <r>
    <x v="7"/>
    <s v="Mali"/>
    <s v="Mali"/>
    <s v="MLI"/>
    <s v="Funding received"/>
    <n v="238700000"/>
    <s v="Mali"/>
    <m/>
    <m/>
    <x v="3"/>
  </r>
  <r>
    <x v="7"/>
    <s v="Mali"/>
    <s v="Mali"/>
    <s v="MLI"/>
    <s v="Funding requirements"/>
    <n v="481000000"/>
    <s v="Mali"/>
    <m/>
    <m/>
    <x v="3"/>
  </r>
  <r>
    <x v="7"/>
    <s v="Mali"/>
    <s v="Mali"/>
    <s v="MLI"/>
    <s v="People in need"/>
    <n v="1600000"/>
    <s v="Mali"/>
    <m/>
    <m/>
    <x v="0"/>
  </r>
  <r>
    <x v="7"/>
    <s v="Mali"/>
    <s v="Mali"/>
    <s v="MLI"/>
    <s v="Funding received"/>
    <n v="128900000"/>
    <s v="Mali"/>
    <m/>
    <m/>
    <x v="3"/>
  </r>
  <r>
    <x v="7"/>
    <s v="Mali"/>
    <s v="Mali"/>
    <s v="MLI"/>
    <s v="Funding requirements"/>
    <n v="377400000"/>
    <s v="Mali"/>
    <m/>
    <m/>
    <x v="3"/>
  </r>
  <r>
    <x v="7"/>
    <s v="Mali"/>
    <s v="Mali"/>
    <s v="MLI"/>
    <s v="People in need"/>
    <n v="1600000"/>
    <s v="Mali"/>
    <m/>
    <m/>
    <x v="0"/>
  </r>
  <r>
    <x v="7"/>
    <s v="Mali"/>
    <s v="Mali"/>
    <s v="MLI"/>
    <s v="Funding received"/>
    <n v="130800000.00000001"/>
    <s v="Mali"/>
    <m/>
    <m/>
    <x v="3"/>
  </r>
  <r>
    <x v="7"/>
    <s v="Mali"/>
    <s v="Mali"/>
    <s v="MLI"/>
    <s v="Funding requirements"/>
    <n v="354100000"/>
    <s v="Mali"/>
    <m/>
    <m/>
    <x v="3"/>
  </r>
  <r>
    <x v="7"/>
    <s v="Mali"/>
    <s v="Mali"/>
    <s v="MLI"/>
    <s v="People in need"/>
    <n v="2300000"/>
    <s v="Mali"/>
    <m/>
    <m/>
    <x v="0"/>
  </r>
  <r>
    <x v="7"/>
    <s v="Mali"/>
    <s v="Mali"/>
    <s v="MLI"/>
    <s v="Funding received"/>
    <n v="129300000.00000001"/>
    <s v="Mali"/>
    <s v="Humanitarian Response Plan (HRP)"/>
    <m/>
    <x v="3"/>
  </r>
  <r>
    <x v="7"/>
    <s v="Mali"/>
    <s v="Mali"/>
    <s v="MLI"/>
    <s v="Funding requirements"/>
    <n v="304700000"/>
    <s v="Mali"/>
    <s v="Humanitarian Response Plan (HRP)"/>
    <m/>
    <x v="3"/>
  </r>
  <r>
    <x v="7"/>
    <s v="Mali"/>
    <s v="Mali"/>
    <s v="MLI"/>
    <s v="People in need"/>
    <n v="3700000"/>
    <s v="Mali"/>
    <s v="Humanitarian Response Plan (HRP)"/>
    <m/>
    <x v="0"/>
  </r>
  <r>
    <x v="7"/>
    <s v="Mali"/>
    <s v="Mali"/>
    <s v="MLI"/>
    <s v="Funding received"/>
    <n v="172500000"/>
    <s v="Mali"/>
    <s v="Humanitarian Response Plan (HRP)"/>
    <m/>
    <x v="3"/>
  </r>
  <r>
    <x v="7"/>
    <s v="Mali"/>
    <s v="Mali"/>
    <s v="MLI"/>
    <s v="Funding requirements"/>
    <n v="329600000"/>
    <s v="Mali"/>
    <s v="Humanitarian Response Plan (HRP)"/>
    <m/>
    <x v="3"/>
  </r>
  <r>
    <x v="7"/>
    <s v="Mali"/>
    <s v="Mali"/>
    <s v="MLI"/>
    <s v="People in need"/>
    <n v="5200000"/>
    <s v="Mali"/>
    <s v="Humanitarian Response Plan (HRP)"/>
    <m/>
    <x v="0"/>
  </r>
  <r>
    <x v="7"/>
    <s v="Djibouti Flash Appeal"/>
    <s v="Djibouti"/>
    <s v="DJI"/>
    <s v="People in need"/>
    <n v="150000"/>
    <s v="Djibouti Flash Appeal"/>
    <s v="Humanitarian Flash Appeal"/>
    <m/>
    <x v="0"/>
  </r>
  <r>
    <x v="7"/>
    <s v="Mali"/>
    <s v="Mali"/>
    <s v="MLI"/>
    <s v="Funding requirements"/>
    <n v="324000000"/>
    <s v="Mali"/>
    <s v="Humanitarian Response Plan (HRP)"/>
    <m/>
    <x v="3"/>
  </r>
  <r>
    <x v="7"/>
    <s v="Ecuador (Intersectoral)"/>
    <s v="Ecuador"/>
    <s v="ECU"/>
    <s v="People in need"/>
    <n v="9000000"/>
    <s v="Ecuador (Intersectoral)"/>
    <s v="COVID-19 (Intersectoral)"/>
    <s v="yes"/>
    <x v="0"/>
  </r>
  <r>
    <x v="7"/>
    <s v="Ethiopia"/>
    <s v="Ethiopia"/>
    <s v="ETH"/>
    <s v="Funding received"/>
    <n v="646600000"/>
    <s v="Ethiopia"/>
    <s v="Humanitarian Response Plan (HRP)"/>
    <m/>
    <x v="3"/>
  </r>
  <r>
    <x v="7"/>
    <s v="Ethiopia"/>
    <s v="Ethiopia"/>
    <s v="ETH"/>
    <s v="People in need"/>
    <n v="8900000"/>
    <s v="Ethiopia"/>
    <s v="Humanitarian Response Plan (HRP)"/>
    <m/>
    <x v="0"/>
  </r>
  <r>
    <x v="7"/>
    <s v="Myanmar"/>
    <s v="Myanmar"/>
    <s v="MMR"/>
    <s v="Funding received"/>
    <n v="129000000"/>
    <s v="Myanmar"/>
    <m/>
    <m/>
    <x v="3"/>
  </r>
  <r>
    <x v="7"/>
    <s v="Myanmar"/>
    <s v="Myanmar"/>
    <s v="MMR"/>
    <s v="Funding requirements"/>
    <n v="192000000"/>
    <s v="Myanmar"/>
    <m/>
    <m/>
    <x v="3"/>
  </r>
  <r>
    <x v="7"/>
    <s v="Myanmar"/>
    <s v="Myanmar"/>
    <s v="MMR"/>
    <s v="People in need"/>
    <n v="909000"/>
    <s v="Myanmar"/>
    <m/>
    <m/>
    <x v="0"/>
  </r>
  <r>
    <x v="7"/>
    <s v="Myanmar"/>
    <s v="Myanmar"/>
    <s v="MMR"/>
    <s v="Funding received"/>
    <n v="124800000"/>
    <s v="Myanmar"/>
    <m/>
    <m/>
    <x v="3"/>
  </r>
  <r>
    <x v="7"/>
    <s v="Myanmar"/>
    <s v="Myanmar"/>
    <s v="MMR"/>
    <s v="Funding requirements"/>
    <n v="265000000"/>
    <s v="Myanmar"/>
    <m/>
    <m/>
    <x v="3"/>
  </r>
  <r>
    <x v="7"/>
    <s v="Myanmar"/>
    <s v="Myanmar"/>
    <s v="MMR"/>
    <s v="People in need"/>
    <n v="540700"/>
    <s v="Myanmar"/>
    <m/>
    <m/>
    <x v="0"/>
  </r>
  <r>
    <x v="7"/>
    <s v="Myanmar"/>
    <s v="Myanmar"/>
    <s v="MMR"/>
    <s v="Funding received"/>
    <n v="98200000"/>
    <s v="Myanmar"/>
    <m/>
    <m/>
    <x v="3"/>
  </r>
  <r>
    <x v="7"/>
    <s v="Myanmar"/>
    <s v="Myanmar"/>
    <s v="MMR"/>
    <s v="Funding requirements"/>
    <n v="189500000"/>
    <s v="Myanmar"/>
    <m/>
    <m/>
    <x v="3"/>
  </r>
  <r>
    <x v="7"/>
    <s v="Myanmar"/>
    <s v="Myanmar"/>
    <s v="MMR"/>
    <s v="People in need"/>
    <n v="563000"/>
    <s v="Myanmar"/>
    <m/>
    <m/>
    <x v="0"/>
  </r>
  <r>
    <x v="7"/>
    <s v="Myanmar"/>
    <s v="Myanmar"/>
    <s v="MMR"/>
    <s v="Funding received"/>
    <n v="97700000"/>
    <s v="Myanmar"/>
    <s v="Humanitarian Response Plan (HRP)"/>
    <m/>
    <x v="3"/>
  </r>
  <r>
    <x v="7"/>
    <s v="Myanmar"/>
    <s v="Myanmar"/>
    <s v="MMR"/>
    <s v="Funding requirements"/>
    <n v="150300000"/>
    <s v="Myanmar"/>
    <s v="Humanitarian Response Plan (HRP)"/>
    <m/>
    <x v="3"/>
  </r>
  <r>
    <x v="7"/>
    <s v="Myanmar"/>
    <s v="Myanmar"/>
    <s v="MMR"/>
    <s v="People in need"/>
    <n v="525000"/>
    <s v="Myanmar"/>
    <s v="Humanitarian Response Plan (HRP)"/>
    <m/>
    <x v="0"/>
  </r>
  <r>
    <x v="7"/>
    <s v="Myanmar"/>
    <s v="Myanmar"/>
    <s v="MMR"/>
    <s v="Funding received"/>
    <n v="124900000"/>
    <s v="Myanmar"/>
    <s v="Humanitarian Response Plan (HRP)"/>
    <m/>
    <x v="3"/>
  </r>
  <r>
    <x v="7"/>
    <s v="Myanmar"/>
    <s v="Myanmar"/>
    <s v="MMR"/>
    <s v="Funding requirements"/>
    <n v="183400000"/>
    <s v="Myanmar"/>
    <s v="Humanitarian Response Plan (HRP)"/>
    <m/>
    <x v="3"/>
  </r>
  <r>
    <x v="7"/>
    <s v="Myanmar"/>
    <s v="Myanmar"/>
    <s v="MMR"/>
    <s v="People in need"/>
    <n v="863000"/>
    <s v="Myanmar"/>
    <s v="Humanitarian Response Plan (HRP)"/>
    <m/>
    <x v="0"/>
  </r>
  <r>
    <x v="7"/>
    <s v="Ethiopia"/>
    <s v="Ethiopia"/>
    <s v="ETH"/>
    <s v="People in need"/>
    <n v="19200000"/>
    <s v="Ethiopia"/>
    <s v="Humanitarian Response Plan (HRP)"/>
    <m/>
    <x v="0"/>
  </r>
  <r>
    <x v="7"/>
    <s v="Myanmar"/>
    <s v="Myanmar"/>
    <s v="MMR"/>
    <s v="Funding requirements"/>
    <n v="214400000"/>
    <s v="Myanmar"/>
    <s v="Humanitarian Response Plan (HRP)"/>
    <m/>
    <x v="3"/>
  </r>
  <r>
    <x v="7"/>
    <s v="Afghanistan"/>
    <s v="Afghanistan"/>
    <s v="AFG"/>
    <s v="People in need"/>
    <n v="18400000"/>
    <s v="Afghanistan"/>
    <s v="Humanitarian Response Plan (HRP)"/>
    <s v="yes"/>
    <x v="0"/>
  </r>
  <r>
    <x v="7"/>
    <s v="Myanmar"/>
    <s v="Myanmar"/>
    <s v="MMR"/>
    <s v="Funding received"/>
    <n v="26977971"/>
    <s v="Myanmar - Kachin Response Plan"/>
    <s v="Other"/>
    <m/>
    <x v="3"/>
  </r>
  <r>
    <x v="7"/>
    <s v="Myanmar"/>
    <s v="Myanmar"/>
    <s v="MMR"/>
    <s v="Funding requirements"/>
    <n v="51297000"/>
    <s v="Myanmar - Kachin Response Plan"/>
    <s v="Other"/>
    <m/>
    <x v="3"/>
  </r>
  <r>
    <x v="7"/>
    <s v="Myanmar"/>
    <s v="Myanmar"/>
    <s v="MMR"/>
    <s v="Funding received"/>
    <n v="89055457"/>
    <s v="Myanmar - Rakhine Response Plan"/>
    <s v="Other"/>
    <m/>
    <x v="3"/>
  </r>
  <r>
    <x v="7"/>
    <s v="Myanmar"/>
    <s v="Myanmar"/>
    <s v="MMR"/>
    <s v="Funding requirements"/>
    <n v="109309173"/>
    <s v="Myanmar - Rakhine Response Plan"/>
    <s v="Other"/>
    <m/>
    <x v="3"/>
  </r>
  <r>
    <x v="7"/>
    <s v="Namibia Flash Appeal"/>
    <s v="Namibia"/>
    <s v="NAM"/>
    <s v="Funding received"/>
    <n v="1682185"/>
    <s v="Namibia Flash Appeal"/>
    <s v="Flash appeal"/>
    <m/>
    <x v="3"/>
  </r>
  <r>
    <x v="7"/>
    <s v="Namibia Flash Appeal"/>
    <s v="Namibia"/>
    <s v="NAM"/>
    <s v="Funding requirements"/>
    <n v="3798201"/>
    <s v="Namibia Flash Appeal"/>
    <s v="Flash appeal"/>
    <m/>
    <x v="3"/>
  </r>
  <r>
    <x v="7"/>
    <s v="Colombia"/>
    <s v="Colombia"/>
    <s v="COL"/>
    <s v="Funding requirements"/>
    <n v="300000000"/>
    <s v="Colombia"/>
    <s v="Humanitarian response plan"/>
    <m/>
    <x v="2"/>
  </r>
  <r>
    <x v="7"/>
    <s v="Niger"/>
    <s v="Niger"/>
    <s v="NER"/>
    <s v="People targeted"/>
    <n v="1627000"/>
    <s v="Niger"/>
    <s v="Consolidated Appeal Process (CAP)"/>
    <m/>
    <x v="0"/>
  </r>
  <r>
    <x v="7"/>
    <s v="Niger"/>
    <s v="Niger"/>
    <s v="NER"/>
    <s v="Funding received"/>
    <n v="312729054"/>
    <s v="Niger"/>
    <s v="Consolidated Appeal Process (CAP)"/>
    <m/>
    <x v="3"/>
  </r>
  <r>
    <x v="7"/>
    <s v="Niger"/>
    <s v="Niger"/>
    <s v="NER"/>
    <s v="Funding requirements"/>
    <n v="489640803"/>
    <s v="Niger"/>
    <s v="Consolidated Appeal Process (CAP)"/>
    <m/>
    <x v="3"/>
  </r>
  <r>
    <x v="7"/>
    <s v="Niger"/>
    <s v="Niger"/>
    <s v="NER"/>
    <s v="People targeted"/>
    <n v="6400000"/>
    <s v="Niger"/>
    <s v="Consolidated Appeal Process (CAP)"/>
    <m/>
    <x v="0"/>
  </r>
  <r>
    <x v="7"/>
    <s v="Niger"/>
    <s v="Niger"/>
    <s v="NER"/>
    <s v="Funding received"/>
    <n v="288128878"/>
    <s v="Niger"/>
    <s v="Consolidated Appeal Process (CAP)"/>
    <m/>
    <x v="3"/>
  </r>
  <r>
    <x v="7"/>
    <s v="Nepal"/>
    <s v="Nepal"/>
    <s v="NPL"/>
    <s v="People in need"/>
    <n v="2800000"/>
    <s v="Nepal"/>
    <m/>
    <m/>
    <x v="0"/>
  </r>
  <r>
    <x v="7"/>
    <s v="Nepal Earthquake Flash Appeal"/>
    <s v="Nepal"/>
    <s v="NPL"/>
    <s v="Funding received"/>
    <n v="272400000"/>
    <s v="Nepal"/>
    <m/>
    <m/>
    <x v="3"/>
  </r>
  <r>
    <x v="7"/>
    <s v="Nepal Earthquake Flash Appeal"/>
    <s v="Nepal"/>
    <s v="NPL"/>
    <s v="Funding requirements"/>
    <n v="421900000"/>
    <s v="Nepal"/>
    <m/>
    <m/>
    <x v="3"/>
  </r>
  <r>
    <x v="7"/>
    <s v="Nepal Humanitarian Transition Appeal"/>
    <s v="Nepal"/>
    <s v="NPL"/>
    <s v="Funding received"/>
    <n v="70319785"/>
    <s v="Nepal Humanitarian Transition Appeal"/>
    <s v="Other"/>
    <m/>
    <x v="3"/>
  </r>
  <r>
    <x v="7"/>
    <s v="Nepal Humanitarian Transition Appeal"/>
    <s v="Nepal"/>
    <s v="NPL"/>
    <s v="Funding requirements"/>
    <n v="125049126"/>
    <s v="Nepal Humanitarian Transition Appeal"/>
    <s v="Other"/>
    <m/>
    <x v="3"/>
  </r>
  <r>
    <x v="7"/>
    <s v="Niger"/>
    <s v="Niger"/>
    <s v="NER"/>
    <s v="Funding requirements"/>
    <n v="355277959"/>
    <s v="Niger"/>
    <s v="Consolidated Appeal Process (CAP)"/>
    <m/>
    <x v="3"/>
  </r>
  <r>
    <x v="7"/>
    <s v="Niger"/>
    <s v="Niger"/>
    <s v="NER"/>
    <s v="People targeted"/>
    <n v="1800000"/>
    <s v="Niger"/>
    <s v="Consolidated Appeal Process (CAP)"/>
    <m/>
    <x v="0"/>
  </r>
  <r>
    <x v="7"/>
    <s v="Niger"/>
    <s v="Niger"/>
    <s v="NER"/>
    <s v="Funding received"/>
    <n v="173000000"/>
    <s v="Niger"/>
    <m/>
    <m/>
    <x v="3"/>
  </r>
  <r>
    <x v="7"/>
    <s v="Niger"/>
    <s v="Niger"/>
    <s v="NER"/>
    <s v="Funding requirements"/>
    <n v="305200000"/>
    <s v="Niger"/>
    <m/>
    <m/>
    <x v="3"/>
  </r>
  <r>
    <x v="7"/>
    <s v="Niger"/>
    <s v="Niger"/>
    <s v="NER"/>
    <s v="People in need"/>
    <n v="5300000"/>
    <s v="Niger"/>
    <m/>
    <m/>
    <x v="0"/>
  </r>
  <r>
    <x v="7"/>
    <s v="Niger"/>
    <s v="Niger"/>
    <s v="NER"/>
    <s v="Funding received"/>
    <n v="166000000"/>
    <s v="Niger"/>
    <m/>
    <m/>
    <x v="3"/>
  </r>
  <r>
    <x v="7"/>
    <s v="Niger"/>
    <s v="Niger"/>
    <s v="NER"/>
    <s v="Funding requirements"/>
    <n v="375700000"/>
    <s v="Niger"/>
    <m/>
    <m/>
    <x v="3"/>
  </r>
  <r>
    <x v="7"/>
    <s v="Niger"/>
    <s v="Niger"/>
    <s v="NER"/>
    <s v="People in need"/>
    <n v="3400000"/>
    <s v="Niger"/>
    <m/>
    <m/>
    <x v="0"/>
  </r>
  <r>
    <x v="7"/>
    <s v="Niger"/>
    <s v="Niger"/>
    <s v="NER"/>
    <s v="Funding received"/>
    <n v="127300000"/>
    <s v="Niger"/>
    <m/>
    <m/>
    <x v="3"/>
  </r>
  <r>
    <x v="7"/>
    <s v="Niger"/>
    <s v="Niger"/>
    <s v="NER"/>
    <s v="Funding requirements"/>
    <n v="260500000"/>
    <s v="Niger"/>
    <m/>
    <m/>
    <x v="3"/>
  </r>
  <r>
    <x v="7"/>
    <s v="Niger"/>
    <s v="Niger"/>
    <s v="NER"/>
    <s v="People in need"/>
    <n v="2000000"/>
    <s v="Niger"/>
    <m/>
    <m/>
    <x v="0"/>
  </r>
  <r>
    <x v="7"/>
    <s v="Niger"/>
    <s v="Niger"/>
    <s v="NER"/>
    <s v="Funding received"/>
    <n v="213000000"/>
    <s v="Niger"/>
    <s v="Humanitarian Response Plan (HRP)"/>
    <m/>
    <x v="3"/>
  </r>
  <r>
    <x v="7"/>
    <s v="Niger"/>
    <s v="Niger"/>
    <s v="NER"/>
    <s v="Funding requirements"/>
    <n v="287300000"/>
    <s v="Niger"/>
    <s v="Humanitarian Response Plan (HRP)"/>
    <m/>
    <x v="3"/>
  </r>
  <r>
    <x v="7"/>
    <s v="Peru Flash Appeal"/>
    <s v="Peru"/>
    <s v="PER"/>
    <s v="Funding received"/>
    <n v="11100000"/>
    <s v="Peru Flash Appeal"/>
    <s v="Humanitarian Response Plan (HRP)"/>
    <m/>
    <x v="3"/>
  </r>
  <r>
    <x v="7"/>
    <s v="Peru Flash Appeal"/>
    <s v="Peru"/>
    <s v="PER"/>
    <s v="Funding requirements"/>
    <n v="39500000"/>
    <s v="Peru Flash Appeal"/>
    <s v="Humanitarian Response Plan (HRP)"/>
    <m/>
    <x v="3"/>
  </r>
  <r>
    <x v="7"/>
    <s v="Niger"/>
    <s v="Niger"/>
    <s v="NER"/>
    <s v="People in need"/>
    <n v="1900000"/>
    <s v="Niger"/>
    <s v="Humanitarian Response Plan (HRP)"/>
    <m/>
    <x v="0"/>
  </r>
  <r>
    <x v="7"/>
    <s v="El Salvador Flash Appeal"/>
    <s v="El Salvador"/>
    <s v="SLW"/>
    <s v="Funding received"/>
    <n v="5981608"/>
    <s v="El Salvador Flash Appeal"/>
    <s v="Flash appeal"/>
    <m/>
    <x v="3"/>
  </r>
  <r>
    <x v="7"/>
    <s v="Niger"/>
    <s v="Niger"/>
    <s v="NER"/>
    <s v="Funding received"/>
    <n v="159400000"/>
    <s v="Niger"/>
    <s v="Humanitarian Response Plan (HRP)"/>
    <m/>
    <x v="3"/>
  </r>
  <r>
    <x v="7"/>
    <s v="Niger"/>
    <s v="Niger"/>
    <s v="NER"/>
    <s v="Funding requirements"/>
    <n v="338300000"/>
    <s v="Niger"/>
    <s v="Humanitarian Response Plan (HRP)"/>
    <m/>
    <x v="3"/>
  </r>
  <r>
    <x v="7"/>
    <s v="Niger"/>
    <s v="Niger"/>
    <s v="NER"/>
    <s v="People in need"/>
    <n v="2300000"/>
    <s v="Niger"/>
    <s v="Humanitarian Response Plan (HRP)"/>
    <m/>
    <x v="0"/>
  </r>
  <r>
    <x v="7"/>
    <s v="Haiti"/>
    <s v="Haiti"/>
    <s v="HTI"/>
    <s v="Funding received"/>
    <n v="36100000"/>
    <s v="Haiti"/>
    <s v="Humanitarian Response Plan (HRP)"/>
    <m/>
    <x v="3"/>
  </r>
  <r>
    <x v="7"/>
    <s v="Niger"/>
    <s v="Niger"/>
    <s v="NER"/>
    <s v="Funding requirements"/>
    <n v="383100000"/>
    <s v="Niger"/>
    <s v="Humanitarian Response Plan (HRP)"/>
    <m/>
    <x v="3"/>
  </r>
  <r>
    <x v="7"/>
    <s v="Haiti"/>
    <s v="Haiti"/>
    <s v="HTI"/>
    <s v="People in need"/>
    <n v="2600000"/>
    <s v="Haiti"/>
    <s v="Humanitarian Response Plan (HRP)"/>
    <m/>
    <x v="0"/>
  </r>
  <r>
    <x v="7"/>
    <s v="Democratic People's Republic of Korea"/>
    <s v="Democratic People's Republic of Korea"/>
    <s v="PRK"/>
    <s v="Funding requirements"/>
    <n v="107000000"/>
    <s v="Democratic People's Republic of Korea"/>
    <s v="Other"/>
    <m/>
    <x v="3"/>
  </r>
  <r>
    <x v="7"/>
    <s v="Niger"/>
    <s v="Niger"/>
    <s v="NER"/>
    <s v="Funding received"/>
    <n v="116113607"/>
    <s v="Niger"/>
    <s v="Consolidated Appeal Process (CAP)"/>
    <m/>
    <x v="3"/>
  </r>
  <r>
    <x v="7"/>
    <s v="Niger"/>
    <s v="Niger"/>
    <s v="NER"/>
    <s v="Funding requirements"/>
    <n v="215926795"/>
    <s v="Niger"/>
    <s v="Consolidated Appeal Process (CAP)"/>
    <m/>
    <x v="3"/>
  </r>
  <r>
    <x v="7"/>
    <s v="Haiti"/>
    <s v="Haiti"/>
    <s v="HTI"/>
    <s v="People in need"/>
    <n v="10900000"/>
    <s v="Haiti"/>
    <s v="Humanitarian Response Plan (HRP)"/>
    <m/>
    <x v="0"/>
  </r>
  <r>
    <x v="7"/>
    <s v="Nigeria"/>
    <s v="Nigeria"/>
    <s v="NGA"/>
    <s v="Funding received"/>
    <n v="17800000"/>
    <s v="Nigeria"/>
    <m/>
    <m/>
    <x v="3"/>
  </r>
  <r>
    <x v="7"/>
    <s v="Nigeria"/>
    <s v="Nigeria"/>
    <s v="NGA"/>
    <s v="Funding requirements"/>
    <n v="93400000"/>
    <s v="Nigeria"/>
    <m/>
    <m/>
    <x v="3"/>
  </r>
  <r>
    <x v="7"/>
    <s v="Nigeria"/>
    <s v="Nigeria"/>
    <s v="NGA"/>
    <s v="People in need"/>
    <n v="9500000"/>
    <s v="Nigeria"/>
    <m/>
    <m/>
    <x v="0"/>
  </r>
  <r>
    <x v="7"/>
    <s v="Nigeria"/>
    <s v="Nigeria"/>
    <s v="NGA"/>
    <s v="Funding received"/>
    <n v="53700000"/>
    <s v="Nigeria"/>
    <m/>
    <m/>
    <x v="3"/>
  </r>
  <r>
    <x v="7"/>
    <s v="Nigeria"/>
    <s v="Nigeria"/>
    <s v="NGA"/>
    <s v="Funding requirements"/>
    <n v="100300000"/>
    <s v="Nigeria"/>
    <m/>
    <m/>
    <x v="3"/>
  </r>
  <r>
    <x v="7"/>
    <s v="Nigeria"/>
    <s v="Nigeria"/>
    <s v="NGA"/>
    <s v="People in need"/>
    <n v="4600000"/>
    <s v="Nigeria"/>
    <m/>
    <m/>
    <x v="0"/>
  </r>
  <r>
    <x v="7"/>
    <s v="Nigeria"/>
    <s v="Nigeria"/>
    <s v="NGA"/>
    <s v="Funding received"/>
    <n v="200200000"/>
    <s v="Nigeria"/>
    <m/>
    <m/>
    <x v="3"/>
  </r>
  <r>
    <x v="7"/>
    <s v="Nigeria"/>
    <s v="Nigeria"/>
    <s v="NGA"/>
    <s v="Funding requirements"/>
    <n v="484200000"/>
    <s v="Nigeria"/>
    <m/>
    <m/>
    <x v="3"/>
  </r>
  <r>
    <x v="7"/>
    <s v="Nigeria"/>
    <s v="Nigeria"/>
    <s v="NGA"/>
    <s v="People in need"/>
    <n v="7000000"/>
    <s v="Nigeria"/>
    <m/>
    <m/>
    <x v="0"/>
  </r>
  <r>
    <x v="7"/>
    <s v="Nigeria"/>
    <s v="Nigeria"/>
    <s v="NGA"/>
    <s v="Funding received"/>
    <n v="731000000"/>
    <s v="Nigeria"/>
    <s v="Humanitarian Response Plan (HRP)"/>
    <m/>
    <x v="3"/>
  </r>
  <r>
    <x v="7"/>
    <s v="Nigeria"/>
    <s v="Nigeria"/>
    <s v="NGA"/>
    <s v="Funding requirements"/>
    <n v="1050000000"/>
    <s v="Nigeria"/>
    <s v="Humanitarian Response Plan (HRP)"/>
    <m/>
    <x v="3"/>
  </r>
  <r>
    <x v="7"/>
    <s v="Nigeria"/>
    <s v="Nigeria"/>
    <s v="NGA"/>
    <s v="People in need"/>
    <n v="14000000"/>
    <s v="Nigeria"/>
    <s v="Humanitarian Response Plan (HRP)"/>
    <m/>
    <x v="0"/>
  </r>
  <r>
    <x v="8"/>
    <s v="Nigeria"/>
    <s v="Nigeria"/>
    <s v="NGA"/>
    <s v="Funding received"/>
    <n v="677900000"/>
    <s v="Nigeria"/>
    <s v="Humanitarian Response Plan (HRP)"/>
    <m/>
    <x v="3"/>
  </r>
  <r>
    <x v="8"/>
    <s v="Nigeria"/>
    <s v="Nigeria"/>
    <s v="NGA"/>
    <s v="Funding requirements"/>
    <n v="1050000000"/>
    <s v="Nigeria"/>
    <s v="Humanitarian Response Plan (HRP)"/>
    <m/>
    <x v="3"/>
  </r>
  <r>
    <x v="8"/>
    <s v="Nigeria"/>
    <s v="Nigeria"/>
    <s v="NGA"/>
    <s v="People in need"/>
    <n v="7700000"/>
    <s v="Nigeria"/>
    <s v="Humanitarian Response Plan (HRP)"/>
    <m/>
    <x v="0"/>
  </r>
  <r>
    <x v="8"/>
    <s v="Nigeria"/>
    <s v="Nigeria"/>
    <s v="NGA"/>
    <s v="Funding requirements"/>
    <n v="847700000"/>
    <s v="Nigeria"/>
    <s v="Humanitarian Response Plan (HRP)"/>
    <m/>
    <x v="3"/>
  </r>
  <r>
    <x v="8"/>
    <s v="Democratic Republic of Congo"/>
    <s v="Democratic Republic of Congo"/>
    <s v="COD"/>
    <s v="Funding requirements"/>
    <n v="0"/>
    <s v="Democratic Republic of Congo"/>
    <s v="Humanitarian response plan"/>
    <m/>
    <x v="2"/>
  </r>
  <r>
    <x v="8"/>
    <s v="Iran"/>
    <s v="Iran"/>
    <s v="IRN"/>
    <s v="Funding received"/>
    <n v="9600000"/>
    <s v="Iran"/>
    <s v="Other"/>
    <m/>
    <x v="3"/>
  </r>
  <r>
    <x v="8"/>
    <s v="Democratic Republic of Congo (RRP)"/>
    <s v="Democratic Republic of Congo"/>
    <s v="COD"/>
    <s v="Funding requirements"/>
    <n v="544601391"/>
    <s v="Democratic Republic of Congo"/>
    <s v="Regional Response Plan"/>
    <m/>
    <x v="2"/>
  </r>
  <r>
    <x v="8"/>
    <s v="Nigeria Regional Refugee Response Plan"/>
    <s v="Nigeria"/>
    <s v="NGA"/>
    <s v="Funding received"/>
    <n v="65300000"/>
    <s v="Nigeria Regional Refugee Response Plan"/>
    <m/>
    <m/>
    <x v="3"/>
  </r>
  <r>
    <x v="8"/>
    <s v="Nigeria Regional Refugee Response Plan"/>
    <s v="Nigeria"/>
    <s v="NGA"/>
    <s v="Funding requirements"/>
    <n v="198800000"/>
    <s v="Nigeria Regional Refugee Response Plan"/>
    <m/>
    <m/>
    <x v="3"/>
  </r>
  <r>
    <x v="8"/>
    <s v="Nigeria Regional Refugee Response Plan"/>
    <s v="Nigeria"/>
    <s v="NGA"/>
    <s v="People in need"/>
    <n v="850473"/>
    <s v="Nigeria Regional Refugee Response Plan"/>
    <m/>
    <m/>
    <x v="0"/>
  </r>
  <r>
    <x v="8"/>
    <s v="Nigeria Regional Refugee Response Plan"/>
    <s v="Nigeria"/>
    <s v="NGA"/>
    <s v="Funding received"/>
    <n v="65200000"/>
    <s v="Nigeria Regional Refugee Response Plan"/>
    <s v="Refugee Response Plan"/>
    <m/>
    <x v="3"/>
  </r>
  <r>
    <x v="8"/>
    <s v="Nigeria Regional Refugee Response Plan"/>
    <s v="Nigeria"/>
    <s v="NGA"/>
    <s v="Funding requirements"/>
    <n v="156600000"/>
    <s v="Nigeria Regional Refugee Response Plan"/>
    <s v="Refugee Response Plan"/>
    <m/>
    <x v="3"/>
  </r>
  <r>
    <x v="8"/>
    <s v="Nigeria Regional Refugee Response Plan"/>
    <s v="Nigeria"/>
    <s v="NGA"/>
    <s v="People in need"/>
    <n v="443000"/>
    <s v="Nigeria Regional Refugee Response Plan"/>
    <s v="Refugee Response Plan"/>
    <m/>
    <x v="0"/>
  </r>
  <r>
    <x v="8"/>
    <s v="Nigeria Refugee Response Plan"/>
    <s v="Nigeria"/>
    <s v="NGA"/>
    <s v="Funding received"/>
    <n v="81300000"/>
    <s v="Nigeria Refugee Response Pan"/>
    <m/>
    <m/>
    <x v="3"/>
  </r>
  <r>
    <x v="8"/>
    <s v="Nigeria Refugee Response Plan"/>
    <s v="Nigeria"/>
    <s v="NGA"/>
    <s v="Funding requirements"/>
    <n v="174400000"/>
    <s v="Nigeria Refugee Response Pan"/>
    <m/>
    <m/>
    <x v="3"/>
  </r>
  <r>
    <x v="8"/>
    <s v="Nigeria Refugee Response Plan"/>
    <s v="Nigeria"/>
    <s v="NGA"/>
    <s v="Funding received"/>
    <n v="130400000"/>
    <s v="Nigeria Regional"/>
    <s v="Refugee Response Plan"/>
    <m/>
    <x v="3"/>
  </r>
  <r>
    <x v="8"/>
    <s v="Nigeria Refugee Response Plan"/>
    <s v="Nigeria"/>
    <s v="NGA"/>
    <s v="Funding requirements"/>
    <n v="241200000"/>
    <s v="Nigeria Regional"/>
    <s v="Refugee Response Plan"/>
    <m/>
    <x v="3"/>
  </r>
  <r>
    <x v="8"/>
    <s v="occupied Palestinian territory"/>
    <s v="occupied Palestinian territory"/>
    <s v="PSE"/>
    <s v="Funding requirements"/>
    <n v="603408539"/>
    <s v="occupied Palestinian territory"/>
    <s v="Consolidated Appeal Process (CAP)"/>
    <m/>
    <x v="3"/>
  </r>
  <r>
    <x v="8"/>
    <s v="occupied Palestinian territory"/>
    <s v="occupied Palestinian territory"/>
    <s v="PSE"/>
    <s v="Funding received"/>
    <n v="329737701"/>
    <s v="occupied Palestinian territory"/>
    <s v="Consolidated Appeal Process (CAP)"/>
    <m/>
    <x v="3"/>
  </r>
  <r>
    <x v="8"/>
    <s v="occupied Palestinian territory"/>
    <s v="occupied Palestinian territory"/>
    <s v="PSE"/>
    <s v="People targeted"/>
    <n v="2514398"/>
    <s v="occupied Palestinian territory"/>
    <s v="Consolidated Appeal Process (CAP)"/>
    <m/>
    <x v="0"/>
  </r>
  <r>
    <x v="8"/>
    <s v="occupied Palestinian territory"/>
    <s v="occupied Palestinian territory"/>
    <s v="PSE"/>
    <s v="Funding received"/>
    <n v="311466307"/>
    <s v="occupied Palestinian territory"/>
    <s v="Consolidated Appeal Process (CAP)"/>
    <m/>
    <x v="3"/>
  </r>
  <r>
    <x v="8"/>
    <s v="occupied Palestinian territory"/>
    <s v="occupied Palestinian territory"/>
    <s v="PSE"/>
    <s v="Funding requirements"/>
    <n v="419907202"/>
    <s v="occupied Palestinian territory"/>
    <s v="Consolidated Appeal Process (CAP)"/>
    <m/>
    <x v="3"/>
  </r>
  <r>
    <x v="8"/>
    <s v="occupied Palestinian territory"/>
    <s v="occupied Palestinian territory"/>
    <s v="PSE"/>
    <s v="People targeted"/>
    <n v="1800000"/>
    <s v="occupied Palestinian territory"/>
    <s v="Consolidated Appeal Process (CAP)"/>
    <m/>
    <x v="0"/>
  </r>
  <r>
    <x v="8"/>
    <s v="occupied Palestinian territory"/>
    <s v="occupied Palestinian territory"/>
    <s v="PSE"/>
    <s v="Funding received"/>
    <n v="270048717"/>
    <s v="occupied Palestinian territory"/>
    <s v="Consolidated Appeal Process (CAP)"/>
    <m/>
    <x v="3"/>
  </r>
  <r>
    <x v="8"/>
    <s v="occupied Palestinian territory"/>
    <s v="occupied Palestinian territory"/>
    <s v="PSE"/>
    <s v="Funding requirements"/>
    <n v="400839740"/>
    <s v="occupied Palestinian territory"/>
    <s v="Consolidated Appeal Process (CAP)"/>
    <m/>
    <x v="3"/>
  </r>
  <r>
    <x v="8"/>
    <s v="occupied Palestinian territory"/>
    <s v="occupied Palestinian territory"/>
    <s v="PSE"/>
    <s v="People targeted"/>
    <n v="1800000"/>
    <s v="occupied Palestinian territory"/>
    <s v="Consolidated Appeal Process (CAP)"/>
    <m/>
    <x v="0"/>
  </r>
  <r>
    <x v="8"/>
    <s v="occupied Palestinian territory"/>
    <s v="occupied Palestinian territory"/>
    <s v="PSE"/>
    <s v="Funding received"/>
    <n v="501800000"/>
    <s v="occupied Palestinian territory"/>
    <m/>
    <m/>
    <x v="3"/>
  </r>
  <r>
    <x v="8"/>
    <s v="occupied Palestinian territory"/>
    <s v="occupied Palestinian territory"/>
    <s v="PSE"/>
    <s v="Funding requirements"/>
    <n v="931100000"/>
    <s v="occupied Palestinian territory"/>
    <m/>
    <m/>
    <x v="3"/>
  </r>
  <r>
    <x v="8"/>
    <s v="occupied Palestinian territory"/>
    <s v="occupied Palestinian territory"/>
    <s v="PSE"/>
    <s v="People in need"/>
    <n v="1900000"/>
    <s v="occupied Palestinian territory"/>
    <m/>
    <m/>
    <x v="0"/>
  </r>
  <r>
    <x v="8"/>
    <s v="occupied Palestinian territory"/>
    <s v="occupied Palestinian territory"/>
    <s v="PSE"/>
    <s v="Funding received"/>
    <n v="344100000"/>
    <s v="occupied Palestinian territory"/>
    <m/>
    <m/>
    <x v="3"/>
  </r>
  <r>
    <x v="8"/>
    <s v="occupied Palestinian territory"/>
    <s v="occupied Palestinian territory"/>
    <s v="PSE"/>
    <s v="Funding requirements"/>
    <n v="706100000"/>
    <s v="occupied Palestinian territory"/>
    <m/>
    <m/>
    <x v="3"/>
  </r>
  <r>
    <x v="8"/>
    <s v="occupied Palestinian territory"/>
    <s v="occupied Palestinian territory"/>
    <s v="PSE"/>
    <s v="People in need"/>
    <n v="1900000"/>
    <s v="occupied Palestinian territory"/>
    <m/>
    <m/>
    <x v="0"/>
  </r>
  <r>
    <x v="8"/>
    <s v="occupied Palestinian territory"/>
    <s v="occupied Palestinian territory"/>
    <s v="PSE"/>
    <s v="Funding received"/>
    <n v="263000000"/>
    <s v="occupied Palestinian territory"/>
    <m/>
    <m/>
    <x v="3"/>
  </r>
  <r>
    <x v="8"/>
    <s v="occupied Palestinian territory"/>
    <s v="occupied Palestinian territory"/>
    <s v="PSE"/>
    <s v="Funding requirements"/>
    <n v="570700000"/>
    <s v="occupied Palestinian territory"/>
    <m/>
    <m/>
    <x v="3"/>
  </r>
  <r>
    <x v="8"/>
    <s v="occupied Palestinian territory"/>
    <s v="occupied Palestinian territory"/>
    <s v="PSE"/>
    <s v="People in need"/>
    <n v="2300000"/>
    <s v="occupied Palestinian territory"/>
    <m/>
    <m/>
    <x v="0"/>
  </r>
  <r>
    <x v="8"/>
    <s v="occupied Palestinian territory"/>
    <s v="occupied Palestinian territory"/>
    <s v="PSE"/>
    <s v="Funding received"/>
    <n v="266200000"/>
    <s v="occupied Palestinian territory"/>
    <s v="Humanitarian Response Plan (HRP)"/>
    <m/>
    <x v="3"/>
  </r>
  <r>
    <x v="8"/>
    <s v="occupied Palestinian territory"/>
    <s v="occupied Palestinian territory"/>
    <s v="PSE"/>
    <s v="Funding requirements"/>
    <n v="551900000"/>
    <s v="occupied Palestinian territory"/>
    <s v="Humanitarian Response Plan (HRP)"/>
    <m/>
    <x v="3"/>
  </r>
  <r>
    <x v="8"/>
    <s v="occupied Palestinian territory"/>
    <s v="occupied Palestinian territory"/>
    <s v="PSE"/>
    <s v="People in need"/>
    <n v="2000000"/>
    <s v="occupied Palestinian territory"/>
    <s v="Humanitarian Response Plan (HRP)"/>
    <m/>
    <x v="0"/>
  </r>
  <r>
    <x v="8"/>
    <s v="Nicaragua Flash Appeal"/>
    <s v="Nicaragua"/>
    <s v="NIC"/>
    <s v="Funding received"/>
    <n v="5357651"/>
    <s v="Nicaragua Flash Appeal"/>
    <s v="Flash appeal"/>
    <m/>
    <x v="3"/>
  </r>
  <r>
    <x v="8"/>
    <s v="occupied Palestinian territory"/>
    <s v="occupied Palestinian territory"/>
    <s v="PSE"/>
    <s v="Funding received"/>
    <n v="223800000"/>
    <s v="occupied Palestinian territory"/>
    <s v="Humanitarian Response Plan (HRP)"/>
    <m/>
    <x v="3"/>
  </r>
  <r>
    <x v="8"/>
    <s v="occupied Palestinian territory"/>
    <s v="occupied Palestinian territory"/>
    <s v="PSE"/>
    <s v="Funding requirements"/>
    <n v="539700000"/>
    <s v="occupied Palestinian territory"/>
    <s v="Humanitarian Response Plan (HRP)"/>
    <m/>
    <x v="3"/>
  </r>
  <r>
    <x v="8"/>
    <s v="occupied Palestinian territory"/>
    <s v="occupied Palestinian territory"/>
    <s v="PSE"/>
    <s v="People in need"/>
    <n v="2500000"/>
    <s v="occupied Palestinian territory"/>
    <s v="Humanitarian Response Plan (HRP)"/>
    <m/>
    <x v="0"/>
  </r>
  <r>
    <x v="8"/>
    <s v="Iran"/>
    <s v="Iran"/>
    <s v="IRN"/>
    <s v="People in need"/>
    <n v="2000000"/>
    <s v="Iran"/>
    <s v="Other"/>
    <m/>
    <x v="0"/>
  </r>
  <r>
    <x v="8"/>
    <s v="occupied Palestinian territory"/>
    <s v="occupied Palestinian territory"/>
    <s v="PSE"/>
    <s v="Funding requirements"/>
    <n v="350600000"/>
    <s v="occupied Palestinian territory"/>
    <s v="Humanitarian Response Plan (HRP)"/>
    <m/>
    <x v="3"/>
  </r>
  <r>
    <x v="8"/>
    <s v="Democratic Republic of the Congo"/>
    <s v="Democratic Republic of the Congo"/>
    <s v="COD"/>
    <s v="Funding requirements"/>
    <n v="1820000000"/>
    <s v="Democratic Republic of the Congo"/>
    <s v="Humanitarian Response Plan (HRP)"/>
    <m/>
    <x v="3"/>
  </r>
  <r>
    <x v="8"/>
    <s v="Democratic Republic of the Congo"/>
    <s v="Democratic Republic of the Congo"/>
    <s v="COD"/>
    <s v="Funding requirements"/>
    <n v="604600000"/>
    <s v="Democratic Republic of the Congo Regional Response Plan"/>
    <s v="Refugee Response Plan"/>
    <m/>
    <x v="3"/>
  </r>
  <r>
    <x v="8"/>
    <s v="occupied Palestinian territory"/>
    <s v="occupied Palestinian territory"/>
    <s v="PSE"/>
    <s v="Funding received"/>
    <n v="306522537"/>
    <s v="occupied Palestinian territory"/>
    <s v="Consolidated Appeal Process (CAP)"/>
    <m/>
    <x v="3"/>
  </r>
  <r>
    <x v="8"/>
    <s v="occupied Palestinian territory"/>
    <s v="occupied Palestinian territory"/>
    <s v="PSE"/>
    <s v="Funding requirements"/>
    <n v="536927963"/>
    <s v="occupied Palestinian territory"/>
    <s v="Consolidated Appeal Process (CAP)"/>
    <m/>
    <x v="3"/>
  </r>
  <r>
    <x v="8"/>
    <s v="Pakistan"/>
    <s v="Pakistan"/>
    <s v="PAK"/>
    <s v="Funding received"/>
    <n v="115400000"/>
    <s v="Pakistan"/>
    <s v="Other"/>
    <m/>
    <x v="3"/>
  </r>
  <r>
    <x v="8"/>
    <s v="Pakistan"/>
    <s v="Pakistan"/>
    <s v="PAK"/>
    <s v="Funding requirements"/>
    <n v="339400000"/>
    <s v="Pakistan"/>
    <s v="Other"/>
    <m/>
    <x v="3"/>
  </r>
  <r>
    <x v="8"/>
    <s v="Pakistan"/>
    <s v="Pakistan"/>
    <s v="PAK"/>
    <s v="People in need"/>
    <n v="3200000"/>
    <s v="Pakistan"/>
    <s v="Other"/>
    <m/>
    <x v="0"/>
  </r>
  <r>
    <x v="8"/>
    <s v="Pakistan"/>
    <s v="Pakistan"/>
    <s v="PAK"/>
    <s v="Funding received"/>
    <n v="76500000"/>
    <s v="Pakistan"/>
    <s v="Other"/>
    <m/>
    <x v="3"/>
  </r>
  <r>
    <x v="8"/>
    <s v="Pakistan"/>
    <s v="Pakistan"/>
    <s v="PAK"/>
    <s v="Funding requirements"/>
    <n v="123000000"/>
    <s v="Pakistan"/>
    <s v="Other"/>
    <m/>
    <x v="3"/>
  </r>
  <r>
    <x v="8"/>
    <s v="Pakistan"/>
    <s v="Pakistan"/>
    <s v="PAK"/>
    <s v="People in need"/>
    <n v="2900000"/>
    <s v="Pakistan"/>
    <s v="Other"/>
    <m/>
    <x v="0"/>
  </r>
  <r>
    <x v="8"/>
    <s v="Pakistan Early Recovery Framework"/>
    <s v="Pakistan"/>
    <s v="PAK"/>
    <s v="Funding received"/>
    <n v="77349389"/>
    <s v="Pakistan Early Recovery Framework"/>
    <s v="Other"/>
    <m/>
    <x v="3"/>
  </r>
  <r>
    <x v="8"/>
    <s v="Pakistan Early Recovery Framework"/>
    <s v="Pakistan"/>
    <s v="PAK"/>
    <s v="Funding requirements"/>
    <n v="440542688"/>
    <s v="Pakistan Early Recovery Framework"/>
    <s v="Other"/>
    <m/>
    <x v="3"/>
  </r>
  <r>
    <x v="8"/>
    <s v="Pakistan Floods Relief and Early Recovery Response Plan (Revised)"/>
    <s v="Pakistan"/>
    <s v="PAK"/>
    <s v="Funding requirements"/>
    <n v="1963473246"/>
    <s v="Pakistan Floods Relief and Early Recovery Response Plan (Revised)"/>
    <s v="Flash appeal"/>
    <m/>
    <x v="3"/>
  </r>
  <r>
    <x v="8"/>
    <s v="Pakistan Floods Relief and Early Recovery Response Plan (Revised)"/>
    <s v="Pakistan"/>
    <s v="PAK"/>
    <s v="Funding received"/>
    <n v="1380067231"/>
    <s v="Pakistan Floods Relief and Early Recovery Response Plan (Revised)"/>
    <s v="Flash appeal"/>
    <m/>
    <x v="3"/>
  </r>
  <r>
    <x v="8"/>
    <s v="Pakistan Humanitarian Response Plan"/>
    <s v="Pakistan"/>
    <s v="PAK"/>
    <s v="Funding received"/>
    <n v="332196745"/>
    <s v="Pakistan Humanitarian Response Plan"/>
    <s v="Other"/>
    <m/>
    <x v="3"/>
  </r>
  <r>
    <x v="8"/>
    <s v="Pakistan Humanitarian Response Plan"/>
    <s v="Pakistan"/>
    <s v="PAK"/>
    <s v="Funding requirements"/>
    <n v="661180978"/>
    <s v="Pakistan Humanitarian Response Plan"/>
    <s v="Other"/>
    <m/>
    <x v="3"/>
  </r>
  <r>
    <x v="8"/>
    <s v="Pakistan Rapid Response Plan Floods"/>
    <s v="Pakistan"/>
    <s v="PAK"/>
    <s v="Funding received"/>
    <n v="157097790"/>
    <s v="Pakistan Rapid Response Plan Floods"/>
    <s v="Flash appeal"/>
    <m/>
    <x v="3"/>
  </r>
  <r>
    <x v="8"/>
    <s v="Pakistan Rapid Response Plan Floods"/>
    <s v="Pakistan"/>
    <s v="PAK"/>
    <s v="Funding requirements"/>
    <n v="356759669"/>
    <s v="Pakistan Rapid Response Plan Floods"/>
    <s v="Flash appeal"/>
    <m/>
    <x v="3"/>
  </r>
  <r>
    <x v="8"/>
    <s v="Philippines"/>
    <s v="Philippines"/>
    <s v="PHL"/>
    <s v="Funding received"/>
    <n v="14000000"/>
    <s v="Philippines"/>
    <s v="Other"/>
    <m/>
    <x v="3"/>
  </r>
  <r>
    <x v="8"/>
    <s v="Philippines"/>
    <s v="Philippines"/>
    <s v="PHL"/>
    <s v="Funding requirements"/>
    <n v="61000000"/>
    <s v="Philippines"/>
    <s v="Other"/>
    <m/>
    <x v="3"/>
  </r>
  <r>
    <x v="8"/>
    <s v="Philippines"/>
    <s v="Philippines"/>
    <s v="PHL"/>
    <s v="People in need"/>
    <n v="199000"/>
    <s v="Philippines"/>
    <s v="Other"/>
    <m/>
    <x v="0"/>
  </r>
  <r>
    <x v="8"/>
    <s v="Philippines (Typhoon Haiyan and Zamboaga)"/>
    <s v="Philippines"/>
    <s v="PHL"/>
    <s v="Funding received"/>
    <n v="475100000"/>
    <s v="Philippines (Typhoon Haiyan and Zamboaga)"/>
    <m/>
    <m/>
    <x v="3"/>
  </r>
  <r>
    <x v="8"/>
    <s v="Philippines (Typhoon Haiyan and Zamboaga)"/>
    <s v="Philippines"/>
    <s v="PHL"/>
    <s v="Funding requirements"/>
    <n v="788500000"/>
    <s v="Philippines (Typhoon Haiyan and Zamboaga)"/>
    <m/>
    <m/>
    <x v="3"/>
  </r>
  <r>
    <x v="8"/>
    <s v="Philippines Humanitarian Action Plan"/>
    <s v="Philippines"/>
    <s v="PHL"/>
    <s v="Funding received"/>
    <n v="35260463"/>
    <s v="Philippines Humanitarian Action Plan"/>
    <s v="Consolidated Appeal Process (CAP)"/>
    <m/>
    <x v="3"/>
  </r>
  <r>
    <x v="8"/>
    <s v="Philippines Humanitarian Action Plan"/>
    <s v="Philippines"/>
    <s v="PHL"/>
    <s v="Funding requirements"/>
    <n v="51231830"/>
    <s v="Philippines Humanitarian Action Plan"/>
    <s v="Consolidated Appeal Process (CAP)"/>
    <m/>
    <x v="3"/>
  </r>
  <r>
    <x v="8"/>
    <s v="Philippines Humanitarian Action Plan"/>
    <s v="Philippines"/>
    <s v="PHL"/>
    <s v="People targeted"/>
    <n v="600000"/>
    <s v="Philippines Humanitarian Action Plan"/>
    <s v="Consolidated Appeal Process (CAP)"/>
    <m/>
    <x v="0"/>
  </r>
  <r>
    <x v="8"/>
    <s v="Philippines Mindanao Action Plan"/>
    <s v="Philippines"/>
    <s v="PHL"/>
    <s v="Funding received"/>
    <n v="53544941"/>
    <s v="Philippines Mindanao Action Plan"/>
    <s v="Consolidated Appeal Process (CAP)"/>
    <m/>
    <x v="3"/>
  </r>
  <r>
    <x v="8"/>
    <s v="Philippines Mindanao Action Plan"/>
    <s v="Philippines"/>
    <s v="PHL"/>
    <s v="Funding requirements"/>
    <n v="95508967"/>
    <s v="Philippines Mindanao Action Plan"/>
    <s v="Consolidated Appeal Process (CAP)"/>
    <m/>
    <x v="3"/>
  </r>
  <r>
    <x v="8"/>
    <s v="Philippines Mindanao Action Plan"/>
    <s v="Philippines"/>
    <s v="PHL"/>
    <s v="People targeted"/>
    <n v="500000"/>
    <s v="Philippines Mindanao Action Plan"/>
    <s v="Consolidated Appeal Process (CAP)"/>
    <m/>
    <x v="0"/>
  </r>
  <r>
    <x v="8"/>
    <s v="Philippines Typhoon Haiyan"/>
    <s v="Philippines"/>
    <s v="PHL"/>
    <s v="People in need"/>
    <n v="3060000"/>
    <s v="Philippines (Typhoon Haiyan and Zamboaga)"/>
    <m/>
    <m/>
    <x v="0"/>
  </r>
  <r>
    <x v="8"/>
    <s v="Mindanao Humanitarian Action Plan"/>
    <s v="Philippines"/>
    <s v="PHL"/>
    <s v="Funding requirements"/>
    <n v="33258170"/>
    <s v="Mindanao Humanitarian Action Plan"/>
    <s v="Other"/>
    <m/>
    <x v="3"/>
  </r>
  <r>
    <x v="8"/>
    <s v="Mindanao Humanitarian Action Plan"/>
    <s v="Philippines"/>
    <s v="PHL"/>
    <s v="Funding received"/>
    <n v="17950207"/>
    <s v="Mindanao Humanitarian Action Plan"/>
    <s v="Other"/>
    <m/>
    <x v="3"/>
  </r>
  <r>
    <x v="8"/>
    <s v="Republic of Congo"/>
    <s v="Republic of Congo"/>
    <s v="COG"/>
    <s v="Funding requirements"/>
    <n v="59195017"/>
    <s v="Republic of Congo"/>
    <s v="Consolidated Appeal Process (CAP)"/>
    <m/>
    <x v="3"/>
  </r>
  <r>
    <x v="8"/>
    <s v="Republic of Congo"/>
    <s v="Republic of Congo"/>
    <s v="COG"/>
    <s v="Funding received"/>
    <n v="36263227"/>
    <s v="Republic of Congo"/>
    <s v="Consolidated Appeal Process (CAP)"/>
    <m/>
    <x v="3"/>
  </r>
  <r>
    <x v="8"/>
    <s v="Republic of Congo"/>
    <s v="Republic of Congo"/>
    <s v="COG"/>
    <s v="Funding received"/>
    <n v="5200000"/>
    <s v="Republic of Congo"/>
    <m/>
    <m/>
    <x v="3"/>
  </r>
  <r>
    <x v="8"/>
    <s v="Republic of Congo"/>
    <s v="Republic of Congo"/>
    <s v="COG"/>
    <s v="Funding requirements"/>
    <n v="14300000"/>
    <s v="Republic of Congo"/>
    <m/>
    <m/>
    <x v="3"/>
  </r>
  <r>
    <x v="8"/>
    <s v="Republic of Congo"/>
    <s v="Republic of Congo"/>
    <s v="COG"/>
    <s v="Funding received"/>
    <n v="9400000"/>
    <s v="Republic of Congo"/>
    <s v="Humanitarian Response Plan (HRP)"/>
    <m/>
    <x v="3"/>
  </r>
  <r>
    <x v="8"/>
    <s v="Republic of Congo"/>
    <s v="Republic of Congo"/>
    <s v="COG"/>
    <s v="Funding requirements"/>
    <n v="23700000"/>
    <s v="Republic of Congo"/>
    <s v="Humanitarian Response Plan (HRP)"/>
    <m/>
    <x v="3"/>
  </r>
  <r>
    <x v="8"/>
    <s v="Republic of Congo"/>
    <s v="Republic of Congo"/>
    <s v="COG"/>
    <s v="People in need"/>
    <n v="166000"/>
    <s v="Republic of Congo"/>
    <s v="Humanitarian Response Plan (HRP)"/>
    <m/>
    <x v="0"/>
  </r>
  <r>
    <x v="8"/>
    <s v="Senegal"/>
    <s v="Senegal"/>
    <s v="SEN"/>
    <s v="Funding received"/>
    <n v="20900000"/>
    <s v="Senegal"/>
    <m/>
    <m/>
    <x v="3"/>
  </r>
  <r>
    <x v="8"/>
    <s v="Senegal"/>
    <s v="Senegal"/>
    <s v="SEN"/>
    <s v="Funding requirements"/>
    <n v="64099999.999999993"/>
    <s v="Senegal"/>
    <m/>
    <m/>
    <x v="3"/>
  </r>
  <r>
    <x v="8"/>
    <s v="Senegal"/>
    <s v="Senegal"/>
    <s v="SEN"/>
    <s v="People in need"/>
    <n v="2900000"/>
    <s v="Senegal"/>
    <m/>
    <m/>
    <x v="0"/>
  </r>
  <r>
    <x v="8"/>
    <s v="Senegal"/>
    <s v="Senegal"/>
    <s v="SEN"/>
    <s v="Funding received"/>
    <n v="10200000"/>
    <s v="Senegal"/>
    <m/>
    <m/>
    <x v="3"/>
  </r>
  <r>
    <x v="8"/>
    <s v="Senegal"/>
    <s v="Senegal"/>
    <s v="SEN"/>
    <s v="Funding requirements"/>
    <n v="59400000"/>
    <s v="Senegal"/>
    <m/>
    <m/>
    <x v="3"/>
  </r>
  <r>
    <x v="8"/>
    <s v="Senegal"/>
    <s v="Senegal"/>
    <s v="SEN"/>
    <s v="People in need"/>
    <n v="4300000"/>
    <s v="Senegal"/>
    <m/>
    <m/>
    <x v="0"/>
  </r>
  <r>
    <x v="8"/>
    <s v="Senegal"/>
    <s v="Senegal"/>
    <s v="SEN"/>
    <s v="Funding received"/>
    <n v="6500000"/>
    <s v="Senegal"/>
    <m/>
    <m/>
    <x v="3"/>
  </r>
  <r>
    <x v="8"/>
    <s v="Senegal"/>
    <s v="Senegal"/>
    <s v="SEN"/>
    <s v="Funding requirements"/>
    <n v="19900000"/>
    <s v="Senegal"/>
    <m/>
    <m/>
    <x v="3"/>
  </r>
  <r>
    <x v="8"/>
    <s v="Senegal"/>
    <s v="Senegal"/>
    <s v="SEN"/>
    <s v="People in need"/>
    <n v="620461"/>
    <s v="Senegal"/>
    <m/>
    <m/>
    <x v="0"/>
  </r>
  <r>
    <x v="8"/>
    <s v="Senegal"/>
    <s v="Senegal"/>
    <s v="SEN"/>
    <s v="Funding received"/>
    <n v="2900000"/>
    <s v="Senegal"/>
    <s v="Humanitarian Response Plan (HRP)"/>
    <m/>
    <x v="3"/>
  </r>
  <r>
    <x v="8"/>
    <s v="Senegal"/>
    <s v="Senegal"/>
    <s v="SEN"/>
    <s v="Funding requirements"/>
    <n v="15800000"/>
    <s v="Senegal"/>
    <s v="Humanitarian Response Plan (HRP)"/>
    <m/>
    <x v="3"/>
  </r>
  <r>
    <x v="8"/>
    <s v="Senegal"/>
    <s v="Senegal"/>
    <s v="SEN"/>
    <s v="People in need"/>
    <n v="881000"/>
    <s v="Senegal"/>
    <s v="Humanitarian Response Plan (HRP)"/>
    <m/>
    <x v="0"/>
  </r>
  <r>
    <x v="8"/>
    <s v="Senegal"/>
    <s v="Senegal"/>
    <s v="SEN"/>
    <s v="Funding received"/>
    <n v="6800000"/>
    <s v="Senegal"/>
    <s v="Other"/>
    <m/>
    <x v="3"/>
  </r>
  <r>
    <x v="8"/>
    <s v="Senegal"/>
    <s v="Senegal"/>
    <s v="SEN"/>
    <s v="Funding requirements"/>
    <n v="16300000"/>
    <s v="Senegal"/>
    <s v="Other"/>
    <m/>
    <x v="3"/>
  </r>
  <r>
    <x v="8"/>
    <s v="Senegal"/>
    <s v="Senegal"/>
    <s v="SEN"/>
    <s v="People in need"/>
    <n v="814000"/>
    <s v="Senegal"/>
    <s v="Other"/>
    <m/>
    <x v="0"/>
  </r>
  <r>
    <x v="8"/>
    <s v="Somalia"/>
    <s v="Somalia"/>
    <s v="SOM"/>
    <s v="Funding requirements"/>
    <n v="596124332"/>
    <s v="Somalia"/>
    <s v="Consolidated Appeal Process (CAP)"/>
    <m/>
    <x v="3"/>
  </r>
  <r>
    <x v="8"/>
    <s v="Somalia"/>
    <s v="Somalia"/>
    <s v="SOM"/>
    <s v="Funding received"/>
    <n v="400104873"/>
    <s v="Somalia"/>
    <s v="Consolidated Appeal Process (CAP)"/>
    <m/>
    <x v="3"/>
  </r>
  <r>
    <x v="8"/>
    <s v="Somalia"/>
    <s v="Somalia"/>
    <s v="SOM"/>
    <s v="People targeted"/>
    <n v="2556404"/>
    <s v="Somalia"/>
    <s v="Consolidated Appeal Process (CAP)"/>
    <m/>
    <x v="0"/>
  </r>
  <r>
    <x v="8"/>
    <s v="Somalia"/>
    <s v="Somalia"/>
    <s v="SOM"/>
    <s v="Funding received"/>
    <n v="657301394"/>
    <s v="Somalia"/>
    <s v="Consolidated Appeal Process (CAP)"/>
    <m/>
    <x v="3"/>
  </r>
  <r>
    <x v="8"/>
    <s v="Somalia"/>
    <s v="Somalia"/>
    <s v="SOM"/>
    <s v="Funding received"/>
    <n v="586131426"/>
    <s v="Somalia"/>
    <s v="Consolidated Appeal Process (CAP)"/>
    <m/>
    <x v="3"/>
  </r>
  <r>
    <x v="8"/>
    <s v="Somalia"/>
    <s v="Somalia"/>
    <s v="SOM"/>
    <s v="Funding requirements"/>
    <n v="1153087668"/>
    <s v="Somalia"/>
    <s v="Consolidated Appeal Process (CAP)"/>
    <m/>
    <x v="3"/>
  </r>
  <r>
    <x v="8"/>
    <s v="Somalia"/>
    <s v="Somalia"/>
    <s v="SOM"/>
    <s v="People targeted"/>
    <n v="3800000"/>
    <s v="Somalia"/>
    <s v="Consolidated Appeal Process (CAP)"/>
    <m/>
    <x v="0"/>
  </r>
  <r>
    <x v="8"/>
    <s v="Somalia"/>
    <s v="Somalia"/>
    <s v="SOM"/>
    <s v="Funding received"/>
    <n v="457500000"/>
    <s v="Somalia"/>
    <m/>
    <m/>
    <x v="3"/>
  </r>
  <r>
    <x v="8"/>
    <s v="Somalia"/>
    <s v="Somalia"/>
    <s v="SOM"/>
    <s v="Funding requirements"/>
    <n v="933100000"/>
    <s v="Somalia"/>
    <m/>
    <m/>
    <x v="3"/>
  </r>
  <r>
    <x v="8"/>
    <s v="Somalia"/>
    <s v="Somalia"/>
    <s v="SOM"/>
    <s v="People in need"/>
    <n v="3180000"/>
    <s v="Somalia"/>
    <m/>
    <m/>
    <x v="0"/>
  </r>
  <r>
    <x v="8"/>
    <s v="Somalia"/>
    <s v="Somalia"/>
    <s v="SOM"/>
    <s v="Funding received"/>
    <n v="325600000"/>
    <s v="Somalia"/>
    <m/>
    <m/>
    <x v="3"/>
  </r>
  <r>
    <x v="8"/>
    <s v="Somalia"/>
    <s v="Somalia"/>
    <s v="SOM"/>
    <s v="Funding requirements"/>
    <n v="862600000"/>
    <s v="Somalia"/>
    <m/>
    <m/>
    <x v="3"/>
  </r>
  <r>
    <x v="9"/>
    <s v="Somalia"/>
    <s v="Somalia"/>
    <s v="SOM"/>
    <s v="People in need"/>
    <n v="3200000"/>
    <s v="Somalia"/>
    <m/>
    <m/>
    <x v="0"/>
  </r>
  <r>
    <x v="9"/>
    <s v="Somalia"/>
    <s v="Somalia"/>
    <s v="SOM"/>
    <s v="Funding received"/>
    <n v="413800000"/>
    <s v="Somalia"/>
    <m/>
    <m/>
    <x v="3"/>
  </r>
  <r>
    <x v="9"/>
    <s v="Somalia"/>
    <s v="Somalia"/>
    <s v="SOM"/>
    <s v="Funding requirements"/>
    <n v="885200000"/>
    <s v="Somalia"/>
    <m/>
    <m/>
    <x v="3"/>
  </r>
  <r>
    <x v="9"/>
    <s v="Somalia"/>
    <s v="Somalia"/>
    <s v="SOM"/>
    <s v="People in need"/>
    <n v="4900000"/>
    <s v="Somalia"/>
    <m/>
    <m/>
    <x v="0"/>
  </r>
  <r>
    <x v="9"/>
    <s v="Somalia"/>
    <s v="Somalia"/>
    <s v="SOM"/>
    <s v="Funding received"/>
    <n v="882600000"/>
    <s v="Somalia"/>
    <s v="Humanitarian Response Plan (HRP)"/>
    <m/>
    <x v="3"/>
  </r>
  <r>
    <x v="9"/>
    <s v="Somalia"/>
    <s v="Somalia"/>
    <s v="SOM"/>
    <s v="Funding requirements"/>
    <n v="1510000000"/>
    <s v="Somalia"/>
    <s v="Humanitarian Response Plan (HRP)"/>
    <m/>
    <x v="3"/>
  </r>
  <r>
    <x v="9"/>
    <s v="Somalia"/>
    <s v="Somalia"/>
    <s v="SOM"/>
    <s v="People in need"/>
    <n v="6700000"/>
    <s v="Somalia"/>
    <s v="Humanitarian Response Plan (HRP)"/>
    <m/>
    <x v="0"/>
  </r>
  <r>
    <x v="9"/>
    <s v="Somalia"/>
    <s v="Somalia"/>
    <s v="SOM"/>
    <s v="Funding received"/>
    <n v="796800000"/>
    <s v="Somalia"/>
    <s v="Humanitarian Response Plan (HRP)"/>
    <m/>
    <x v="3"/>
  </r>
  <r>
    <x v="9"/>
    <s v="Somalia"/>
    <s v="Somalia"/>
    <s v="SOM"/>
    <s v="Funding requirements"/>
    <n v="1540000000"/>
    <s v="Somalia"/>
    <s v="Humanitarian Response Plan (HRP)"/>
    <m/>
    <x v="3"/>
  </r>
  <r>
    <x v="9"/>
    <s v="Somalia"/>
    <s v="Somalia"/>
    <s v="SOM"/>
    <s v="People in need"/>
    <n v="5400000"/>
    <s v="Somalia"/>
    <s v="Humanitarian Response Plan (HRP)"/>
    <m/>
    <x v="0"/>
  </r>
  <r>
    <x v="9"/>
    <s v="Iran"/>
    <s v="Iran"/>
    <s v="IRN"/>
    <s v="People in need"/>
    <n v="40100000"/>
    <s v="Iran"/>
    <s v="COVID-19"/>
    <s v="yes"/>
    <x v="0"/>
  </r>
  <r>
    <x v="9"/>
    <s v="Somalia"/>
    <s v="Somalia"/>
    <s v="SOM"/>
    <s v="Funding requirements"/>
    <n v="1080000000"/>
    <s v="Somalia"/>
    <s v="Humanitarian Response Plan (HRP)"/>
    <m/>
    <x v="3"/>
  </r>
  <r>
    <x v="9"/>
    <s v="Iraq"/>
    <s v="Iraq"/>
    <s v="IRQ"/>
    <s v="Funding received"/>
    <n v="611700000"/>
    <s v="Iraq"/>
    <s v="Humanitarian Response Plan (HRP)"/>
    <m/>
    <x v="3"/>
  </r>
  <r>
    <x v="9"/>
    <s v="Iraq"/>
    <s v="Iraq"/>
    <s v="IRQ"/>
    <s v="People in need"/>
    <n v="6700000"/>
    <s v="Iraq"/>
    <s v="Humanitarian Response Plan (HRP)"/>
    <m/>
    <x v="0"/>
  </r>
  <r>
    <x v="9"/>
    <s v="Somalia"/>
    <s v="Somalia"/>
    <s v="SOM"/>
    <s v="Funding requirements"/>
    <n v="1167739803"/>
    <s v="Somalia"/>
    <s v="Consolidated Appeal Process (CAP)"/>
    <m/>
    <x v="3"/>
  </r>
  <r>
    <x v="9"/>
    <s v="Somalia"/>
    <s v="Somalia"/>
    <s v="SOM"/>
    <s v="People targeted"/>
    <n v="3810000"/>
    <s v="Somalia"/>
    <s v="Consolidated Appeal Process (CAP)"/>
    <m/>
    <x v="0"/>
  </r>
  <r>
    <x v="9"/>
    <s v="Somalia"/>
    <s v="Somalia"/>
    <s v="SOM"/>
    <s v="Funding received"/>
    <n v="879901029"/>
    <s v="Somalia"/>
    <s v="Consolidated Appeal Process (CAP)"/>
    <m/>
    <x v="3"/>
  </r>
  <r>
    <x v="9"/>
    <s v="Somalia"/>
    <s v="Somalia"/>
    <s v="SOM"/>
    <s v="Funding requirements"/>
    <n v="1003322063"/>
    <s v="Somalia"/>
    <s v="Consolidated Appeal Process (CAP)"/>
    <m/>
    <x v="3"/>
  </r>
  <r>
    <x v="9"/>
    <s v="Iraq"/>
    <s v="Iraq"/>
    <s v="IRQ"/>
    <s v="People in need"/>
    <n v="4100000"/>
    <s v="Iraq"/>
    <s v="Humanitarian Response Plan (HRP)"/>
    <m/>
    <x v="0"/>
  </r>
  <r>
    <x v="9"/>
    <s v="Republic of South Sudan"/>
    <s v="South Sudan"/>
    <s v="SSD"/>
    <s v="Funding received"/>
    <n v="379211301"/>
    <s v="Republic of South Sudan"/>
    <s v="Consolidated Appeal Process (CAP)"/>
    <m/>
    <x v="3"/>
  </r>
  <r>
    <x v="9"/>
    <s v="South Sudan"/>
    <s v="South Sudan"/>
    <s v="SSD"/>
    <s v="Funding received"/>
    <n v="787572734"/>
    <s v="South Sudan"/>
    <s v="Consolidated Appeal Process (CAP)"/>
    <m/>
    <x v="3"/>
  </r>
  <r>
    <x v="9"/>
    <s v="South Sudan"/>
    <s v="South Sudan"/>
    <s v="SSD"/>
    <s v="Funding requirements"/>
    <n v="1176892213"/>
    <s v="South Sudan"/>
    <s v="Consolidated Appeal Process (CAP)"/>
    <m/>
    <x v="3"/>
  </r>
  <r>
    <x v="9"/>
    <s v="South Sudan"/>
    <s v="South Sudan"/>
    <s v="SSD"/>
    <s v="People targeted"/>
    <n v="3587000"/>
    <s v="South Sudan"/>
    <s v="Consolidated Appeal Process (CAP)"/>
    <m/>
    <x v="0"/>
  </r>
  <r>
    <x v="9"/>
    <s v="South Sudan"/>
    <s v="South Sudan"/>
    <s v="SSD"/>
    <s v="Funding received"/>
    <n v="771920359"/>
    <s v="South Sudan"/>
    <s v="Consolidated Appeal Process (CAP)"/>
    <m/>
    <x v="3"/>
  </r>
  <r>
    <x v="9"/>
    <s v="South Sudan"/>
    <s v="South Sudan"/>
    <s v="SSD"/>
    <s v="Funding requirements"/>
    <n v="1072037430"/>
    <s v="South Sudan"/>
    <s v="Consolidated Appeal Process (CAP)"/>
    <m/>
    <x v="3"/>
  </r>
  <r>
    <x v="9"/>
    <s v="South Sudan"/>
    <s v="South Sudan"/>
    <s v="SSD"/>
    <s v="People targeted"/>
    <n v="3000000"/>
    <s v="South Sudan"/>
    <s v="Consolidated Appeal Process (CAP)"/>
    <m/>
    <x v="0"/>
  </r>
  <r>
    <x v="9"/>
    <s v="South Sudan"/>
    <s v="South Sudan"/>
    <s v="SSD"/>
    <s v="Funding received"/>
    <n v="1594900000"/>
    <s v="South Sudan"/>
    <m/>
    <m/>
    <x v="3"/>
  </r>
  <r>
    <x v="9"/>
    <s v="South Sudan"/>
    <s v="South Sudan"/>
    <s v="SSD"/>
    <s v="Funding requirements"/>
    <n v="1801800000"/>
    <s v="South Sudan"/>
    <m/>
    <m/>
    <x v="3"/>
  </r>
  <r>
    <x v="9"/>
    <s v="South Sudan"/>
    <s v="South Sudan"/>
    <s v="SSD"/>
    <s v="People in need"/>
    <n v="4400000"/>
    <s v="South Sudan"/>
    <m/>
    <m/>
    <x v="0"/>
  </r>
  <r>
    <x v="9"/>
    <s v="South Sudan"/>
    <s v="South Sudan"/>
    <s v="SSD"/>
    <s v="Funding received"/>
    <n v="1000000000"/>
    <s v="South Sudan"/>
    <m/>
    <m/>
    <x v="3"/>
  </r>
  <r>
    <x v="9"/>
    <s v="South Sudan"/>
    <s v="South Sudan"/>
    <s v="SSD"/>
    <s v="Funding requirements"/>
    <n v="1600000000"/>
    <s v="South Sudan"/>
    <m/>
    <m/>
    <x v="3"/>
  </r>
  <r>
    <x v="9"/>
    <s v="South Sudan"/>
    <s v="South Sudan"/>
    <s v="SSD"/>
    <s v="People in need"/>
    <n v="6400000"/>
    <s v="South Sudan"/>
    <m/>
    <m/>
    <x v="0"/>
  </r>
  <r>
    <x v="9"/>
    <s v="South Sudan"/>
    <s v="South Sudan"/>
    <s v="SSD"/>
    <s v="Funding received"/>
    <n v="1000000000"/>
    <s v="South Sudan"/>
    <m/>
    <m/>
    <x v="3"/>
  </r>
  <r>
    <x v="9"/>
    <s v="South Sudan"/>
    <s v="South Sudan"/>
    <s v="SSD"/>
    <s v="Funding requirements"/>
    <n v="1300000000"/>
    <s v="South Sudan"/>
    <m/>
    <m/>
    <x v="3"/>
  </r>
  <r>
    <x v="9"/>
    <s v="South Sudan"/>
    <s v="South Sudan"/>
    <s v="SSD"/>
    <s v="People in need"/>
    <n v="6000000"/>
    <s v="South Sudan"/>
    <m/>
    <m/>
    <x v="0"/>
  </r>
  <r>
    <x v="9"/>
    <s v="South Sudan"/>
    <s v="South Sudan"/>
    <s v="SSD"/>
    <s v="Funding received"/>
    <n v="1150000000"/>
    <s v="South Sudan"/>
    <s v="Humanitarian Response Plan (HRP)"/>
    <m/>
    <x v="3"/>
  </r>
  <r>
    <x v="9"/>
    <s v="South Sudan"/>
    <s v="South Sudan"/>
    <s v="SSD"/>
    <s v="Funding requirements"/>
    <n v="1640000000"/>
    <s v="South Sudan"/>
    <s v="Humanitarian Response Plan (HRP)"/>
    <m/>
    <x v="3"/>
  </r>
  <r>
    <x v="9"/>
    <s v="South Sudan"/>
    <s v="South Sudan"/>
    <s v="SSD"/>
    <s v="People in need"/>
    <n v="7500000"/>
    <s v="South Sudan"/>
    <s v="Humanitarian Response Plan (HRP)"/>
    <m/>
    <x v="0"/>
  </r>
  <r>
    <x v="9"/>
    <s v="South Sudan"/>
    <s v="South Sudan"/>
    <s v="SSD"/>
    <s v="Funding received"/>
    <n v="1030000000"/>
    <s v="South Sudan"/>
    <s v="Humanitarian Response Plan (HRP)"/>
    <m/>
    <x v="3"/>
  </r>
  <r>
    <x v="9"/>
    <s v="South Sudan"/>
    <s v="South Sudan"/>
    <s v="SSD"/>
    <s v="Funding requirements"/>
    <n v="1720000000"/>
    <s v="South Sudan"/>
    <s v="Humanitarian Response Plan (HRP)"/>
    <m/>
    <x v="3"/>
  </r>
  <r>
    <x v="9"/>
    <s v="South Sudan"/>
    <s v="South Sudan"/>
    <s v="SSD"/>
    <s v="People in need"/>
    <n v="7000000"/>
    <s v="South Sudan"/>
    <s v="Humanitarian Response Plan (HRP)"/>
    <m/>
    <x v="0"/>
  </r>
  <r>
    <x v="9"/>
    <s v="Jordan (Intersectoral)"/>
    <s v="Jordan"/>
    <s v="JOR"/>
    <s v="People in need"/>
    <n v="1400000"/>
    <s v="Jordan (Intersectoral)"/>
    <s v="COVID-19 (Intersectoral)"/>
    <s v="yes"/>
    <x v="0"/>
  </r>
  <r>
    <x v="9"/>
    <s v="South Sudan"/>
    <s v="South Sudan"/>
    <s v="SSD"/>
    <s v="Funding requirements"/>
    <n v="1510000000"/>
    <s v="South Sudan"/>
    <s v="Humanitarian Response Plan (HRP)"/>
    <m/>
    <x v="3"/>
  </r>
  <r>
    <x v="9"/>
    <s v="Kenya (Intersectoral)"/>
    <s v="Kenya"/>
    <s v="KEN"/>
    <s v="People in need"/>
    <n v="13840000"/>
    <s v="Kenya (Intersectoral)"/>
    <s v="COVID-19 (Intersectoral)"/>
    <s v="yes"/>
    <x v="0"/>
  </r>
  <r>
    <x v="9"/>
    <s v="Lebanon"/>
    <s v="Lebanon"/>
    <s v="LBN"/>
    <s v="People in need"/>
    <n v="6000000"/>
    <s v="Lebanon"/>
    <s v="COVID-19"/>
    <s v="yes"/>
    <x v="0"/>
  </r>
  <r>
    <x v="9"/>
    <s v="Lebanon Flash Appeal"/>
    <s v="Lebanon"/>
    <s v="LBN"/>
    <s v="People in need"/>
    <n v="1000000"/>
    <s v="Lebanon Flash Appeal"/>
    <s v="Humanitarian Flash Appeal"/>
    <m/>
    <x v="0"/>
  </r>
  <r>
    <x v="9"/>
    <s v="South Sudan Regional Refugee Response Plan"/>
    <s v="South Sudan"/>
    <s v="SSD"/>
    <s v="Funding requirements"/>
    <n v="984500000"/>
    <s v="South Sudan Regional"/>
    <s v="Refugee Response Plan"/>
    <m/>
    <x v="3"/>
  </r>
  <r>
    <x v="9"/>
    <s v="Lesotho Flash Appeal"/>
    <s v="Lesotho"/>
    <s v="LSO"/>
    <s v="People in need"/>
    <n v="500000"/>
    <s v="Lesotho Flash Appeal"/>
    <s v="Humanitarian Flash Appeal"/>
    <m/>
    <x v="0"/>
  </r>
  <r>
    <x v="9"/>
    <s v="Liberia"/>
    <s v="Liberia"/>
    <s v="LBR"/>
    <s v="People in need"/>
    <n v="4440000"/>
    <s v="Liberia"/>
    <s v="COVID-19"/>
    <s v="yes"/>
    <x v="0"/>
  </r>
  <r>
    <x v="9"/>
    <s v="South Sudan Regional Refugee Response Plan"/>
    <s v="South Sudan"/>
    <s v="SSD"/>
    <s v="People in need"/>
    <n v="821000"/>
    <s v="South Sudan Regional Refugee Response Plan (Ethiopia, Kenya, and Uganda)"/>
    <m/>
    <m/>
    <x v="0"/>
  </r>
  <r>
    <x v="9"/>
    <s v="South Sudan Regional Refugee Response Plan"/>
    <s v="South Sudan"/>
    <s v="SSD"/>
    <s v="Funding received"/>
    <n v="186600000"/>
    <s v="South Sudan Regional Refugee Response Plan"/>
    <m/>
    <m/>
    <x v="3"/>
  </r>
  <r>
    <x v="9"/>
    <s v="South Sudan Regional Refugee Response Plan"/>
    <s v="South Sudan"/>
    <s v="SSD"/>
    <s v="Funding requirements"/>
    <n v="701600000"/>
    <s v="South Sudan Regional Refugee Response Plan"/>
    <m/>
    <m/>
    <x v="3"/>
  </r>
  <r>
    <x v="9"/>
    <s v="South Sudan Regional Refugee Response Plan"/>
    <s v="South Sudan"/>
    <s v="SSD"/>
    <s v="People in need"/>
    <n v="948409"/>
    <s v="South Sudan Regional Refugee Response Plan"/>
    <m/>
    <m/>
    <x v="0"/>
  </r>
  <r>
    <x v="9"/>
    <s v="South Sudan Regional Refugee Response Plan (Ethiopia, Kenya, and Uganda)"/>
    <s v="South Sudan"/>
    <s v="SSD"/>
    <s v="Funding received"/>
    <n v="186000000"/>
    <s v="South Sudan Regional Refugee Response Plan (Ethiopia, Kenya, and Uganda)"/>
    <m/>
    <m/>
    <x v="3"/>
  </r>
  <r>
    <x v="9"/>
    <s v="South Sudan Regional Refugee Response Plan (Ethiopia, Kenya, and Uganda)"/>
    <s v="South Sudan"/>
    <s v="SSD"/>
    <s v="Funding requirements"/>
    <n v="658000000"/>
    <s v="South Sudan Regional Refugee Response Plan (Ethiopia, Kenya, and Uganda)"/>
    <m/>
    <m/>
    <x v="3"/>
  </r>
  <r>
    <x v="9"/>
    <s v="South Sudan Regional Refugee Response Plan (Ethiopia, Kenya, Sudan and Uganda)"/>
    <s v="South Sudan"/>
    <s v="SSD"/>
    <s v="Funding received"/>
    <n v="355600000"/>
    <s v="South Sudan Regional Refugee Response Plan (Ethiopia, Kenya, Sudan and Uganda)"/>
    <m/>
    <m/>
    <x v="3"/>
  </r>
  <r>
    <x v="9"/>
    <s v="South Sudan Regional Refugee Response Plan (Ethiopia, Kenya, Sudan and Uganda)"/>
    <s v="South Sudan"/>
    <s v="SSD"/>
    <s v="Funding requirements"/>
    <n v="657700000"/>
    <s v="South Sudan Regional Refugee Response Plan (Ethiopia, Kenya, Sudan and Uganda)"/>
    <m/>
    <m/>
    <x v="3"/>
  </r>
  <r>
    <x v="9"/>
    <s v="South Sudan Regional Refugee Response Plan (Ethiopia, Kenya, Sudan and Uganda)"/>
    <s v="South Sudan"/>
    <s v="SSD"/>
    <s v="Funding received"/>
    <n v="517400000"/>
    <s v="South Sudan Regional Refugee Response Plan"/>
    <s v="Refugee Response Plan"/>
    <m/>
    <x v="3"/>
  </r>
  <r>
    <x v="9"/>
    <s v="South Sudan Regional Refugee Response Plan (Ethiopia, Kenya, Sudan and Uganda)"/>
    <s v="South Sudan"/>
    <s v="SSD"/>
    <s v="Funding requirements"/>
    <n v="1380000000"/>
    <s v="South Sudan Regional Refugee Response Plan"/>
    <s v="Refugee Response Plan"/>
    <m/>
    <x v="3"/>
  </r>
  <r>
    <x v="9"/>
    <s v="South Sudan Regional Refugee Response Plan (Ethiopia, Kenya, Sudan and Uganda)"/>
    <s v="South Sudan"/>
    <s v="SSD"/>
    <s v="People in need"/>
    <n v="1400000"/>
    <s v="South Sudan Regional Refugee Response Plan"/>
    <s v="Refugee Response Plan"/>
    <m/>
    <x v="0"/>
  </r>
  <r>
    <x v="9"/>
    <s v="South Sudan Refugee Response Plan"/>
    <s v="South Sudan"/>
    <s v="SSD"/>
    <s v="Funding received"/>
    <n v="169300000"/>
    <s v="South Sudan Refugee Response Plan"/>
    <m/>
    <m/>
    <x v="3"/>
  </r>
  <r>
    <x v="9"/>
    <s v="South Sudan Refugee Response Plan"/>
    <s v="South Sudan"/>
    <s v="SSD"/>
    <s v="Funding requirements"/>
    <n v="809900000"/>
    <s v="South Sudan Refugee Response Plan"/>
    <m/>
    <m/>
    <x v="3"/>
  </r>
  <r>
    <x v="9"/>
    <s v="South Sudan Refugee Response Plan"/>
    <s v="South Sudan"/>
    <s v="SSD"/>
    <s v="Funding received"/>
    <n v="393300000"/>
    <s v="South Sudan Refugee Response Plan"/>
    <s v="Refugee Response Plan"/>
    <m/>
    <x v="3"/>
  </r>
  <r>
    <x v="9"/>
    <s v="South Sudan Refugee Response Plan"/>
    <s v="South Sudan"/>
    <s v="SSD"/>
    <s v="Funding requirements"/>
    <n v="1380000000"/>
    <s v="South Sudan Refugee Response Plan"/>
    <s v="Refugee Response Plan"/>
    <m/>
    <x v="3"/>
  </r>
  <r>
    <x v="9"/>
    <s v="Republic of South Sudan"/>
    <s v="South Sudan"/>
    <s v="SSD"/>
    <s v="Funding requirements"/>
    <n v="619673235"/>
    <s v="Republic of South Sudan"/>
    <s v="Consolidated Appeal Process (CAP)"/>
    <m/>
    <x v="3"/>
  </r>
  <r>
    <x v="9"/>
    <s v="Sudan"/>
    <s v="Sudan"/>
    <s v="SDN"/>
    <s v="Funding requirements"/>
    <n v="1843386608"/>
    <s v="Sudan"/>
    <s v="Consolidated Appeal Process (CAP)"/>
    <m/>
    <x v="3"/>
  </r>
  <r>
    <x v="9"/>
    <s v="Sudan"/>
    <s v="Sudan"/>
    <s v="SDN"/>
    <s v="Funding received"/>
    <n v="1217023072"/>
    <s v="Sudan"/>
    <s v="Consolidated Appeal Process (CAP)"/>
    <m/>
    <x v="3"/>
  </r>
  <r>
    <x v="9"/>
    <s v="Sudan"/>
    <s v="Sudan"/>
    <s v="SDN"/>
    <s v="People targeted"/>
    <n v="6750000"/>
    <s v="Sudan"/>
    <s v="Consolidated Appeal Process (CAP)"/>
    <m/>
    <x v="0"/>
  </r>
  <r>
    <x v="9"/>
    <s v="Sudan"/>
    <s v="Sudan"/>
    <s v="SDN"/>
    <s v="Funding received"/>
    <n v="550846869"/>
    <s v="Sudan"/>
    <s v="Consolidated Appeal Process (CAP)"/>
    <m/>
    <x v="3"/>
  </r>
  <r>
    <x v="9"/>
    <s v="Sudan"/>
    <s v="Sudan"/>
    <s v="SDN"/>
    <s v="Funding requirements"/>
    <n v="985120878"/>
    <s v="Sudan"/>
    <s v="Consolidated Appeal Process (CAP)"/>
    <m/>
    <x v="3"/>
  </r>
  <r>
    <x v="9"/>
    <s v="Sudan"/>
    <s v="Sudan"/>
    <s v="SDN"/>
    <s v="Funding received"/>
    <n v="547000000"/>
    <s v="Sudan"/>
    <m/>
    <m/>
    <x v="3"/>
  </r>
  <r>
    <x v="9"/>
    <s v="Sudan"/>
    <s v="Sudan"/>
    <s v="SDN"/>
    <s v="Funding requirements"/>
    <n v="985700000"/>
    <s v="Sudan"/>
    <m/>
    <m/>
    <x v="3"/>
  </r>
  <r>
    <x v="9"/>
    <s v="Sudan"/>
    <s v="Sudan"/>
    <s v="SDN"/>
    <s v="People in need"/>
    <n v="6100000"/>
    <s v="Sudan"/>
    <m/>
    <m/>
    <x v="0"/>
  </r>
  <r>
    <x v="9"/>
    <s v="Sudan"/>
    <s v="Sudan"/>
    <s v="SDN"/>
    <s v="Funding received"/>
    <n v="597100000"/>
    <s v="Sudan"/>
    <m/>
    <m/>
    <x v="3"/>
  </r>
  <r>
    <x v="9"/>
    <s v="Sudan"/>
    <s v="Sudan"/>
    <s v="SDN"/>
    <s v="Funding requirements"/>
    <n v="1000000000"/>
    <s v="Sudan"/>
    <m/>
    <m/>
    <x v="3"/>
  </r>
  <r>
    <x v="9"/>
    <s v="Sudan"/>
    <s v="Sudan"/>
    <s v="SDN"/>
    <s v="People in need"/>
    <n v="6600000"/>
    <s v="Sudan"/>
    <m/>
    <m/>
    <x v="0"/>
  </r>
  <r>
    <x v="9"/>
    <s v="Sudan"/>
    <s v="Sudan"/>
    <s v="SDN"/>
    <s v="Funding received"/>
    <n v="427800000"/>
    <s v="Sudan"/>
    <m/>
    <m/>
    <x v="3"/>
  </r>
  <r>
    <x v="9"/>
    <s v="Sudan"/>
    <s v="Sudan"/>
    <s v="SDN"/>
    <s v="Funding requirements"/>
    <n v="971800000"/>
    <s v="Sudan"/>
    <m/>
    <m/>
    <x v="3"/>
  </r>
  <r>
    <x v="9"/>
    <s v="Sudan"/>
    <s v="Sudan"/>
    <s v="SDN"/>
    <s v="Funding received"/>
    <n v="326200000"/>
    <s v="Sudan"/>
    <s v="Humanitarian Response Plan (HRP)"/>
    <m/>
    <x v="3"/>
  </r>
  <r>
    <x v="9"/>
    <s v="Sudan"/>
    <s v="Sudan"/>
    <s v="SDN"/>
    <s v="Funding requirements"/>
    <n v="804000000"/>
    <s v="Sudan"/>
    <s v="Humanitarian Response Plan (HRP)"/>
    <m/>
    <x v="3"/>
  </r>
  <r>
    <x v="9"/>
    <s v="Libya"/>
    <s v="Libya"/>
    <s v="LBY"/>
    <s v="Funding received"/>
    <n v="97800000"/>
    <s v="Libya"/>
    <s v="Humanitarian Response Plan (HRP)"/>
    <m/>
    <x v="3"/>
  </r>
  <r>
    <x v="9"/>
    <s v="Sudan"/>
    <s v="Sudan"/>
    <s v="SDN"/>
    <s v="People in need"/>
    <n v="4800000"/>
    <s v="Sudan"/>
    <s v="Humanitarian Response Plan (HRP)"/>
    <m/>
    <x v="0"/>
  </r>
  <r>
    <x v="9"/>
    <s v="Sudan"/>
    <s v="Sudan"/>
    <s v="SDN"/>
    <s v="Funding received"/>
    <n v="603600000"/>
    <s v="Sudan"/>
    <s v="Humanitarian Response Plan (HRP)"/>
    <m/>
    <x v="3"/>
  </r>
  <r>
    <x v="9"/>
    <s v="Sudan"/>
    <s v="Sudan"/>
    <s v="SDN"/>
    <s v="Funding requirements"/>
    <n v="1010000000"/>
    <s v="Sudan"/>
    <s v="Humanitarian Response Plan (HRP)"/>
    <m/>
    <x v="3"/>
  </r>
  <r>
    <x v="9"/>
    <s v="Sudan"/>
    <s v="Sudan"/>
    <s v="SDN"/>
    <s v="People in need"/>
    <n v="5500000"/>
    <s v="Sudan"/>
    <s v="Humanitarian Response Plan (HRP)"/>
    <m/>
    <x v="0"/>
  </r>
  <r>
    <x v="9"/>
    <s v="Libya"/>
    <s v="Libya"/>
    <s v="LBY"/>
    <s v="People in need"/>
    <n v="823000"/>
    <s v="Libya"/>
    <s v="Humanitarian Response Plan (HRP)"/>
    <m/>
    <x v="0"/>
  </r>
  <r>
    <x v="9"/>
    <s v="Sudan"/>
    <s v="Sudan"/>
    <s v="SDN"/>
    <s v="Funding requirements"/>
    <n v="1150000000"/>
    <s v="Sudan"/>
    <s v="Humanitarian Response Plan (HRP)"/>
    <m/>
    <x v="3"/>
  </r>
  <r>
    <x v="9"/>
    <s v="Libya"/>
    <s v="Libya"/>
    <s v="LBY"/>
    <s v="People in need"/>
    <n v="1000000"/>
    <s v="Libya"/>
    <s v="Humanitarian Response Plan (HRP)"/>
    <m/>
    <x v="0"/>
  </r>
  <r>
    <x v="9"/>
    <s v="Sudan"/>
    <s v="Sudan"/>
    <s v="SDN"/>
    <s v="Funding received"/>
    <n v="585279169"/>
    <s v="Sudan"/>
    <s v="Consolidated Appeal Process (CAP)"/>
    <m/>
    <x v="3"/>
  </r>
  <r>
    <x v="9"/>
    <s v="Sudan"/>
    <s v="Sudan"/>
    <s v="SDN"/>
    <s v="Funding requirements"/>
    <n v="1051018271"/>
    <s v="Sudan"/>
    <s v="Consolidated Appeal Process (CAP)"/>
    <m/>
    <x v="3"/>
  </r>
  <r>
    <x v="9"/>
    <s v="Sudan"/>
    <s v="Sudan"/>
    <s v="SDN"/>
    <s v="People targeted"/>
    <n v="4000000"/>
    <s v="Sudan"/>
    <s v="Consolidated Appeal Process (CAP)"/>
    <m/>
    <x v="0"/>
  </r>
  <r>
    <x v="9"/>
    <s v="Sudan"/>
    <s v="Sudan"/>
    <s v="SDN"/>
    <s v="People targeted"/>
    <n v="4300000"/>
    <s v="Sudan"/>
    <s v="Consolidated Appeal Process (CAP)"/>
    <m/>
    <x v="0"/>
  </r>
  <r>
    <x v="9"/>
    <s v="Sudan"/>
    <s v="Sudan"/>
    <s v="SDN"/>
    <s v="Funding received"/>
    <n v="812424912"/>
    <s v="Sudan"/>
    <s v="Consolidated Appeal Process (CAP)"/>
    <m/>
    <x v="3"/>
  </r>
  <r>
    <x v="9"/>
    <s v="Sudan"/>
    <s v="Sudan"/>
    <s v="SDN"/>
    <s v="Funding requirements"/>
    <n v="1132952016"/>
    <s v="Sudan"/>
    <s v="Consolidated Appeal Process (CAP)"/>
    <m/>
    <x v="3"/>
  </r>
  <r>
    <x v="9"/>
    <s v="Ethiopia"/>
    <s v="Ethiopia"/>
    <s v="ETH"/>
    <s v="Funding requirements"/>
    <n v="973000000"/>
    <s v="Ethiopia"/>
    <s v="Humanitarian Response Plan (HRP)"/>
    <m/>
    <x v="3"/>
  </r>
  <r>
    <x v="9"/>
    <s v="Syria"/>
    <s v="Syria"/>
    <s v="SYR"/>
    <s v="People in need"/>
    <n v="10800000"/>
    <s v="Syria"/>
    <m/>
    <m/>
    <x v="0"/>
  </r>
  <r>
    <x v="9"/>
    <s v="Syria"/>
    <s v="Syria"/>
    <s v="SYR"/>
    <s v="People in need"/>
    <n v="12200000"/>
    <s v="Syria"/>
    <m/>
    <m/>
    <x v="0"/>
  </r>
  <r>
    <x v="9"/>
    <s v="Syria"/>
    <s v="Syria"/>
    <s v="SYR"/>
    <s v="Funding received"/>
    <n v="1371000000"/>
    <s v="Syria"/>
    <m/>
    <m/>
    <x v="3"/>
  </r>
  <r>
    <x v="9"/>
    <s v="Syria"/>
    <s v="Syria"/>
    <s v="SYR"/>
    <s v="Funding requirements"/>
    <n v="3200000000"/>
    <s v="Syria"/>
    <m/>
    <m/>
    <x v="3"/>
  </r>
  <r>
    <x v="9"/>
    <s v="Syria"/>
    <s v="Syria"/>
    <s v="SYR"/>
    <s v="People in need"/>
    <n v="13500000"/>
    <s v="Syria"/>
    <m/>
    <m/>
    <x v="0"/>
  </r>
  <r>
    <x v="9"/>
    <s v="Syria"/>
    <s v="Syria"/>
    <s v="SYR"/>
    <s v="Funding received"/>
    <n v="1680000000"/>
    <s v="Syria"/>
    <s v="Humanitarian Response Plan (HRP)"/>
    <m/>
    <x v="3"/>
  </r>
  <r>
    <x v="9"/>
    <s v="Syria"/>
    <s v="Syria"/>
    <s v="SYR"/>
    <s v="Funding requirements"/>
    <n v="3350000000"/>
    <s v="Syria"/>
    <s v="Humanitarian Response Plan (HRP)"/>
    <m/>
    <x v="3"/>
  </r>
  <r>
    <x v="10"/>
    <s v="Syria"/>
    <s v="Syria"/>
    <s v="SYR"/>
    <s v="People in need"/>
    <n v="13500000"/>
    <s v="Syria"/>
    <s v="Humanitarian Response Plan (HRP)"/>
    <m/>
    <x v="0"/>
  </r>
  <r>
    <x v="10"/>
    <s v="Syria"/>
    <s v="Syria"/>
    <s v="SYR"/>
    <s v="Funding received"/>
    <n v="2000000000"/>
    <s v="Syria"/>
    <s v="Humanitarian Response Plan (HRP)"/>
    <m/>
    <x v="3"/>
  </r>
  <r>
    <x v="10"/>
    <s v="Syria"/>
    <s v="Syria"/>
    <s v="SYR"/>
    <s v="Funding requirements"/>
    <n v="3360000000"/>
    <s v="Syria"/>
    <s v="Humanitarian Response Plan (HRP)"/>
    <m/>
    <x v="3"/>
  </r>
  <r>
    <x v="10"/>
    <s v="Syria"/>
    <s v="Syria"/>
    <s v="SYR"/>
    <s v="People in need"/>
    <n v="13000000"/>
    <s v="Syria"/>
    <s v="Humanitarian Response Plan (HRP)"/>
    <m/>
    <x v="0"/>
  </r>
  <r>
    <x v="10"/>
    <s v="Madagascar"/>
    <s v="Madagascar"/>
    <s v="MDG"/>
    <s v="Funding received"/>
    <n v="29200000"/>
    <s v="Madagascar"/>
    <s v="Flash appeal"/>
    <m/>
    <x v="3"/>
  </r>
  <r>
    <x v="10"/>
    <s v="Syria"/>
    <s v="Syria"/>
    <s v="SYR"/>
    <s v="Funding requirements"/>
    <n v="3290000000"/>
    <s v="Syria"/>
    <s v="Humanitarian Response Plan (HRP)"/>
    <m/>
    <x v="3"/>
  </r>
  <r>
    <x v="10"/>
    <s v="Madagascar"/>
    <s v="Madagascar"/>
    <s v="MDG"/>
    <s v="People in need"/>
    <n v="890000"/>
    <s v="Madagascar"/>
    <s v="Humanitarian Flash Appeal"/>
    <m/>
    <x v="0"/>
  </r>
  <r>
    <x v="10"/>
    <s v="Syria Regional Refugee Response Plan "/>
    <s v="Syria"/>
    <s v="SYR"/>
    <s v="Funding received"/>
    <n v="2270000000"/>
    <s v="Syria Regional Refugee Response Plan "/>
    <s v="Refugee Response Plan"/>
    <m/>
    <x v="3"/>
  </r>
  <r>
    <x v="10"/>
    <s v="Syria Regional Refugee Response Plan "/>
    <s v="Syria"/>
    <s v="SYR"/>
    <s v="Funding requirements"/>
    <n v="4630000000"/>
    <s v="Syria Regional Refugee Response Plan "/>
    <s v="Refugee Response Plan"/>
    <m/>
    <x v="3"/>
  </r>
  <r>
    <x v="10"/>
    <s v="Syria Regional Refugee Response Plan "/>
    <s v="Syria"/>
    <s v="SYR"/>
    <s v="People in need"/>
    <n v="9913877"/>
    <s v="Syria Regional Refugee Response Plan "/>
    <s v="Refugee Response Plan"/>
    <m/>
    <x v="0"/>
  </r>
  <r>
    <x v="10"/>
    <s v="Syria Regional Refugee Response Plan "/>
    <s v="Syria"/>
    <s v="SYR"/>
    <s v="Funding received"/>
    <n v="2660000000"/>
    <s v="Syria Regional Refugee Response Plan "/>
    <s v="Refugee Response Plan"/>
    <m/>
    <x v="3"/>
  </r>
  <r>
    <x v="10"/>
    <s v="Syria Regional Refugee Response Plan "/>
    <s v="Syria"/>
    <s v="SYR"/>
    <s v="Funding requirements"/>
    <n v="5610000000"/>
    <s v="Syria Regional Refugee Response Plan "/>
    <s v="Refugee Response Plan"/>
    <m/>
    <x v="3"/>
  </r>
  <r>
    <x v="10"/>
    <s v="Syria Regional Refugee Response Plan "/>
    <s v="Syria"/>
    <s v="SYR"/>
    <s v="People in need"/>
    <n v="5300000"/>
    <s v="Syria Regional Refugee Response Plan "/>
    <s v="Refugee Response Plan"/>
    <m/>
    <x v="0"/>
  </r>
  <r>
    <x v="10"/>
    <s v="Syria Humanitarian Assistance Response Plan (SHARP)"/>
    <s v="Syria"/>
    <s v="SYR"/>
    <s v="Funding received"/>
    <n v="959284768"/>
    <s v="Syria Humanitarian Assistance Response Plan (SHARP)"/>
    <s v="Consolidated Appeal Process (CAP)"/>
    <m/>
    <x v="3"/>
  </r>
  <r>
    <x v="10"/>
    <s v="Syria Humanitarian Assistance Response Plan (SHARP)"/>
    <s v="Syria"/>
    <s v="SYR"/>
    <s v="Funding requirements"/>
    <n v="1409812466"/>
    <s v="Syria Humanitarian Assistance Response Plan (SHARP)"/>
    <s v="Consolidated Appeal Process (CAP)"/>
    <m/>
    <x v="3"/>
  </r>
  <r>
    <x v="10"/>
    <s v="Syria Humanitarian Assistance Response Plan (SHARP)"/>
    <s v="Syria"/>
    <s v="SYR"/>
    <s v="Funding received"/>
    <n v="1123400000"/>
    <s v="Syria Humanitarian Assistance Response Plan (SHARP)"/>
    <m/>
    <m/>
    <x v="3"/>
  </r>
  <r>
    <x v="10"/>
    <s v="Syria Humanitarian Assistance Response Plan (SHARP)"/>
    <s v="Syria"/>
    <s v="SYR"/>
    <s v="Funding requirements"/>
    <n v="2256200000"/>
    <s v="Syria Humanitarian Assistance Response Plan (SHARP)"/>
    <m/>
    <m/>
    <x v="3"/>
  </r>
  <r>
    <x v="10"/>
    <s v="Syria Humanitarian Assistance Response Plan (SHARP)"/>
    <s v="Syria"/>
    <s v="SYR"/>
    <s v="Funding received"/>
    <n v="215915475"/>
    <s v="Syria Humanitarian Assistance Response Plan (SHARP)"/>
    <s v="Consolidated Appeal Process (CAP)"/>
    <m/>
    <x v="3"/>
  </r>
  <r>
    <x v="10"/>
    <s v="Syria Humanitarian Assistance Response Plan (SHARP)"/>
    <s v="Syria"/>
    <s v="SYR"/>
    <s v="Funding requirements"/>
    <n v="348340163"/>
    <s v="Syria Humanitarian Assistance Response Plan (SHARP)"/>
    <s v="Consolidated Appeal Process (CAP)"/>
    <m/>
    <x v="3"/>
  </r>
  <r>
    <x v="10"/>
    <s v="Syria Humanitarian Assistance Response Plan (SHARP)"/>
    <s v="Syria"/>
    <s v="SYR"/>
    <s v="People targeted"/>
    <n v="6800000"/>
    <s v="Syria Humanitarian Assistance Response Plan (SHARP)"/>
    <s v="Consolidated Appeal Process (CAP)"/>
    <m/>
    <x v="0"/>
  </r>
  <r>
    <x v="10"/>
    <s v="Mali"/>
    <s v="Mali"/>
    <s v="MLI"/>
    <s v="Funding received"/>
    <n v="160000000"/>
    <s v="Mali"/>
    <s v="Humanitarian Response Plan (HRP)"/>
    <m/>
    <x v="3"/>
  </r>
  <r>
    <x v="10"/>
    <s v="Syria Regional"/>
    <s v="Syria"/>
    <s v="SYR"/>
    <s v="Funding requirements"/>
    <n v="5530000000"/>
    <s v="Syria Regional"/>
    <s v="Refugee Response Plan"/>
    <m/>
    <x v="3"/>
  </r>
  <r>
    <x v="10"/>
    <s v="Mali"/>
    <s v="Mali"/>
    <s v="MLI"/>
    <s v="People in need"/>
    <n v="3200000"/>
    <s v="Mali"/>
    <s v="Humanitarian Response Plan (HRP)"/>
    <m/>
    <x v="0"/>
  </r>
  <r>
    <x v="10"/>
    <s v="Ethiopia"/>
    <s v="Ethiopia"/>
    <s v="ETH"/>
    <s v="Funding requirements"/>
    <n v="1502100145"/>
    <s v="Ethiopia"/>
    <s v="Humanitarian response plan"/>
    <m/>
    <x v="2"/>
  </r>
  <r>
    <x v="10"/>
    <s v="Syria Regional Refugee and Resilience Plan"/>
    <s v="Syria"/>
    <s v="SYR"/>
    <s v="People in need"/>
    <n v="6600000"/>
    <s v="Syria Regional Refugee and Resilience Plan"/>
    <m/>
    <m/>
    <x v="0"/>
  </r>
  <r>
    <x v="10"/>
    <s v="Syria Regional Refugee and Resilience Plan"/>
    <s v="Syria"/>
    <s v="SYR"/>
    <s v="People in need"/>
    <n v="5690000"/>
    <s v="Syria Regional Refugee and Resilience Plan"/>
    <m/>
    <m/>
    <x v="0"/>
  </r>
  <r>
    <x v="10"/>
    <s v="Syria Regional Refugee and Resilience Plan"/>
    <s v="Syria"/>
    <s v="SYR"/>
    <s v="Funding received"/>
    <n v="2486000000"/>
    <s v="Syria Regional Refugee and Resilience Plan"/>
    <m/>
    <m/>
    <x v="3"/>
  </r>
  <r>
    <x v="10"/>
    <s v="Syria Regional Refugee and Resilience Plan"/>
    <s v="Syria"/>
    <s v="SYR"/>
    <s v="Funding requirements"/>
    <n v="4500000000"/>
    <s v="Syria Regional Refugee and Resilience Plan"/>
    <m/>
    <m/>
    <x v="3"/>
  </r>
  <r>
    <x v="10"/>
    <s v="Syria Regional Refugee and Resilience Plan"/>
    <s v="Syria"/>
    <s v="SYR"/>
    <s v="People in need"/>
    <n v="4700000"/>
    <s v="Syria Regional Refugee and Resilience Plan"/>
    <m/>
    <m/>
    <x v="0"/>
  </r>
  <r>
    <x v="10"/>
    <s v="Syria Regional Refugee and Resilience Plan (3RP)"/>
    <s v="Syria"/>
    <s v="SYR"/>
    <s v="Funding received"/>
    <n v="2400000000"/>
    <s v="Syria Regional Refugee and Resilience Plan (3RP)"/>
    <m/>
    <m/>
    <x v="3"/>
  </r>
  <r>
    <x v="10"/>
    <s v="Syria Regional Refugee and Resilience Plan (3RP)"/>
    <s v="Syria"/>
    <s v="SYR"/>
    <s v="Funding requirements"/>
    <n v="4500000000"/>
    <s v="Syria Regional Refugee and Resilience Plan (3RP)"/>
    <m/>
    <m/>
    <x v="3"/>
  </r>
  <r>
    <x v="10"/>
    <s v="Syria Regional Refugee Response Plan (RRP)"/>
    <s v="Syria"/>
    <s v="SYR"/>
    <s v="Funding received"/>
    <n v="2180971363"/>
    <s v="Syria Regional Refugee Response Plan (RRP)"/>
    <s v="Regional Response Plan"/>
    <m/>
    <x v="3"/>
  </r>
  <r>
    <x v="10"/>
    <s v="Syria Regional Refugee Response Plan (RRP)"/>
    <s v="Syria"/>
    <s v="SYR"/>
    <s v="Funding requirements"/>
    <n v="2981640112"/>
    <s v="Syria Regional Refugee Response Plan (RRP)"/>
    <s v="Regional Response Plan"/>
    <m/>
    <x v="3"/>
  </r>
  <r>
    <x v="10"/>
    <s v="Syria Regional Refugee Response Plan (RRP)"/>
    <s v="Syria"/>
    <s v="SYR"/>
    <s v="Funding received"/>
    <n v="2333200000"/>
    <s v="Syria Regional Refugee Response Plan (RRP)"/>
    <m/>
    <m/>
    <x v="3"/>
  </r>
  <r>
    <x v="10"/>
    <s v="Syria Regional Refugee Response Plan (RRP)"/>
    <s v="Syria"/>
    <s v="SYR"/>
    <s v="Funding requirements"/>
    <n v="3740700000"/>
    <s v="Syria Regional Refugee Response Plan (RRP)"/>
    <m/>
    <m/>
    <x v="3"/>
  </r>
  <r>
    <x v="10"/>
    <s v="Syria Response Plan"/>
    <s v="Syria"/>
    <s v="SYR"/>
    <s v="Funding received"/>
    <n v="1200000000"/>
    <s v="Syria "/>
    <m/>
    <m/>
    <x v="3"/>
  </r>
  <r>
    <x v="10"/>
    <s v="Syria Response Plan"/>
    <s v="Syria"/>
    <s v="SYR"/>
    <s v="Funding requirements"/>
    <n v="2900000000"/>
    <s v="Syria"/>
    <m/>
    <m/>
    <x v="3"/>
  </r>
  <r>
    <x v="10"/>
    <s v="Syria Regional Refugee Response Plan (RRP)"/>
    <s v="Syria"/>
    <s v="SYR"/>
    <s v="People targeted"/>
    <n v="5300000"/>
    <s v="Syria Regional Refugee Response Plan (RRP)"/>
    <s v="Regional Refugee Response Plan (RRP)"/>
    <m/>
    <x v="0"/>
  </r>
  <r>
    <x v="10"/>
    <s v="Uganda"/>
    <s v="Uganda"/>
    <s v="UGA"/>
    <s v="Funding requirements"/>
    <n v="184398188"/>
    <s v="Uganda"/>
    <s v="Consolidated Appeal Process (CAP)"/>
    <m/>
    <x v="3"/>
  </r>
  <r>
    <x v="10"/>
    <s v="Uganda"/>
    <s v="Uganda"/>
    <s v="UGA"/>
    <s v="Funding received"/>
    <n v="99109148"/>
    <s v="Uganda"/>
    <s v="Consolidated Appeal Process (CAP)"/>
    <m/>
    <x v="3"/>
  </r>
  <r>
    <x v="10"/>
    <s v="Mali"/>
    <s v="Mali"/>
    <s v="MLI"/>
    <s v="People in need"/>
    <n v="6800000"/>
    <s v="Mali"/>
    <s v="Humanitarian Response Plan (HRP)"/>
    <m/>
    <x v="0"/>
  </r>
  <r>
    <x v="10"/>
    <s v="Ukraine"/>
    <s v="Ukraine"/>
    <s v="UKR"/>
    <s v="Funding received"/>
    <n v="148500000"/>
    <s v="Ukraine"/>
    <m/>
    <m/>
    <x v="3"/>
  </r>
  <r>
    <x v="10"/>
    <s v="Ukraine"/>
    <s v="Ukraine"/>
    <s v="UKR"/>
    <s v="Funding requirements"/>
    <n v="316000000"/>
    <s v="Ukraine"/>
    <m/>
    <m/>
    <x v="3"/>
  </r>
  <r>
    <x v="10"/>
    <s v="Ukraine"/>
    <s v="Ukraine"/>
    <s v="UKR"/>
    <s v="People in need"/>
    <n v="1400000"/>
    <s v="Ukraine"/>
    <m/>
    <m/>
    <x v="0"/>
  </r>
  <r>
    <x v="10"/>
    <s v="Ukraine"/>
    <s v="Ukraine"/>
    <s v="UKR"/>
    <s v="Funding received"/>
    <n v="88300000"/>
    <s v="Ukraine"/>
    <m/>
    <m/>
    <x v="3"/>
  </r>
  <r>
    <x v="10"/>
    <s v="Vanuatu"/>
    <s v="Vanuatu"/>
    <s v="VUT"/>
    <s v="Funding received"/>
    <n v="21800000"/>
    <s v="Vanuatu"/>
    <m/>
    <m/>
    <x v="3"/>
  </r>
  <r>
    <x v="10"/>
    <s v="Vanuatu"/>
    <s v="Vanuatu"/>
    <s v="VUT"/>
    <s v="Funding requirements"/>
    <n v="37700000"/>
    <s v="Vanuatu"/>
    <m/>
    <m/>
    <x v="3"/>
  </r>
  <r>
    <x v="10"/>
    <s v="Ukraine"/>
    <s v="Ukraine"/>
    <s v="UKR"/>
    <s v="Funding requirements"/>
    <n v="297900000"/>
    <s v="Ukraine"/>
    <m/>
    <m/>
    <x v="3"/>
  </r>
  <r>
    <x v="10"/>
    <s v="Ukraine"/>
    <s v="Ukraine"/>
    <s v="UKR"/>
    <s v="People in need"/>
    <n v="3100000"/>
    <s v="Ukraine"/>
    <m/>
    <m/>
    <x v="0"/>
  </r>
  <r>
    <x v="10"/>
    <s v="Ukraine"/>
    <s v="Ukraine"/>
    <s v="UKR"/>
    <s v="Funding received"/>
    <n v="56900000"/>
    <s v="Ukraine"/>
    <s v="Humanitarian Response Plan (HRP)"/>
    <m/>
    <x v="3"/>
  </r>
  <r>
    <x v="10"/>
    <s v="Ukraine"/>
    <s v="Ukraine"/>
    <s v="UKR"/>
    <s v="Funding requirements"/>
    <n v="203600000"/>
    <s v="Ukraine"/>
    <s v="Humanitarian Response Plan (HRP)"/>
    <m/>
    <x v="3"/>
  </r>
  <r>
    <x v="10"/>
    <s v="Ukraine"/>
    <s v="Ukraine"/>
    <s v="UKR"/>
    <s v="People in need"/>
    <n v="3800000"/>
    <s v="Ukraine"/>
    <s v="Humanitarian Response Plan (HRP)"/>
    <m/>
    <x v="0"/>
  </r>
  <r>
    <x v="10"/>
    <s v="Ukraine"/>
    <s v="Ukraine"/>
    <s v="UKR"/>
    <s v="Funding received"/>
    <n v="66599999.999999993"/>
    <s v="Ukraine"/>
    <s v="Humanitarian Response Plan (HRP)"/>
    <m/>
    <x v="3"/>
  </r>
  <r>
    <x v="10"/>
    <s v="Ukraine"/>
    <s v="Ukraine"/>
    <s v="UKR"/>
    <s v="Funding requirements"/>
    <n v="186900000"/>
    <s v="Ukraine"/>
    <s v="Humanitarian Response Plan (HRP)"/>
    <m/>
    <x v="3"/>
  </r>
  <r>
    <x v="10"/>
    <s v="Ukraine"/>
    <s v="Ukraine"/>
    <s v="UKR"/>
    <s v="People in need"/>
    <n v="3400000"/>
    <s v="Ukraine"/>
    <s v="Humanitarian Response Plan (HRP)"/>
    <m/>
    <x v="0"/>
  </r>
  <r>
    <x v="10"/>
    <s v="Ukraine"/>
    <s v="Ukraine"/>
    <s v="UKR"/>
    <s v="Funding requirements"/>
    <n v="164400000"/>
    <s v="Ukraine"/>
    <s v="Humanitarian Response Plan (HRP)"/>
    <m/>
    <x v="3"/>
  </r>
  <r>
    <x v="10"/>
    <s v="Mozambique"/>
    <s v="Mozambique"/>
    <s v="MOZ"/>
    <s v="Funding received"/>
    <n v="291600000"/>
    <s v="Mozambique"/>
    <s v="Humanitarian Response Plan (HRP)"/>
    <m/>
    <x v="3"/>
  </r>
  <r>
    <x v="10"/>
    <s v="Haiti"/>
    <s v="Haiti"/>
    <s v="HTI"/>
    <s v="Funding requirements"/>
    <n v="252500000"/>
    <s v="Haiti"/>
    <s v="Humanitarian Response Plan (HRP)"/>
    <m/>
    <x v="3"/>
  </r>
  <r>
    <x v="10"/>
    <s v="Mozambique"/>
    <s v="Mozambique"/>
    <s v="MOZ"/>
    <s v="People in need"/>
    <n v="2600000"/>
    <s v="Mozambique"/>
    <s v="Humanitarian Response Plan (HRP)"/>
    <m/>
    <x v="0"/>
  </r>
  <r>
    <x v="10"/>
    <s v="Venezuela"/>
    <s v="Venezuela"/>
    <s v="VEN"/>
    <s v="Funding requirements"/>
    <n v="222700000"/>
    <s v="Venezuela"/>
    <s v="Humanitarian Response Plan (HRP)"/>
    <m/>
    <x v="3"/>
  </r>
  <r>
    <x v="10"/>
    <s v="Mozambique Flash Appeal"/>
    <s v="Mozambique"/>
    <s v="MOZ"/>
    <s v="People in need"/>
    <n v="7800000"/>
    <s v="Mozambique Flash Appeal"/>
    <s v="Humanitarian Flash Appeal"/>
    <s v="yes"/>
    <x v="0"/>
  </r>
  <r>
    <x v="10"/>
    <s v="Myanmar"/>
    <s v="Myanmar"/>
    <s v="MMR"/>
    <s v="Funding received"/>
    <n v="172300000"/>
    <s v="Myanmar"/>
    <s v="Humanitarian Response Plan (HRP)"/>
    <m/>
    <x v="3"/>
  </r>
  <r>
    <x v="10"/>
    <s v="Myanmar"/>
    <s v="Myanmar"/>
    <s v="MMR"/>
    <s v="People in need"/>
    <n v="941000"/>
    <s v="Myanmar"/>
    <s v="Humanitarian Response Plan (HRP)"/>
    <m/>
    <x v="0"/>
  </r>
  <r>
    <x v="10"/>
    <s v="Venezuela Regional"/>
    <s v="Venezuela"/>
    <s v="VEN"/>
    <s v="Funding requirements"/>
    <n v="737600000"/>
    <s v="Venezuela Regional"/>
    <s v="Other"/>
    <m/>
    <x v="3"/>
  </r>
  <r>
    <x v="10"/>
    <s v="Haiti"/>
    <s v="Haiti"/>
    <s v="HTI"/>
    <s v="Funding requirements"/>
    <n v="235600000"/>
    <s v="Haiti"/>
    <s v="Humanitarian response plan"/>
    <m/>
    <x v="2"/>
  </r>
  <r>
    <x v="10"/>
    <s v="Yemen"/>
    <s v="Yemen"/>
    <s v="YEM"/>
    <s v="Funding received"/>
    <n v="349400000"/>
    <s v="Yemen"/>
    <m/>
    <m/>
    <x v="3"/>
  </r>
  <r>
    <x v="10"/>
    <s v="Sri Lanka Floods Flash Appeal (Revised)"/>
    <s v="Sri Lanka"/>
    <s v="LKA"/>
    <s v="Funding received"/>
    <n v="26626535"/>
    <s v="Sri Lanka Floods Flash Appeal (Revised)"/>
    <s v="Flash appeal"/>
    <m/>
    <x v="3"/>
  </r>
  <r>
    <x v="10"/>
    <s v="Yemen"/>
    <s v="Yemen"/>
    <s v="YEM"/>
    <s v="Funding requirements"/>
    <n v="596000000"/>
    <s v="Yemen"/>
    <m/>
    <m/>
    <x v="3"/>
  </r>
  <r>
    <x v="10"/>
    <s v="Yemen"/>
    <s v="Yemen"/>
    <s v="YEM"/>
    <s v="People in need"/>
    <n v="14700000"/>
    <s v="Yemen"/>
    <m/>
    <m/>
    <x v="0"/>
  </r>
  <r>
    <x v="10"/>
    <s v="Yemen"/>
    <s v="Yemen"/>
    <s v="YEM"/>
    <s v="Funding received"/>
    <n v="781000000"/>
    <s v="Yemen"/>
    <m/>
    <m/>
    <x v="3"/>
  </r>
  <r>
    <x v="10"/>
    <s v="Yemen"/>
    <s v="Yemen"/>
    <s v="YEM"/>
    <s v="Funding requirements"/>
    <n v="1600000000"/>
    <s v="Yemen"/>
    <m/>
    <m/>
    <x v="3"/>
  </r>
  <r>
    <x v="10"/>
    <s v="Yemen"/>
    <s v="Yemen"/>
    <s v="YEM"/>
    <s v="People in need"/>
    <n v="15900000"/>
    <s v="Yemen"/>
    <m/>
    <m/>
    <x v="0"/>
  </r>
  <r>
    <x v="10"/>
    <s v="Yemen"/>
    <s v="Yemen"/>
    <s v="YEM"/>
    <s v="Funding received"/>
    <n v="935800000"/>
    <s v="Yemen"/>
    <m/>
    <m/>
    <x v="3"/>
  </r>
  <r>
    <x v="10"/>
    <s v="Yemen"/>
    <s v="Yemen"/>
    <s v="YEM"/>
    <s v="Funding requirements"/>
    <n v="1600000000"/>
    <s v="Yemen"/>
    <m/>
    <m/>
    <x v="3"/>
  </r>
  <r>
    <x v="10"/>
    <s v="Yemen"/>
    <s v="Yemen"/>
    <s v="YEM"/>
    <s v="People in need"/>
    <n v="21200000"/>
    <s v="Yemen"/>
    <m/>
    <m/>
    <x v="0"/>
  </r>
  <r>
    <x v="10"/>
    <s v="Yemen"/>
    <s v="Yemen"/>
    <s v="YEM"/>
    <s v="Funding received"/>
    <n v="1330000000"/>
    <s v="Yemen"/>
    <s v="Humanitarian Response Plan (HRP)"/>
    <m/>
    <x v="3"/>
  </r>
  <r>
    <x v="10"/>
    <s v="Yemen"/>
    <s v="Yemen"/>
    <s v="YEM"/>
    <s v="Funding requirements"/>
    <n v="2340000000"/>
    <s v="Yemen"/>
    <s v="Humanitarian Response Plan (HRP)"/>
    <m/>
    <x v="3"/>
  </r>
  <r>
    <x v="10"/>
    <s v="Zimbabwe"/>
    <s v="Zimbabwe"/>
    <s v="ZWE"/>
    <s v="Funding requirements"/>
    <n v="478399290"/>
    <s v="Zimbabwe"/>
    <s v="Consolidated Appeal Process (CAP)"/>
    <m/>
    <x v="3"/>
  </r>
  <r>
    <x v="10"/>
    <s v="Zimbabwe"/>
    <s v="Zimbabwe"/>
    <s v="ZWE"/>
    <s v="Funding received"/>
    <n v="226189188"/>
    <s v="Zimbabwe"/>
    <s v="Consolidated Appeal Process (CAP)"/>
    <m/>
    <x v="3"/>
  </r>
  <r>
    <x v="10"/>
    <s v="Yemen"/>
    <s v="Yemen"/>
    <s v="YEM"/>
    <s v="People in need"/>
    <n v="18800000"/>
    <s v="Yemen"/>
    <s v="Humanitarian Response Plan (HRP)"/>
    <m/>
    <x v="0"/>
  </r>
  <r>
    <x v="10"/>
    <s v="West Africa"/>
    <s v="West Africa"/>
    <m/>
    <s v="Funding received"/>
    <n v="286827637"/>
    <s v="West Africa"/>
    <s v="Consolidated Appeal Process (CAP)"/>
    <m/>
    <x v="3"/>
  </r>
  <r>
    <x v="10"/>
    <s v="Zimbabwe"/>
    <s v="Zimbabwe"/>
    <s v="ZWE"/>
    <s v="People targeted"/>
    <n v="8000000"/>
    <s v="Zimbabwe"/>
    <s v="Consolidated Appeal Process (CAP)"/>
    <m/>
    <x v="0"/>
  </r>
  <r>
    <x v="10"/>
    <s v="Zimbabwe"/>
    <s v="Zimbabwe"/>
    <s v="ZWE"/>
    <s v="Funding received"/>
    <n v="142500000"/>
    <s v="Zimbabwe"/>
    <m/>
    <m/>
    <x v="3"/>
  </r>
  <r>
    <x v="10"/>
    <s v="Zimbabwe"/>
    <s v="Zimbabwe"/>
    <s v="ZWE"/>
    <s v="Funding requirements"/>
    <n v="352300000"/>
    <s v="Zimbabwe"/>
    <m/>
    <m/>
    <x v="3"/>
  </r>
  <r>
    <x v="10"/>
    <s v="Zimbabwe"/>
    <s v="Zimbabwe"/>
    <s v="ZWE"/>
    <s v="People in need"/>
    <n v="4300000"/>
    <s v="Zimbabwe"/>
    <s v="Humanitarian Response Plan (HRP)"/>
    <m/>
    <x v="0"/>
  </r>
  <r>
    <x v="10"/>
    <s v="Myanmar"/>
    <s v="Myanmar"/>
    <s v="MMR"/>
    <s v="People in need"/>
    <n v="960000"/>
    <s v="Myanmar"/>
    <s v="Humanitarian Response Plan (HRP)"/>
    <m/>
    <x v="0"/>
  </r>
  <r>
    <x v="10"/>
    <s v="Zimbabwe"/>
    <s v="Zimbabwe"/>
    <s v="ZWE"/>
    <s v="Funding requirements"/>
    <n v="467900000"/>
    <s v="Zimbabwe"/>
    <s v="Flash appeal"/>
    <m/>
    <x v="3"/>
  </r>
  <r>
    <x v="10"/>
    <s v="Zimbabwe"/>
    <s v="Zimbabwe"/>
    <s v="ZWE"/>
    <s v="Funding received"/>
    <n v="206902892"/>
    <s v="Zimbabwe"/>
    <s v="Consolidated Appeal Process (CAP)"/>
    <m/>
    <x v="3"/>
  </r>
  <r>
    <x v="10"/>
    <s v="Zimbabwe"/>
    <s v="Zimbabwe"/>
    <s v="ZWE"/>
    <s v="Funding requirements"/>
    <n v="238444169"/>
    <s v="Zimbabwe"/>
    <s v="Consolidated Appeal Process (CAP)"/>
    <m/>
    <x v="3"/>
  </r>
  <r>
    <x v="10"/>
    <s v="Zimbabwe"/>
    <s v="Zimbabwe"/>
    <s v="ZWE"/>
    <s v="People targeted"/>
    <n v="4559084"/>
    <s v="Zimbabwe"/>
    <s v="Consolidated Appeal Process (CAP)"/>
    <m/>
    <x v="0"/>
  </r>
  <r>
    <x v="10"/>
    <s v="Zimbabwe"/>
    <s v="Zimbabwe"/>
    <s v="ZWE"/>
    <s v="People targeted"/>
    <n v="1700000"/>
    <s v="Zimbabwe"/>
    <s v="Other"/>
    <m/>
    <x v="0"/>
  </r>
  <r>
    <x v="10"/>
    <s v="Zimbabwe"/>
    <s v="Zimbabwe"/>
    <s v="ZWE"/>
    <s v="Funding received"/>
    <n v="76494116"/>
    <s v="Zimbabwe"/>
    <s v="Other"/>
    <m/>
    <x v="3"/>
  </r>
  <r>
    <x v="10"/>
    <s v="Zimbabwe"/>
    <s v="Zimbabwe"/>
    <s v="ZWE"/>
    <s v="Funding requirements"/>
    <n v="146971839"/>
    <s v="Zimbabwe"/>
    <s v="Other"/>
    <m/>
    <x v="3"/>
  </r>
  <r>
    <x v="10"/>
    <s v="Caribbean Regional Refugee Response Plan"/>
    <s v="Multiple Countries in the Caribbean"/>
    <m/>
    <s v="Funding received"/>
    <n v="4500000"/>
    <s v="Caribbean Regional Refugee Response Plan"/>
    <s v="Other"/>
    <m/>
    <x v="3"/>
  </r>
  <r>
    <x v="10"/>
    <s v="Caribbean Regional Refugee Response Plan"/>
    <s v="Multiple Countries in the Caribbean"/>
    <m/>
    <s v="Funding requirements"/>
    <n v="27100000"/>
    <s v="Caribbean Regional Refugee Response Plan"/>
    <s v="Other"/>
    <m/>
    <x v="3"/>
  </r>
  <r>
    <x v="10"/>
    <s v="Sahel"/>
    <s v="Multiple countries in the Sahel"/>
    <m/>
    <s v="Funding received"/>
    <n v="1200000"/>
    <s v="Sahel Regional"/>
    <m/>
    <m/>
    <x v="3"/>
  </r>
  <r>
    <x v="10"/>
    <s v="Sahel"/>
    <s v="Multiple countries in the Sahel"/>
    <m/>
    <s v="Funding requirements"/>
    <n v="4900000"/>
    <s v="Sahel Regional"/>
    <m/>
    <m/>
    <x v="3"/>
  </r>
  <r>
    <x v="10"/>
    <s v="Sahel Region"/>
    <s v="Multiple countries in the Sahel"/>
    <m/>
    <s v="Funding received"/>
    <n v="23300000"/>
    <s v="Sahel Regional"/>
    <m/>
    <m/>
    <x v="3"/>
  </r>
  <r>
    <x v="10"/>
    <s v="Sahel Region"/>
    <s v="Multiple countries in the Sahel"/>
    <m/>
    <s v="Funding requirements"/>
    <n v="49800000"/>
    <s v="Sahel Regional"/>
    <m/>
    <m/>
    <x v="3"/>
  </r>
  <r>
    <x v="10"/>
    <s v="Sahel Region"/>
    <s v="Multiple countries in the Sahel"/>
    <m/>
    <s v="Funding received"/>
    <n v="1600000"/>
    <s v="Sahel Regional"/>
    <m/>
    <m/>
    <x v="3"/>
  </r>
  <r>
    <x v="10"/>
    <s v="Sahel Region"/>
    <s v="Multiple countries in the Sahel"/>
    <m/>
    <s v="Funding requirements"/>
    <n v="10300000"/>
    <s v="Sahel Regional"/>
    <m/>
    <m/>
    <x v="3"/>
  </r>
  <r>
    <x v="10"/>
    <s v="Sahel Regional Plan"/>
    <s v="Multiple countries in the Sahel"/>
    <m/>
    <s v="People in need"/>
    <n v="20200000"/>
    <s v="Sahel Regional"/>
    <m/>
    <m/>
    <x v="0"/>
  </r>
  <r>
    <x v="10"/>
    <s v="Sahel Regional Plan"/>
    <s v="Multiple countries in the Sahel"/>
    <m/>
    <s v="People in need"/>
    <n v="20400000"/>
    <s v="Sahel Regional"/>
    <m/>
    <m/>
    <x v="0"/>
  </r>
  <r>
    <x v="5"/>
    <s v="West Africa"/>
    <s v="West Africa"/>
    <m/>
    <s v="People targeted"/>
    <n v="1534832"/>
    <s v="West Africa"/>
    <s v="Consolidated Appeal Process (CAP)"/>
    <m/>
    <x v="0"/>
  </r>
  <r>
    <x v="5"/>
    <s v="Yemen"/>
    <s v="Yemen"/>
    <s v="YEM"/>
    <s v="Funding received"/>
    <n v="2290000000"/>
    <s v="Yemen"/>
    <s v="Humanitarian Response Plan (HRP)"/>
    <m/>
    <x v="3"/>
  </r>
  <r>
    <x v="5"/>
    <s v="Zimbabwe"/>
    <s v="Zimbabwe"/>
    <s v="ZWE"/>
    <s v="Funding received"/>
    <n v="221723553"/>
    <s v="Zimbabwe"/>
    <s v="Consolidated Appeal Process (CAP)"/>
    <m/>
    <x v="3"/>
  </r>
  <r>
    <x v="5"/>
    <s v="Yemen"/>
    <s v="Yemen"/>
    <s v="YEM"/>
    <s v="Funding requirements"/>
    <n v="2960000000"/>
    <s v="Yemen"/>
    <s v="Humanitarian Response Plan (HRP)"/>
    <m/>
    <x v="3"/>
  </r>
  <r>
    <x v="5"/>
    <s v="Yemen"/>
    <s v="Yemen"/>
    <s v="YEM"/>
    <s v="People in need"/>
    <n v="22200000"/>
    <s v="Yemen"/>
    <s v="Humanitarian Response Plan (HRP)"/>
    <m/>
    <x v="0"/>
  </r>
  <r>
    <x v="5"/>
    <s v="Niger"/>
    <s v="Niger"/>
    <s v="NER"/>
    <s v="Funding received"/>
    <n v="221700000"/>
    <s v="Niger"/>
    <s v="Humanitarian Response Plan (HRP)"/>
    <m/>
    <x v="3"/>
  </r>
  <r>
    <x v="5"/>
    <s v="Yemen"/>
    <s v="Yemen"/>
    <s v="YEM"/>
    <s v="Funding requirements"/>
    <n v="4190000000.0000005"/>
    <s v="Yemen"/>
    <s v="Humanitarian Response Plan (HRP)"/>
    <m/>
    <x v="3"/>
  </r>
  <r>
    <x v="5"/>
    <s v="Iraq"/>
    <s v="Iraq"/>
    <s v="IRQ"/>
    <s v="Funding requirements"/>
    <n v="520000000"/>
    <s v="Iraq"/>
    <s v="Humanitarian Response Plan (HRP)"/>
    <m/>
    <x v="3"/>
  </r>
  <r>
    <x v="5"/>
    <s v="Niger"/>
    <s v="Niger"/>
    <s v="NER"/>
    <s v="People in need"/>
    <n v="2300000"/>
    <s v="Niger"/>
    <s v="Humanitarian Response Plan (HRP)"/>
    <m/>
    <x v="0"/>
  </r>
  <r>
    <x v="5"/>
    <s v="Niger"/>
    <s v="Niger"/>
    <s v="NER"/>
    <s v="People in need"/>
    <n v="3700000"/>
    <s v="Niger"/>
    <s v="Humanitarian Response Plan (HRP)"/>
    <m/>
    <x v="0"/>
  </r>
  <r>
    <x v="5"/>
    <s v="El Salvador Flash Appeal"/>
    <s v="El Salvador"/>
    <s v="SLW"/>
    <s v="Funding requirements"/>
    <n v="14781209"/>
    <s v="El Salvador Flash Appeal"/>
    <s v="Flash appeal"/>
    <m/>
    <x v="3"/>
  </r>
  <r>
    <x v="5"/>
    <s v="Yemen Humanitarian Response Plan"/>
    <s v="Yemen"/>
    <s v="YEM"/>
    <s v="Funding requirements"/>
    <n v="186121370"/>
    <s v="Yemen Humanitarian Response Plan"/>
    <s v="Consolidated Appeal Process (CAP)"/>
    <m/>
    <x v="3"/>
  </r>
  <r>
    <x v="5"/>
    <s v="Yemen Humanitarian Response Plan"/>
    <s v="Yemen"/>
    <s v="YEM"/>
    <s v="Funding received"/>
    <n v="121373288"/>
    <s v="Yemen Humanitarian Response Plan"/>
    <s v="Consolidated Appeal Process (CAP)"/>
    <m/>
    <x v="3"/>
  </r>
  <r>
    <x v="5"/>
    <s v="Nicaragua Flash Appeal"/>
    <s v="Nicaragua"/>
    <s v="NIC"/>
    <s v="Funding requirements"/>
    <n v="14840854"/>
    <s v="Nicaragua Flash Appeal"/>
    <s v="Flash appeal"/>
    <m/>
    <x v="3"/>
  </r>
  <r>
    <x v="5"/>
    <s v="Yemen Humanitarian Response Plan"/>
    <s v="Yemen"/>
    <s v="YEM"/>
    <s v="People targeted"/>
    <n v="3861100"/>
    <s v="Yemen Humanitarian Response Plan"/>
    <s v="Consolidated Appeal Process (CAP)"/>
    <m/>
    <x v="0"/>
  </r>
  <r>
    <x v="5"/>
    <s v="Yemen Humanitarian Response Plan"/>
    <s v="Yemen"/>
    <s v="YEM"/>
    <s v="Funding received"/>
    <n v="395844880"/>
    <s v="Yemen Humanitarian Response Plan"/>
    <s v="Consolidated Appeal Process (CAP)"/>
    <m/>
    <x v="3"/>
  </r>
  <r>
    <x v="5"/>
    <s v="Yemen Humanitarian Response Plan"/>
    <s v="Yemen"/>
    <s v="YEM"/>
    <s v="Funding requirements"/>
    <n v="705769562"/>
    <s v="Yemen Humanitarian Response Plan"/>
    <s v="Consolidated Appeal Process (CAP)"/>
    <m/>
    <x v="3"/>
  </r>
  <r>
    <x v="5"/>
    <s v="Yemen Humanitarian Response Plan"/>
    <s v="Yemen"/>
    <s v="YEM"/>
    <s v="Funding received"/>
    <n v="326374446"/>
    <s v="Yemen Humanitarian Response Plan"/>
    <s v="Consolidated Appeal Process (CAP)"/>
    <m/>
    <x v="3"/>
  </r>
  <r>
    <x v="5"/>
    <s v="Yemen Humanitarian Response Plan"/>
    <s v="Yemen"/>
    <s v="YEM"/>
    <s v="Funding requirements"/>
    <n v="585602868"/>
    <s v="Yemen Humanitarian Response Plan"/>
    <s v="Consolidated Appeal Process (CAP)"/>
    <m/>
    <x v="3"/>
  </r>
  <r>
    <x v="5"/>
    <s v="Yemen Humanitarian Response Plan"/>
    <s v="Yemen"/>
    <s v="YEM"/>
    <s v="People targeted"/>
    <n v="6055575"/>
    <s v="Yemen Humanitarian Response Plan"/>
    <s v="Consolidated Appeal Process (CAP)"/>
    <m/>
    <x v="0"/>
  </r>
  <r>
    <x v="5"/>
    <s v="Sri Lanka Floods Flash Appeal (Revised)"/>
    <s v="Sri Lanka"/>
    <s v="LKA"/>
    <s v="Funding requirements"/>
    <n v="46358480"/>
    <s v="Sri Lanka Floods Flash Appeal (Revised)"/>
    <s v="Flash appeal"/>
    <m/>
    <x v="3"/>
  </r>
  <r>
    <x v="5"/>
    <s v="Yemen Humanitarian Response Plan"/>
    <s v="Yemen"/>
    <s v="YEM"/>
    <s v="People targeted"/>
    <n v="7700000"/>
    <s v="Yemen Humanitarian Response Plan"/>
    <s v="Consolidated Appeal Process (CAP)"/>
    <m/>
    <x v="0"/>
  </r>
  <r>
    <x v="5"/>
    <s v="West Africa"/>
    <s v="West Africa"/>
    <m/>
    <s v="Funding requirements"/>
    <n v="712179158"/>
    <s v="West Africa"/>
    <s v="Consolidated Appeal Process (CAP)"/>
    <m/>
    <x v="3"/>
  </r>
  <r>
    <x v="5"/>
    <s v="Yemen Regional Refugee Response Plan"/>
    <s v="Yemen"/>
    <s v="YEM"/>
    <s v="Funding received"/>
    <n v="30300000"/>
    <s v="Yemen Regional Refugee Response Plan"/>
    <m/>
    <m/>
    <x v="3"/>
  </r>
  <r>
    <x v="5"/>
    <s v="Zimbabwe"/>
    <s v="Zimbabwe"/>
    <s v="ZWE"/>
    <s v="Funding requirements"/>
    <n v="478582358"/>
    <s v="Zimbabwe"/>
    <s v="Consolidated Appeal Process (CAP)"/>
    <m/>
    <x v="3"/>
  </r>
  <r>
    <x v="5"/>
    <s v="Yemen Regional Refugee Response Plan"/>
    <s v="Yemen"/>
    <s v="YEM"/>
    <s v="Funding requirements"/>
    <n v="94100000"/>
    <s v="Yemen Regional Refugee Response Plan"/>
    <m/>
    <m/>
    <x v="3"/>
  </r>
  <r>
    <x v="5"/>
    <s v="Yemen Regional Refugee Response Plan"/>
    <s v="Yemen"/>
    <s v="YEM"/>
    <s v="People in need"/>
    <n v="163980"/>
    <s v="Yemen Regional Refugee Response Plan"/>
    <m/>
    <m/>
    <x v="0"/>
  </r>
  <r>
    <x v="5"/>
    <s v="Sri Lanka Joint Plan of Assistance to the Northern Province (JPA)"/>
    <s v="Sri Lanka"/>
    <s v="LKA"/>
    <s v="Funding requirements"/>
    <n v="289746771"/>
    <s v="Sri Lanka Joint Plan of Assistance to the Northern Province (JPA)"/>
    <s v="Other"/>
    <m/>
    <x v="3"/>
  </r>
  <r>
    <x v="5"/>
    <s v="Yemen Humanitarian Response Plan"/>
    <s v="Yemen"/>
    <s v="YEM"/>
    <s v="Funding received"/>
    <n v="194389288"/>
    <s v="Yemen Humanitarian Response Plan"/>
    <s v="Consolidated Appeal Process (CAP)"/>
    <m/>
    <x v="3"/>
  </r>
  <r>
    <x v="5"/>
    <s v="Yemen Humanitarian Response Plan"/>
    <s v="Yemen"/>
    <s v="YEM"/>
    <s v="Funding requirements"/>
    <n v="292309700"/>
    <s v="Yemen Humanitarian Response Plan"/>
    <s v="Consolidated Appeal Process (CAP)"/>
    <m/>
    <x v="3"/>
  </r>
  <r>
    <x v="5"/>
    <s v="Sri Lanka Joint Plan of Assistance to the Northern Province (JPA)"/>
    <s v="Sri Lanka"/>
    <s v="LKA"/>
    <s v="Funding received"/>
    <n v="99533300"/>
    <s v="Sri Lanka Joint Plan of Assistance to the Northern Province (JPA)"/>
    <s v="Other"/>
    <m/>
    <x v="3"/>
  </r>
  <r>
    <x v="5"/>
    <s v="Nigeria"/>
    <s v="Nigeria"/>
    <s v="NGA"/>
    <s v="Funding received"/>
    <n v="504500000"/>
    <s v="Nigeria"/>
    <s v="Humanitarian Response Plan (HRP)"/>
    <m/>
    <x v="3"/>
  </r>
  <r>
    <x v="5"/>
    <s v="Iraq"/>
    <s v="Iraq"/>
    <s v="IRQ"/>
    <s v="Funding requirements"/>
    <n v="0"/>
    <s v="Iraq"/>
    <s v="Humanitarian response plan"/>
    <m/>
    <x v="2"/>
  </r>
  <r>
    <x v="5"/>
    <s v="Nigeria"/>
    <s v="Nigeria"/>
    <s v="NGA"/>
    <s v="People in need"/>
    <n v="7100000"/>
    <s v="Nigeria"/>
    <s v="Humanitarian Response Plan (HRP)"/>
    <m/>
    <x v="0"/>
  </r>
  <r>
    <x v="5"/>
    <s v="Nigeria"/>
    <s v="Nigeria"/>
    <s v="NGA"/>
    <s v="People in need"/>
    <n v="10600000"/>
    <s v="Nigeria"/>
    <s v="Humanitarian Response Plan (HRP)"/>
    <m/>
    <x v="0"/>
  </r>
  <r>
    <x v="5"/>
    <s v="occupied Palestinian territory"/>
    <s v="occupied Palestinian territory"/>
    <s v="PSE"/>
    <s v="Funding received"/>
    <n v="202600000"/>
    <s v="occupied Palestinian territory"/>
    <s v="Humanitarian Response Plan (HRP)"/>
    <m/>
    <x v="3"/>
  </r>
  <r>
    <x v="5"/>
    <s v="occupied Palestinian territory"/>
    <s v="occupied Palestinian territory"/>
    <s v="PSE"/>
    <s v="People in need"/>
    <n v="2500000"/>
    <s v="occupied Palestinian territory"/>
    <s v="Humanitarian Response Plan (HRP)"/>
    <m/>
    <x v="0"/>
  </r>
  <r>
    <x v="5"/>
    <s v="occupied Palestinian territory"/>
    <s v="occupied Palestinian territory"/>
    <s v="PSE"/>
    <s v="People in need"/>
    <n v="2400000"/>
    <s v="occupied Palestinian territory"/>
    <s v="Humanitarian Response Plan (HRP)"/>
    <m/>
    <x v="0"/>
  </r>
  <r>
    <x v="5"/>
    <s v="Pakistan"/>
    <s v="Pakistan"/>
    <s v="PAK"/>
    <s v="People in need"/>
    <n v="6710000"/>
    <s v="Pakistan"/>
    <s v="COVID-19"/>
    <s v="yes"/>
    <x v="0"/>
  </r>
  <r>
    <x v="5"/>
    <s v="Philippines"/>
    <s v="Philippines"/>
    <s v="PHL"/>
    <s v="People in need"/>
    <n v="39000000"/>
    <s v="Philippines"/>
    <s v="COVID-19"/>
    <s v="yes"/>
    <x v="0"/>
  </r>
  <r>
    <x v="5"/>
    <s v="Republic of Congo (Intersectoral)"/>
    <s v="Republic of Congo"/>
    <s v="COG"/>
    <s v="People in need"/>
    <n v="1700000"/>
    <s v="Republic Of Congo (Intersectoral)"/>
    <s v="COVID-19 (Intersectoral)"/>
    <s v="yes"/>
    <x v="0"/>
  </r>
  <r>
    <x v="5"/>
    <s v="Libya"/>
    <s v="Libya"/>
    <s v="LBY"/>
    <s v="Funding requirements"/>
    <n v="110000000"/>
    <s v="Libya"/>
    <s v="Humanitarian Response Plan (HRP)"/>
    <m/>
    <x v="3"/>
  </r>
  <r>
    <x v="5"/>
    <s v="Somalia"/>
    <s v="Somalia"/>
    <s v="SOM"/>
    <s v="Funding received"/>
    <n v="812300000"/>
    <s v="Somalia"/>
    <s v="Humanitarian Response Plan (HRP)"/>
    <m/>
    <x v="3"/>
  </r>
  <r>
    <x v="5"/>
    <s v="Somalia"/>
    <s v="Somalia"/>
    <s v="SOM"/>
    <s v="People in need"/>
    <n v="4200000"/>
    <s v="Somalia"/>
    <s v="Humanitarian Response Plan (HRP)"/>
    <m/>
    <x v="0"/>
  </r>
  <r>
    <x v="5"/>
    <s v="Somalia"/>
    <s v="Somalia"/>
    <s v="SOM"/>
    <s v="People in need"/>
    <n v="5200000"/>
    <s v="Somalia"/>
    <s v="Humanitarian Response Plan (HRP)"/>
    <m/>
    <x v="0"/>
  </r>
  <r>
    <x v="5"/>
    <s v="South Sudan"/>
    <s v="South Sudan"/>
    <s v="SSD"/>
    <s v="Funding received"/>
    <n v="1010000000"/>
    <s v="South Sudan"/>
    <s v="Humanitarian Response Plan (HRP)"/>
    <m/>
    <x v="3"/>
  </r>
  <r>
    <x v="5"/>
    <s v="Libya"/>
    <s v="Libya"/>
    <s v="LBY"/>
    <s v="Funding requirements"/>
    <n v="0"/>
    <s v="Libya"/>
    <s v="Humanitarian response plan"/>
    <m/>
    <x v="2"/>
  </r>
  <r>
    <x v="5"/>
    <s v="South Sudan Regional Refugee Response Plan"/>
    <s v="South Sudan"/>
    <s v="SSD"/>
    <s v="Funding received"/>
    <n v="348200000"/>
    <s v="South Sudan Regional"/>
    <s v="Refugee Response Plan"/>
    <m/>
    <x v="3"/>
  </r>
  <r>
    <x v="5"/>
    <s v="Mali"/>
    <s v="Mali"/>
    <s v="MLI"/>
    <s v="Funding requirements"/>
    <n v="365600000"/>
    <s v="Mali"/>
    <s v="Humanitarian Response Plan (HRP)"/>
    <m/>
    <x v="3"/>
  </r>
  <r>
    <x v="5"/>
    <s v="South Sudan"/>
    <s v="South Sudan"/>
    <s v="SSD"/>
    <s v="People in need"/>
    <n v="7200000"/>
    <s v="South Sudan"/>
    <s v="Humanitarian Response Plan (HRP)"/>
    <m/>
    <x v="0"/>
  </r>
  <r>
    <x v="5"/>
    <s v="Mali"/>
    <s v="Mali"/>
    <s v="MLI"/>
    <s v="Funding requirements"/>
    <n v="498000000"/>
    <s v="Mali"/>
    <s v="Humanitarian response plan"/>
    <m/>
    <x v="2"/>
  </r>
  <r>
    <x v="5"/>
    <s v="South Sudan Regional Refugee Response Plan"/>
    <s v="South Sudan"/>
    <s v="SSD"/>
    <s v="People in need"/>
    <n v="1500000"/>
    <s v="South Sudan Regional"/>
    <s v="Regional Response Plan"/>
    <m/>
    <x v="0"/>
  </r>
  <r>
    <x v="5"/>
    <s v="Mozambique"/>
    <s v="Mozambique"/>
    <s v="MOZ"/>
    <s v="Funding requirements"/>
    <n v="254400000"/>
    <s v="Mozambique"/>
    <s v="Humanitarian response plan"/>
    <m/>
    <x v="2"/>
  </r>
  <r>
    <x v="5"/>
    <s v="South Sudan"/>
    <s v="South Sudan"/>
    <s v="SSD"/>
    <s v="People in need"/>
    <n v="7500000"/>
    <s v="South Sudan"/>
    <s v="Humanitarian Response Plan (HRP)"/>
    <m/>
    <x v="0"/>
  </r>
  <r>
    <x v="5"/>
    <s v="Myanmar"/>
    <s v="Myanmar"/>
    <s v="MMR"/>
    <s v="Funding requirements"/>
    <n v="215000000"/>
    <s v="Myanmar"/>
    <s v="Humanitarian Response Plan (HRP)"/>
    <m/>
    <x v="3"/>
  </r>
  <r>
    <x v="5"/>
    <s v="South Sudan RRP"/>
    <s v="South Sudan"/>
    <s v="SSD"/>
    <s v="People in need"/>
    <n v="1220000"/>
    <s v="South Sudan RRP"/>
    <s v="Regional Response Plan"/>
    <m/>
    <x v="0"/>
  </r>
  <r>
    <x v="5"/>
    <s v="Myanmar"/>
    <s v="Myanmar"/>
    <s v="MMR"/>
    <s v="Funding requirements"/>
    <n v="276455940"/>
    <s v="Myanmar"/>
    <s v="Humanitarian response plan"/>
    <m/>
    <x v="2"/>
  </r>
  <r>
    <x v="5"/>
    <s v="Niger"/>
    <s v="Niger"/>
    <s v="NER"/>
    <s v="Funding requirements"/>
    <n v="373500000"/>
    <s v="Niger"/>
    <s v="Humanitarian Response Plan (HRP)"/>
    <m/>
    <x v="3"/>
  </r>
  <r>
    <x v="5"/>
    <s v="Sudan"/>
    <s v="Sudan"/>
    <s v="SDN"/>
    <s v="Funding received"/>
    <n v="582000000"/>
    <s v="Sudan"/>
    <s v="Humanitarian Response Plan (HRP)"/>
    <m/>
    <x v="3"/>
  </r>
  <r>
    <x v="5"/>
    <s v="Niger"/>
    <s v="Niger"/>
    <s v="NER"/>
    <s v="Funding requirements"/>
    <n v="500000000"/>
    <s v="Niger"/>
    <s v="Humanitarian response plan"/>
    <m/>
    <x v="2"/>
  </r>
  <r>
    <x v="5"/>
    <s v="Sudan"/>
    <s v="Sudan"/>
    <s v="SDN"/>
    <s v="People in need"/>
    <n v="5700000"/>
    <s v="Sudan"/>
    <s v="Humanitarian Response Plan (HRP)"/>
    <m/>
    <x v="0"/>
  </r>
  <r>
    <x v="5"/>
    <s v="Nigeria"/>
    <s v="Nigeria"/>
    <s v="NGA"/>
    <s v="Funding requirements"/>
    <n v="789000000"/>
    <s v="Nigeria"/>
    <s v="Humanitarian Response Plan (HRP)"/>
    <m/>
    <x v="3"/>
  </r>
  <r>
    <x v="5"/>
    <s v="Sudan"/>
    <s v="Sudan"/>
    <s v="SDN"/>
    <s v="People in need"/>
    <n v="12200000"/>
    <s v="Sudan"/>
    <s v="Humanitarian Response Plan (HRP)"/>
    <m/>
    <x v="0"/>
  </r>
  <r>
    <x v="5"/>
    <s v="Nigeria"/>
    <s v="Nigeria"/>
    <s v="NGA"/>
    <s v="Funding requirements"/>
    <n v="0"/>
    <s v="Nigeria"/>
    <s v="Humanitarian response plan"/>
    <m/>
    <x v="2"/>
  </r>
  <r>
    <x v="5"/>
    <s v="occupied Palestinian territory"/>
    <s v="occupied Palestinian territory"/>
    <s v="PSE"/>
    <s v="Funding requirements"/>
    <n v="348000000"/>
    <s v="occupied Palestinian territory"/>
    <s v="Humanitarian Response Plan (HRP)"/>
    <m/>
    <x v="3"/>
  </r>
  <r>
    <x v="5"/>
    <s v="Syria"/>
    <s v="Syria"/>
    <s v="SYR"/>
    <s v="Funding received"/>
    <n v="1730000000"/>
    <s v="Syria"/>
    <s v="Humanitarian Response Plan (HRP)"/>
    <m/>
    <x v="3"/>
  </r>
  <r>
    <x v="5"/>
    <s v="Syria Regional"/>
    <s v="Syria"/>
    <s v="SYR"/>
    <s v="Funding received"/>
    <n v="2009999999.9999998"/>
    <s v="Syria Regional"/>
    <s v="Refugee Response Plan"/>
    <m/>
    <x v="3"/>
  </r>
  <r>
    <x v="5"/>
    <s v="occupied Palestinian territory"/>
    <s v="occupied Palestinian territory"/>
    <s v="PSE"/>
    <s v="Funding requirements"/>
    <n v="417567330"/>
    <s v="occupied Palestinian territory"/>
    <s v="Humanitarian response plan"/>
    <m/>
    <x v="2"/>
  </r>
  <r>
    <x v="5"/>
    <s v="Syria"/>
    <s v="Syria"/>
    <s v="SYR"/>
    <s v="People in need"/>
    <n v="11700000"/>
    <s v="Syria"/>
    <s v="Humanitarian Response Plan (HRP)"/>
    <m/>
    <x v="0"/>
  </r>
  <r>
    <x v="5"/>
    <s v="Pakistan"/>
    <s v="Pakistan"/>
    <s v="PAK"/>
    <s v="Funding requirements"/>
    <n v="0"/>
    <s v="Pakistan"/>
    <s v="Humanitarian response plan"/>
    <m/>
    <x v="2"/>
  </r>
  <r>
    <x v="5"/>
    <s v="Syria Regional"/>
    <s v="Syria"/>
    <s v="SYR"/>
    <s v="People in need"/>
    <n v="5600000"/>
    <s v="Syria Regional"/>
    <s v="Regional Response Plan"/>
    <m/>
    <x v="0"/>
  </r>
  <r>
    <x v="5"/>
    <s v="Syria"/>
    <s v="Syria"/>
    <s v="SYR"/>
    <s v="People in need"/>
    <n v="11100000"/>
    <s v="Syria"/>
    <s v="Humanitarian Response Plan (HRP)"/>
    <m/>
    <x v="0"/>
  </r>
  <r>
    <x v="5"/>
    <s v="Rohingyas (JRP)"/>
    <s v="Myanmar"/>
    <m/>
    <s v="Funding requirements"/>
    <n v="0"/>
    <s v="Rohingyas (JRP)"/>
    <s v="Regional Response Plan"/>
    <m/>
    <x v="2"/>
  </r>
  <r>
    <x v="5"/>
    <s v="Somalia"/>
    <s v="Somalia"/>
    <s v="SOM"/>
    <s v="Funding requirements"/>
    <n v="1030000000"/>
    <s v="Somalia"/>
    <s v="Humanitarian Response Plan (HRP)"/>
    <m/>
    <x v="3"/>
  </r>
  <r>
    <x v="5"/>
    <s v="Syria 3RP"/>
    <s v="Syria"/>
    <s v="SYR"/>
    <s v="People in need"/>
    <n v="10000000"/>
    <s v="Syria 3RP"/>
    <s v="Regional Response Plan"/>
    <m/>
    <x v="0"/>
  </r>
  <r>
    <x v="5"/>
    <s v="Somalia"/>
    <s v="Somalia"/>
    <s v="SOM"/>
    <s v="Funding requirements"/>
    <n v="0"/>
    <s v="Somalia"/>
    <s v="Humanitarian response plan"/>
    <m/>
    <x v="2"/>
  </r>
  <r>
    <x v="5"/>
    <s v="South Sudan"/>
    <s v="South Sudan"/>
    <s v="SSD"/>
    <s v="Funding requirements"/>
    <n v="1540000000"/>
    <s v="South Sudan"/>
    <s v="Humanitarian Response Plan (HRP)"/>
    <m/>
    <x v="3"/>
  </r>
  <r>
    <x v="5"/>
    <s v="Tanzania (Intersectoral)"/>
    <s v="Tanzania"/>
    <s v="TZA"/>
    <s v="People in need"/>
    <n v="11100000"/>
    <s v="Tanzania (Intersectoral)"/>
    <s v="COVID-19 (Intersectoral)"/>
    <s v="yes"/>
    <x v="0"/>
  </r>
  <r>
    <x v="5"/>
    <s v="South Sudan"/>
    <s v="South Sudan"/>
    <s v="SSD"/>
    <s v="Funding requirements"/>
    <n v="1500000000"/>
    <s v="South Sudan"/>
    <s v="Humanitarian response plan"/>
    <m/>
    <x v="2"/>
  </r>
  <r>
    <x v="5"/>
    <s v="Togo"/>
    <s v="Togo"/>
    <s v="TGO"/>
    <s v="People in need"/>
    <n v="3500000"/>
    <s v="Togo"/>
    <s v="COVID-19"/>
    <s v="yes"/>
    <x v="0"/>
  </r>
  <r>
    <x v="5"/>
    <s v="Uganda (Intersectoral)"/>
    <s v="Uganda"/>
    <s v="UGA"/>
    <s v="People in need"/>
    <n v="13570000"/>
    <s v="Uganda (Intersectoral)"/>
    <s v="COVID-19 (Intersectoral)"/>
    <s v="yes"/>
    <x v="0"/>
  </r>
  <r>
    <x v="11"/>
    <s v="South Sudan (RRP)"/>
    <s v="South Sudan"/>
    <s v="SSD"/>
    <s v="Funding requirements"/>
    <n v="868677970"/>
    <s v="South Sudan"/>
    <s v="Regional Response Plan"/>
    <m/>
    <x v="2"/>
  </r>
  <r>
    <x v="11"/>
    <s v="South Sudan Regional Refugee Response Plan"/>
    <s v="South Sudan"/>
    <s v="SSD"/>
    <s v="Funding requirements"/>
    <n v="951000000"/>
    <s v="South Sudan Regional"/>
    <s v="Refugee Response Plan"/>
    <m/>
    <x v="3"/>
  </r>
  <r>
    <x v="11"/>
    <s v="Ukraine"/>
    <s v="Ukraine"/>
    <s v="UKR"/>
    <s v="Funding received"/>
    <n v="81100000"/>
    <s v="Ukraine"/>
    <s v="Humanitarian Response Plan (HRP)"/>
    <m/>
    <x v="3"/>
  </r>
  <r>
    <x v="11"/>
    <s v="Sudan"/>
    <s v="Sudan"/>
    <s v="SDN"/>
    <s v="Funding requirements"/>
    <n v="1400000000"/>
    <s v="Sudan"/>
    <s v="Humanitarian Response Plan (HRP)"/>
    <m/>
    <x v="3"/>
  </r>
  <r>
    <x v="11"/>
    <s v="Ukraine"/>
    <s v="Ukraine"/>
    <s v="UKR"/>
    <s v="People in need"/>
    <n v="3500000"/>
    <s v="Ukraine"/>
    <s v="Humanitarian Response Plan (HRP)"/>
    <m/>
    <x v="0"/>
  </r>
  <r>
    <x v="11"/>
    <s v="Ukraine"/>
    <s v="Ukraine"/>
    <s v="UKR"/>
    <s v="People in need"/>
    <n v="3400000"/>
    <s v="Ukraine"/>
    <s v="Humanitarian Response Plan (HRP)"/>
    <m/>
    <x v="0"/>
  </r>
  <r>
    <x v="11"/>
    <s v="Sudan"/>
    <s v="Sudan"/>
    <s v="SDN"/>
    <s v="Funding requirements"/>
    <n v="0"/>
    <s v="Sudan"/>
    <s v="Humanitarian response plan"/>
    <m/>
    <x v="2"/>
  </r>
  <r>
    <x v="11"/>
    <s v="Syria"/>
    <s v="Syria"/>
    <s v="SYR"/>
    <s v="Funding requirements"/>
    <n v="3300000000"/>
    <s v="Syria"/>
    <s v="Humanitarian Response Plan (HRP)"/>
    <m/>
    <x v="3"/>
  </r>
  <r>
    <x v="11"/>
    <s v="Venezuela"/>
    <s v="Venezuela"/>
    <s v="VEN"/>
    <s v="Funding received"/>
    <n v="55500000"/>
    <s v="Venezuela"/>
    <s v="Humanitarian Response Plan (HRP)"/>
    <m/>
    <x v="3"/>
  </r>
  <r>
    <x v="11"/>
    <s v="Syria"/>
    <s v="Syria"/>
    <s v="SYR"/>
    <s v="Funding requirements"/>
    <n v="4200000000"/>
    <s v="Syria"/>
    <s v="Humanitarian response plan"/>
    <m/>
    <x v="2"/>
  </r>
  <r>
    <x v="11"/>
    <s v="Venezuela Regional"/>
    <s v="Venezuela"/>
    <s v="VEN"/>
    <s v="Funding received"/>
    <n v="382600000"/>
    <s v="Venezuela Regional"/>
    <s v="Other"/>
    <m/>
    <x v="3"/>
  </r>
  <r>
    <x v="11"/>
    <s v="Venezuela"/>
    <s v="Venezuela"/>
    <s v="VEN"/>
    <s v="People in need"/>
    <n v="7000000"/>
    <s v="Venezuela"/>
    <s v="Humanitarian Response Plan (HRP)"/>
    <m/>
    <x v="0"/>
  </r>
  <r>
    <x v="11"/>
    <s v="Syria Refugee Response and Resilience Plan (3RP)"/>
    <s v="Syria Refugee Response and Resilience Plan"/>
    <s v="SYR"/>
    <s v="Funding requirements"/>
    <n v="5841000000"/>
    <s v="Syria Refugee Response and Resilience Plan"/>
    <s v="Regional Response Plan"/>
    <m/>
    <x v="2"/>
  </r>
  <r>
    <x v="11"/>
    <s v="Syria Regional"/>
    <s v="Syria"/>
    <s v="SYR"/>
    <s v="Funding requirements"/>
    <n v="5200000000"/>
    <s v="Syria Regional"/>
    <s v="Refugee Response Plan"/>
    <m/>
    <x v="3"/>
  </r>
  <r>
    <x v="11"/>
    <s v="Venezuela Regional"/>
    <s v="Venezuela"/>
    <s v="VEN"/>
    <s v="People in need"/>
    <n v="3600000"/>
    <s v="Venezuela Regional"/>
    <s v="Other"/>
    <m/>
    <x v="0"/>
  </r>
  <r>
    <x v="11"/>
    <s v="The Horn of Africa and Yemen (MRP)"/>
    <s v="The Horn of Africa and Yemen"/>
    <m/>
    <s v="Funding requirements"/>
    <n v="68193940"/>
    <s v="The Horn of Africa and Yemen"/>
    <s v="Regional Response Plan"/>
    <m/>
    <x v="2"/>
  </r>
  <r>
    <x v="11"/>
    <s v="Venezuela"/>
    <s v="Venezuela"/>
    <s v="VEN"/>
    <s v="People in need"/>
    <n v="7000000"/>
    <s v="Venezuela"/>
    <s v="Humanitarian Response Plan (HRP)"/>
    <m/>
    <x v="0"/>
  </r>
  <r>
    <x v="11"/>
    <s v="Ukraine"/>
    <s v="Ukraine"/>
    <s v="UKR"/>
    <s v="Funding requirements"/>
    <n v="157800000"/>
    <s v="Ukraine"/>
    <s v="Humanitarian Response Plan (HRP)"/>
    <m/>
    <x v="3"/>
  </r>
  <r>
    <x v="11"/>
    <s v="Venezuela RMRP"/>
    <s v="Venezuela"/>
    <s v="VEN"/>
    <s v="People in need"/>
    <n v="6100000"/>
    <s v="Venezuela RMRP"/>
    <s v="Regional Response Plan"/>
    <m/>
    <x v="0"/>
  </r>
  <r>
    <x v="11"/>
    <s v="Ukraine"/>
    <s v="Ukraine"/>
    <s v="UKR"/>
    <s v="Funding requirements"/>
    <n v="0"/>
    <s v="Ukraine"/>
    <s v="Humanitarian response plan"/>
    <m/>
    <x v="2"/>
  </r>
  <r>
    <x v="11"/>
    <s v="Venezuela"/>
    <s v="Venezuela"/>
    <s v="VEN"/>
    <s v="Funding requirements"/>
    <n v="750000000"/>
    <s v="Venezuela"/>
    <s v="Humanitarian Response Plan (HRP)"/>
    <m/>
    <x v="3"/>
  </r>
  <r>
    <x v="11"/>
    <s v="Yemen"/>
    <s v="Yemen"/>
    <s v="YEM"/>
    <s v="Funding received"/>
    <n v="2970000000"/>
    <s v="Yemen"/>
    <s v="Humanitarian Response Plan (HRP)"/>
    <m/>
    <x v="3"/>
  </r>
  <r>
    <x v="11"/>
    <s v="Yemen"/>
    <s v="Yemen"/>
    <s v="YEM"/>
    <s v="People in need"/>
    <n v="24100000"/>
    <s v="Yemen"/>
    <s v="Humanitarian Response Plan (HRP)"/>
    <m/>
    <x v="0"/>
  </r>
  <r>
    <x v="11"/>
    <s v="Venezuela"/>
    <s v="Venezuela"/>
    <s v="VEN"/>
    <s v="Funding requirements"/>
    <n v="762500000"/>
    <s v="Venezuela"/>
    <s v="Humanitarian response plan"/>
    <m/>
    <x v="2"/>
  </r>
  <r>
    <x v="11"/>
    <s v="Yemen"/>
    <s v="Yemen"/>
    <s v="YEM"/>
    <s v="People in need"/>
    <n v="24300000"/>
    <s v="Yemen"/>
    <s v="Humanitarian Response Plan (HRP)"/>
    <m/>
    <x v="0"/>
  </r>
  <r>
    <x v="11"/>
    <s v="Venezuela (RMRP)"/>
    <s v="Venezuela"/>
    <s v="VEN"/>
    <s v="Funding requirements"/>
    <n v="1436993560"/>
    <s v="Venezuela"/>
    <s v="Regional Response Plan"/>
    <m/>
    <x v="2"/>
  </r>
  <r>
    <x v="11"/>
    <s v="Venezuela Regional"/>
    <s v="Venezuela"/>
    <s v="VEN"/>
    <s v="Funding requirements"/>
    <n v="1350000000"/>
    <s v="Venezuela Regional"/>
    <s v="Other"/>
    <m/>
    <x v="3"/>
  </r>
  <r>
    <x v="11"/>
    <s v="Yemen"/>
    <s v="Yemen"/>
    <s v="YEM"/>
    <s v="Funding requirements"/>
    <n v="3200000000"/>
    <s v="Yemen"/>
    <s v="Humanitarian Response Plan (HRP)"/>
    <m/>
    <x v="3"/>
  </r>
  <r>
    <x v="11"/>
    <s v="Zambia (Intersectoral)"/>
    <s v="Zambia"/>
    <s v="ZMB"/>
    <s v="People in need"/>
    <n v="9790000"/>
    <s v="Zambia (Intersectoral)"/>
    <s v="COVID-19 (Intersectoral)"/>
    <s v="yes"/>
    <x v="0"/>
  </r>
  <r>
    <x v="11"/>
    <s v="Yemen"/>
    <s v="Yemen"/>
    <s v="YEM"/>
    <s v="Funding requirements"/>
    <n v="0"/>
    <s v="Yemen"/>
    <s v="Humanitarian response plan"/>
    <m/>
    <x v="2"/>
  </r>
  <r>
    <x v="11"/>
    <s v="Zimbabwe"/>
    <s v="Zimbabwe"/>
    <s v="ZWE"/>
    <s v="Funding received"/>
    <n v="233300000"/>
    <s v="Zimbabwe"/>
    <s v="Flash appeal"/>
    <m/>
    <x v="3"/>
  </r>
  <r>
    <x v="11"/>
    <s v="Zimbabwe"/>
    <s v="Zimbabwe"/>
    <s v="ZWE"/>
    <s v="People in need"/>
    <n v="5300000"/>
    <s v="Zimbabwe"/>
    <s v="Humanitarian Flash Appeal"/>
    <m/>
    <x v="0"/>
  </r>
  <r>
    <x v="11"/>
    <s v="Zimbabwe"/>
    <s v="Zimbabwe"/>
    <s v="ZWE"/>
    <s v="People in need"/>
    <n v="7500000"/>
    <s v="Zimbabwe"/>
    <s v="Humanitarian Response Plan (HRP)"/>
    <m/>
    <x v="0"/>
  </r>
  <r>
    <x v="11"/>
    <s v="Zimbabwe"/>
    <s v="Zimbabwe"/>
    <s v="ZWE"/>
    <s v="Funding requirements"/>
    <n v="0"/>
    <s v="Zimbabwe"/>
    <s v="Humanitarian response plan"/>
    <m/>
    <x v="2"/>
  </r>
  <r>
    <x v="11"/>
    <s v="Burkina Faso"/>
    <s v="Burkina Faso"/>
    <s v="BFA"/>
    <s v="People in need"/>
    <n v="3533773"/>
    <s v="Burkina Faso"/>
    <s v="Humanitarian Response Plan (HRP)"/>
    <s v="yes"/>
    <x v="0"/>
  </r>
  <r>
    <x v="11"/>
    <s v="Burundi"/>
    <s v="Burundi"/>
    <s v="BDI"/>
    <s v="People in need"/>
    <n v="2255830"/>
    <s v="Burundi"/>
    <s v="Humanitarian Response Plan (HRP)"/>
    <s v="yes"/>
    <x v="0"/>
  </r>
  <r>
    <x v="11"/>
    <s v="Cameroon"/>
    <s v="Cameroon"/>
    <s v="CMR"/>
    <s v="People in need"/>
    <n v="4406243"/>
    <s v="Cameroon"/>
    <s v="Humanitarian Response Plan (HRP)"/>
    <s v="yes"/>
    <x v="0"/>
  </r>
  <r>
    <x v="11"/>
    <s v="Central African Republic"/>
    <s v="Central African Republic"/>
    <s v="CAF"/>
    <s v="People in need"/>
    <n v="2800000"/>
    <s v="Central African Republic"/>
    <s v="Humanitarian Response Plan (HRP)"/>
    <s v="yes"/>
    <x v="0"/>
  </r>
  <r>
    <x v="11"/>
    <s v="Chad"/>
    <s v="Chad"/>
    <s v="TCD"/>
    <s v="People in need"/>
    <n v="5496653"/>
    <s v="Chad"/>
    <s v="Humanitarian Response Plan (HRP)"/>
    <s v="yes"/>
    <x v="0"/>
  </r>
  <r>
    <x v="11"/>
    <s v="Colombia"/>
    <s v="Colombia"/>
    <s v="COL"/>
    <s v="People in need"/>
    <n v="6731041"/>
    <s v="Colombia"/>
    <s v="Humanitarian Response Plan (HRP)"/>
    <s v="yes"/>
    <x v="0"/>
  </r>
  <r>
    <x v="11"/>
    <s v="Democratic Republic of Congo"/>
    <s v="Democratic Republic of Congo"/>
    <s v="COD"/>
    <s v="People in need"/>
    <n v="19616782"/>
    <s v="Democratic Republic of Congo"/>
    <s v="Humanitarian Response Plan (HRP)"/>
    <s v="yes"/>
    <x v="0"/>
  </r>
  <r>
    <x v="11"/>
    <s v="Haiti"/>
    <s v="Haiti"/>
    <s v="HTI"/>
    <s v="People in need"/>
    <n v="4400000"/>
    <s v="Haiti"/>
    <s v="Humanitarian Response Plan (HRP)"/>
    <s v="yes"/>
    <x v="0"/>
  </r>
  <r>
    <x v="11"/>
    <s v="Iraq"/>
    <s v="Iraq"/>
    <s v="IRQ"/>
    <s v="People in need"/>
    <n v="4100000"/>
    <s v="Iraq"/>
    <s v="Humanitarian Response Plan (HRP)"/>
    <s v="yes"/>
    <x v="0"/>
  </r>
  <r>
    <x v="11"/>
    <s v="Libya"/>
    <s v="Libya"/>
    <s v="LBY"/>
    <s v="People in need"/>
    <n v="1250662"/>
    <s v="Libya"/>
    <s v="Humanitarian Response Plan (HRP)"/>
    <s v="yes"/>
    <x v="0"/>
  </r>
  <r>
    <x v="11"/>
    <s v="Mali"/>
    <s v="Mali"/>
    <s v="MLI"/>
    <s v="People in need"/>
    <n v="5917269"/>
    <s v="Mali"/>
    <s v="Humanitarian Response Plan (HRP)"/>
    <s v="yes"/>
    <x v="0"/>
  </r>
  <r>
    <x v="11"/>
    <s v="Mozambique"/>
    <s v="Mozambique"/>
    <s v="MOZ"/>
    <s v="People in need"/>
    <n v="1326777"/>
    <s v="Mozambique"/>
    <s v="Humanitarian Response Plan (HRP)"/>
    <s v="yes"/>
    <x v="0"/>
  </r>
  <r>
    <x v="11"/>
    <s v="Myanmar"/>
    <s v="Myanmar"/>
    <s v="MMR"/>
    <s v="People in need"/>
    <n v="1035782"/>
    <s v="Myanmar"/>
    <s v="Humanitarian Response Plan (HRP)"/>
    <s v="yes"/>
    <x v="0"/>
  </r>
  <r>
    <x v="11"/>
    <s v="Niger"/>
    <s v="Niger"/>
    <s v="NER"/>
    <s v="People in need"/>
    <n v="3821659"/>
    <s v="Niger"/>
    <s v="Humanitarian Response Plan (HRP)"/>
    <s v="yes"/>
    <x v="0"/>
  </r>
  <r>
    <x v="11"/>
    <s v="Nigeria"/>
    <s v="Nigeria"/>
    <s v="NGA"/>
    <s v="People in need"/>
    <n v="8700000"/>
    <s v="Nigeria"/>
    <s v="Humanitarian Response Plan (HRP)"/>
    <s v="yes"/>
    <x v="0"/>
  </r>
  <r>
    <x v="11"/>
    <s v="occupied Palestinian territory"/>
    <s v="occupied Palestinian territory"/>
    <s v="PSE"/>
    <s v="People in need"/>
    <n v="2400000"/>
    <s v="occupied Palestinian territory"/>
    <s v="Humanitarian Response Plan (HRP)"/>
    <s v="yes"/>
    <x v="0"/>
  </r>
  <r>
    <x v="11"/>
    <s v="Pakistan"/>
    <s v="Pakistan"/>
    <s v="PAK"/>
    <s v="People in need"/>
    <n v="11000000"/>
    <s v="Pakistan"/>
    <s v="Humanitarian Response Plan (HRP)"/>
    <s v="yes"/>
    <x v="0"/>
  </r>
  <r>
    <x v="11"/>
    <s v="Somalia"/>
    <s v="Somalia"/>
    <s v="SOM"/>
    <s v="People in need"/>
    <n v="5932722"/>
    <s v="Somalia"/>
    <s v="Humanitarian Response Plan (HRP)"/>
    <s v="yes"/>
    <x v="0"/>
  </r>
  <r>
    <x v="11"/>
    <s v="South Sudan"/>
    <s v="South Sudan"/>
    <s v="SSD"/>
    <s v="People in need"/>
    <n v="8310533"/>
    <s v="South Sudan"/>
    <s v="Humanitarian Response Plan (HRP)"/>
    <s v="yes"/>
    <x v="0"/>
  </r>
  <r>
    <x v="11"/>
    <s v="Sudan"/>
    <s v="Sudan"/>
    <s v="SDN"/>
    <s v="People in need"/>
    <n v="13446501"/>
    <s v="Sudan"/>
    <s v="Humanitarian Response Plan (HRP)"/>
    <s v="yes"/>
    <x v="0"/>
  </r>
  <r>
    <x v="11"/>
    <s v="Syria"/>
    <s v="Syria"/>
    <s v="SYR"/>
    <s v="People in need"/>
    <n v="13000000"/>
    <s v="Syria"/>
    <s v="Humanitarian Response Plan (HRP)"/>
    <s v="yes"/>
    <x v="0"/>
  </r>
  <r>
    <x v="11"/>
    <s v="Ukraine"/>
    <s v="Ukraine"/>
    <s v="UKR"/>
    <s v="People in need"/>
    <n v="3400000"/>
    <s v="Ukraine"/>
    <s v="Humanitarian Response Plan (HRP)"/>
    <s v="yes"/>
    <x v="0"/>
  </r>
  <r>
    <x v="11"/>
    <s v="Venezuela"/>
    <s v="Venezuela"/>
    <s v="VEN"/>
    <s v="People in need"/>
    <n v="7000000"/>
    <s v="Venezuela"/>
    <s v="Humanitarian Response Plan (HRP)"/>
    <s v="yes"/>
    <x v="0"/>
  </r>
  <r>
    <x v="11"/>
    <s v="Yemen"/>
    <s v="Yemen"/>
    <s v="YEM"/>
    <s v="People in need"/>
    <n v="20700000"/>
    <s v="Yemen"/>
    <s v="Humanitarian Response Plan (HRP)"/>
    <s v="yes"/>
    <x v="0"/>
  </r>
  <r>
    <x v="11"/>
    <s v="Zimbabwe"/>
    <s v="Zimbabwe"/>
    <s v="ZWE"/>
    <s v="People in need"/>
    <n v="6800000"/>
    <s v="Zimbabwe"/>
    <s v="Humanitarian Response Plan (HRP)"/>
    <s v="yes"/>
    <x v="0"/>
  </r>
  <r>
    <x v="11"/>
    <s v="Honduras Flash Appeal"/>
    <s v="Honduras"/>
    <s v="HND"/>
    <s v="People in need"/>
    <n v="2300000"/>
    <s v="Honduras Flash Appeal"/>
    <s v="Flash Appeal (FA)"/>
    <m/>
    <x v="0"/>
  </r>
  <r>
    <x v="11"/>
    <s v="Madagascar Flash Appeal"/>
    <s v="Madagascar"/>
    <s v="MDG"/>
    <s v="People in need"/>
    <n v="1590000"/>
    <s v="Madagascar Flash Appeal"/>
    <s v="Flash Appeal (FA)"/>
    <m/>
    <x v="0"/>
  </r>
  <r>
    <x v="11"/>
    <s v="Rohingyas (JRP)"/>
    <s v="Myanmar"/>
    <m/>
    <s v="People in need"/>
    <n v="1300000"/>
    <s v="Rohingyas (JRP)"/>
    <s v="Regional Response Plan (RRP)"/>
    <m/>
    <x v="0"/>
  </r>
  <r>
    <x v="11"/>
    <s v="Burundi (RRP)"/>
    <s v="Burundi "/>
    <s v="BDI"/>
    <s v="People in need"/>
    <n v="552000"/>
    <s v="Burundi (RRP)"/>
    <s v="Regional Response Plan (RRP)"/>
    <m/>
    <x v="0"/>
  </r>
  <r>
    <x v="11"/>
    <s v="Democratic Republic of Congo (RRP)"/>
    <s v="Democratic Republic of Congo"/>
    <s v="COD"/>
    <s v="People in need"/>
    <n v="1951385"/>
    <s v="Democratic Republic of Congo (RRP)"/>
    <s v="Regional Response Plan (RRP)"/>
    <m/>
    <x v="0"/>
  </r>
  <r>
    <x v="11"/>
    <s v="Venezuela (RMRP)"/>
    <s v="Venezuela"/>
    <s v="VEN"/>
    <s v="People in need"/>
    <n v="7203586"/>
    <s v="Venezuela (RMRP)"/>
    <s v="Regional Response Plan (RRP)"/>
    <m/>
    <x v="0"/>
  </r>
  <r>
    <x v="11"/>
    <s v="The Horn of Africa and Yemen (MRP)"/>
    <s v="The Horn of Africa and Yemen"/>
    <m/>
    <s v="People in need"/>
    <n v="613667"/>
    <s v="The Horn of Africa and Yemen (MRP)"/>
    <s v="Regional Response Plan (RRP)"/>
    <m/>
    <x v="0"/>
  </r>
  <r>
    <x v="11"/>
    <s v="South Sudan (RRP)"/>
    <s v="South Sudan"/>
    <s v="SSD"/>
    <s v="People in need"/>
    <n v="4105000"/>
    <s v="South Sudan (RRP)"/>
    <s v="Regional Response Plan (RRP)"/>
    <m/>
    <x v="0"/>
  </r>
  <r>
    <x v="11"/>
    <s v="Syria Refugee Response and Resilience Plan (3RP)"/>
    <s v="Syria Refugee Response and Resilience Plan"/>
    <s v="SYR"/>
    <s v="People in need"/>
    <n v="10316142"/>
    <s v="Syria Refugee Response and Resilience Plan (3RP)"/>
    <s v="Regional Response Plan (RRP)"/>
    <m/>
    <x v="0"/>
  </r>
  <r>
    <x v="11"/>
    <s v="Nepal Covid-19 Response Plan 2021"/>
    <s v="Nepal"/>
    <s v="NPL"/>
    <s v="People in need"/>
    <n v="4900000"/>
    <s v="Nepal Covid-19 Response Plan 2021"/>
    <s v="Non Humanitarian Response Plan"/>
    <m/>
    <x v="0"/>
  </r>
  <r>
    <x v="11"/>
    <s v="Humanitarian Needs Overview El Salvador, Guatemala &amp; Honduras"/>
    <s v="El Salvador"/>
    <s v="SLV"/>
    <s v="People in need"/>
    <n v="1700000"/>
    <s v="Humanitarian Needs Overview El Salvador, Guatemala &amp; Honduras"/>
    <s v="Humanitarian Response Plan (HRP)"/>
    <s v="yes"/>
    <x v="0"/>
  </r>
  <r>
    <x v="11"/>
    <s v="Humanitarian Needs Overview El Salvador, Guatemala &amp; Honduras"/>
    <s v="Guatemala"/>
    <s v="GTM"/>
    <s v="People in need"/>
    <n v="3800000"/>
    <s v="Humanitarian Needs Overview El Salvador, Guatemala &amp; Honduras"/>
    <s v="Humanitarian Response Plan (HRP)"/>
    <s v="yes"/>
    <x v="0"/>
  </r>
  <r>
    <x v="11"/>
    <s v="Humanitarian Needs Overview El Salvador, Guatemala &amp; Honduras"/>
    <s v="Honduras"/>
    <s v="HND"/>
    <s v="People in need"/>
    <n v="2800000"/>
    <s v="Humanitarian Needs Overview El Salvador, Guatemala &amp; Honduras"/>
    <s v="Humanitarian Response Plan (HRP)"/>
    <s v="yes"/>
    <x v="0"/>
  </r>
  <r>
    <x v="12"/>
    <s v="Afghanistan"/>
    <s v="Afghanistan"/>
    <s v="AFG"/>
    <s v="People in need"/>
    <n v="24380455"/>
    <s v="Afghanistan"/>
    <s v="HRP"/>
    <m/>
    <x v="0"/>
  </r>
  <r>
    <x v="12"/>
    <s v="Burkina Faso"/>
    <s v="Burkina Faso"/>
    <s v="BFA"/>
    <s v="People in need"/>
    <n v="4889324"/>
    <s v="Burkina Faso"/>
    <s v="HRP"/>
    <m/>
    <x v="0"/>
  </r>
  <r>
    <x v="12"/>
    <s v="Burundi"/>
    <s v="Burundi"/>
    <s v="BDI"/>
    <s v="People in need"/>
    <n v="1795961"/>
    <s v="Burundi"/>
    <s v="HRP"/>
    <m/>
    <x v="0"/>
  </r>
  <r>
    <x v="12"/>
    <s v="Cameroon"/>
    <s v="Cameroon"/>
    <s v="CMR"/>
    <s v="People in need"/>
    <n v="3934444"/>
    <s v="Cameroon"/>
    <s v="HRP"/>
    <m/>
    <x v="0"/>
  </r>
  <r>
    <x v="12"/>
    <s v="Central African Republic"/>
    <s v="Central African Republic"/>
    <s v="CAF"/>
    <s v="People in need"/>
    <n v="3053039"/>
    <s v="Central African Republic"/>
    <s v="HRP"/>
    <m/>
    <x v="0"/>
  </r>
  <r>
    <x v="12"/>
    <s v="Chad"/>
    <s v="Chad"/>
    <s v="TCD"/>
    <s v="People in need"/>
    <n v="6149509"/>
    <s v="Chad"/>
    <s v="HRP"/>
    <m/>
    <x v="0"/>
  </r>
  <r>
    <x v="12"/>
    <s v="Colombia"/>
    <s v="Colombia"/>
    <s v="COL"/>
    <s v="People in need"/>
    <n v="7693945"/>
    <s v="Colombia"/>
    <s v="HRP"/>
    <m/>
    <x v="0"/>
  </r>
  <r>
    <x v="12"/>
    <s v="Democratic Republic of the Congo"/>
    <s v="Democratic Republic of the Congo"/>
    <s v="COD"/>
    <s v="People in need"/>
    <n v="27026244"/>
    <s v="Democratic Republic of the Congo"/>
    <s v="HRP"/>
    <m/>
    <x v="0"/>
  </r>
  <r>
    <x v="12"/>
    <s v="El Salvador"/>
    <s v="El Salvador"/>
    <s v="SLV"/>
    <s v="People in need"/>
    <n v="1700000"/>
    <s v="El Salvador"/>
    <s v="HRP"/>
    <m/>
    <x v="0"/>
  </r>
  <r>
    <x v="12"/>
    <s v="Ethiopia"/>
    <s v="Ethiopia"/>
    <s v="ETH"/>
    <s v="People in need"/>
    <n v="20000000"/>
    <s v="Ethiopia"/>
    <s v="HRP"/>
    <m/>
    <x v="0"/>
  </r>
  <r>
    <x v="12"/>
    <s v="Guatemala"/>
    <s v="Guatemala"/>
    <s v="GTM"/>
    <s v="People in need"/>
    <n v="3800000"/>
    <s v="Guatemala"/>
    <s v="HRP"/>
    <m/>
    <x v="0"/>
  </r>
  <r>
    <x v="12"/>
    <s v="Haiti"/>
    <s v="Haiti"/>
    <s v="HTI"/>
    <s v="People in need"/>
    <n v="4896979"/>
    <s v="Haiti"/>
    <s v="HRP"/>
    <m/>
    <x v="0"/>
  </r>
  <r>
    <x v="12"/>
    <s v="Honduras"/>
    <s v="Honduras"/>
    <s v="HND"/>
    <s v="People in need"/>
    <n v="2800000"/>
    <s v="Honduras"/>
    <s v="HRP"/>
    <m/>
    <x v="0"/>
  </r>
  <r>
    <x v="12"/>
    <s v="Iraq"/>
    <s v="Iraq"/>
    <s v="IRQ"/>
    <s v="People in need"/>
    <n v="2454198"/>
    <s v="Iraq"/>
    <s v="HRP"/>
    <m/>
    <x v="0"/>
  </r>
  <r>
    <x v="12"/>
    <s v="Libya"/>
    <s v="Libya"/>
    <s v="LBY"/>
    <s v="People in need"/>
    <n v="803587"/>
    <s v="Libya"/>
    <s v="HRP"/>
    <m/>
    <x v="0"/>
  </r>
  <r>
    <x v="12"/>
    <s v="Mali"/>
    <s v="Mali"/>
    <s v="MLI"/>
    <s v="People in need"/>
    <n v="7522833"/>
    <s v="Mali"/>
    <s v="HRP"/>
    <m/>
    <x v="0"/>
  </r>
  <r>
    <x v="12"/>
    <s v="Mozambique"/>
    <s v="Mozambique"/>
    <s v="MOZ"/>
    <s v="People in need"/>
    <n v="1533924"/>
    <s v="Mozambique"/>
    <s v="HRP"/>
    <m/>
    <x v="0"/>
  </r>
  <r>
    <x v="12"/>
    <s v="Myanmar"/>
    <s v="Myanmar"/>
    <s v="MMR"/>
    <s v="People in need"/>
    <n v="14369336"/>
    <s v="Myanmar"/>
    <s v="HRP"/>
    <m/>
    <x v="0"/>
  </r>
  <r>
    <x v="12"/>
    <s v="Niger"/>
    <s v="Niger"/>
    <s v="NER"/>
    <s v="People in need"/>
    <n v="3654445"/>
    <s v="Niger"/>
    <s v="HRP"/>
    <m/>
    <x v="0"/>
  </r>
  <r>
    <x v="12"/>
    <s v="Nigeria"/>
    <s v="Nigeria"/>
    <s v="NGA"/>
    <s v="People in need"/>
    <n v="8364426"/>
    <s v="Nigeria"/>
    <s v="HRP"/>
    <m/>
    <x v="0"/>
  </r>
  <r>
    <x v="12"/>
    <s v="Occupied Palestinian Territory"/>
    <s v="Occupied Palestinian Territory"/>
    <s v="PSE"/>
    <s v="People in need"/>
    <n v="2075542"/>
    <s v="Occupied Palestinian Territory"/>
    <s v="HRP"/>
    <m/>
    <x v="0"/>
  </r>
  <r>
    <x v="12"/>
    <s v="Somalia"/>
    <s v="Somalia"/>
    <s v="SOM"/>
    <s v="People in need"/>
    <n v="7846888"/>
    <s v="Somalia"/>
    <s v="HRP"/>
    <m/>
    <x v="0"/>
  </r>
  <r>
    <x v="12"/>
    <s v="South Sudan"/>
    <s v="South Sudan"/>
    <s v="SSD"/>
    <s v="People in need"/>
    <n v="8872746"/>
    <s v="South Sudan"/>
    <s v="HRP"/>
    <m/>
    <x v="0"/>
  </r>
  <r>
    <x v="12"/>
    <s v="Sudan"/>
    <s v="Sudan"/>
    <s v="SDN"/>
    <s v="People in need"/>
    <n v="14257653"/>
    <s v="Sudan"/>
    <s v="HRP"/>
    <m/>
    <x v="0"/>
  </r>
  <r>
    <x v="12"/>
    <s v="Syrian Arab Republic"/>
    <s v="Syrian Arab Republic"/>
    <s v="SYR"/>
    <s v="People in need"/>
    <n v="14560823"/>
    <s v="Syrian Arab Republic"/>
    <s v="HRP"/>
    <m/>
    <x v="0"/>
  </r>
  <r>
    <x v="12"/>
    <s v="Venezuela"/>
    <s v="Venezuela"/>
    <s v="VEN"/>
    <s v="People in need"/>
    <n v="7000000"/>
    <s v="Venezuela"/>
    <s v="HRP"/>
    <m/>
    <x v="0"/>
  </r>
  <r>
    <x v="12"/>
    <s v="Yemen"/>
    <s v="Yemen"/>
    <s v="YEM"/>
    <s v="People in need"/>
    <n v="23458603"/>
    <s v="Yemen"/>
    <s v="HRP"/>
    <m/>
    <x v="0"/>
  </r>
  <r>
    <x v="12"/>
    <s v="Haiti"/>
    <s v="Haiti"/>
    <s v="HTI"/>
    <s v="People in need"/>
    <n v="1600000"/>
    <s v="Haiti"/>
    <s v="FA"/>
    <m/>
    <x v="0"/>
  </r>
  <r>
    <x v="12"/>
    <s v="Kenya"/>
    <s v="Kenya"/>
    <s v="KEN"/>
    <s v="People in need"/>
    <n v="4460065"/>
    <s v="Kenya"/>
    <s v="FA"/>
    <m/>
    <x v="0"/>
  </r>
  <r>
    <x v="12"/>
    <s v="Madagascar"/>
    <s v="Madagascar"/>
    <s v="MDG"/>
    <s v="People in need"/>
    <n v="3300000"/>
    <s v="Madagascar"/>
    <s v="FA"/>
    <m/>
    <x v="0"/>
  </r>
  <r>
    <x v="12"/>
    <s v="Malawi"/>
    <s v="Malawi"/>
    <s v="MWI"/>
    <s v="People in need"/>
    <n v="679919"/>
    <s v="Malawi"/>
    <s v="FA"/>
    <m/>
    <x v="0"/>
  </r>
  <r>
    <x v="12"/>
    <s v="Mozambique"/>
    <s v="Mozambique"/>
    <s v="MOZ"/>
    <s v="People in need"/>
    <n v="599386"/>
    <s v="Mozambique"/>
    <s v="FA"/>
    <m/>
    <x v="0"/>
  </r>
  <r>
    <x v="12"/>
    <s v="Ukraine"/>
    <s v="Ukraine"/>
    <s v="UKR"/>
    <s v="People in need"/>
    <n v="17700000"/>
    <s v="Ukraine"/>
    <s v="FA"/>
    <m/>
    <x v="0"/>
  </r>
  <r>
    <x v="12"/>
    <s v="Afghanistan"/>
    <s v="Afghanistan"/>
    <s v="AFG"/>
    <s v="People in need"/>
    <n v="5702498"/>
    <s v="Afghanistan"/>
    <s v="RRP"/>
    <m/>
    <x v="0"/>
  </r>
  <r>
    <x v="12"/>
    <s v="Democratic Republic of the Congo"/>
    <s v="Democratic Republic of the Congo"/>
    <s v="COD"/>
    <s v="People in need"/>
    <n v="1217000"/>
    <s v="Democratic Republic of the Congo"/>
    <s v="RRP"/>
    <m/>
    <x v="0"/>
  </r>
  <r>
    <x v="12"/>
    <s v="Rohingya (JRP)"/>
    <s v="Myanmar"/>
    <s v="MMR"/>
    <s v="People in need"/>
    <n v="1459862"/>
    <s v="Rohingya (JRP)"/>
    <s v="RRP"/>
    <m/>
    <x v="0"/>
  </r>
  <r>
    <x v="12"/>
    <s v="South Sudan"/>
    <s v="South Sudan"/>
    <s v="SSD"/>
    <s v="People in need"/>
    <n v="2560600"/>
    <s v="South Sudan"/>
    <s v="RRP"/>
    <m/>
    <x v="0"/>
  </r>
  <r>
    <x v="12"/>
    <s v="Syrian Arab Republic (3RP)"/>
    <s v="Syrian Arab Republic"/>
    <s v="SYR"/>
    <s v="People in need"/>
    <n v="20111553"/>
    <s v="Syrian Arab Republic (3RP)"/>
    <s v="RRP"/>
    <m/>
    <x v="0"/>
  </r>
  <r>
    <x v="12"/>
    <s v="The Horn of Africa and Yemen (MRP)"/>
    <s v="The Horn of Africa and Yemen"/>
    <m/>
    <s v="People in need"/>
    <n v="303804"/>
    <s v="The Horn of Africa and Yemen (MRP)"/>
    <s v="RRP"/>
    <m/>
    <x v="0"/>
  </r>
  <r>
    <x v="12"/>
    <s v="Ukraine"/>
    <s v="Ukraine"/>
    <s v="UKR"/>
    <s v="People in need"/>
    <n v="5186744"/>
    <s v="Ukraine"/>
    <s v="RRP"/>
    <m/>
    <x v="0"/>
  </r>
  <r>
    <x v="12"/>
    <s v="Venezuela (RMRP)"/>
    <s v="Venezuela"/>
    <s v="VEN"/>
    <s v="People in need"/>
    <n v="8859400"/>
    <s v="Venezuela (RMRP)"/>
    <s v="RRP"/>
    <m/>
    <x v="0"/>
  </r>
  <r>
    <x v="12"/>
    <s v="Lebanon (ERP)"/>
    <s v="Lebanon"/>
    <s v="LBN"/>
    <s v="People in need"/>
    <n v="2500000"/>
    <s v="Lebanon (ERP)"/>
    <s v="Other"/>
    <m/>
    <x v="0"/>
  </r>
  <r>
    <x v="12"/>
    <s v="Pakistan"/>
    <s v="Pakistan"/>
    <s v="PAK"/>
    <s v="People in need"/>
    <n v="20605258"/>
    <s v="Pakistan"/>
    <s v="Other"/>
    <m/>
    <x v="0"/>
  </r>
  <r>
    <x v="12"/>
    <s v="Cuba"/>
    <s v="Cuba"/>
    <s v="CUB"/>
    <s v="People in need"/>
    <n v="1090000"/>
    <s v="Cuba"/>
    <s v="Non-HRP"/>
    <m/>
    <x v="0"/>
  </r>
  <r>
    <x v="12"/>
    <s v="Philippines"/>
    <s v="Philippines"/>
    <s v="PHL"/>
    <s v="People in need"/>
    <n v="2400000"/>
    <s v="Philippines"/>
    <s v="Non-HRP"/>
    <m/>
    <x v="0"/>
  </r>
  <r>
    <x v="12"/>
    <s v="Sri Lanka"/>
    <s v="Sri Lanka"/>
    <s v="LKA"/>
    <s v="People in need"/>
    <n v="6992137"/>
    <s v="Sri Lanka"/>
    <s v="Non-HRP"/>
    <m/>
    <x v="0"/>
  </r>
  <r>
    <x v="12"/>
    <s v="Afghanistan"/>
    <s v="Afghanistan"/>
    <s v="AFG"/>
    <s v="Funding requirements"/>
    <n v="4442200000"/>
    <s v="Afghanistan"/>
    <s v="HRP"/>
    <m/>
    <x v="2"/>
  </r>
  <r>
    <x v="12"/>
    <s v="Burkina Faso"/>
    <s v="Burkina Faso"/>
    <s v="BFA"/>
    <s v="Funding requirements"/>
    <n v="805099698"/>
    <s v="Burkina Faso"/>
    <s v="HRP"/>
    <m/>
    <x v="2"/>
  </r>
  <r>
    <x v="12"/>
    <s v="Burundi"/>
    <s v="Burundi"/>
    <s v="BDI"/>
    <s v="Funding requirements"/>
    <n v="182414025"/>
    <s v="Burundi"/>
    <s v="HRP"/>
    <m/>
    <x v="2"/>
  </r>
  <r>
    <x v="12"/>
    <s v="Cameroon"/>
    <s v="Cameroon"/>
    <s v="CMR"/>
    <s v="Funding requirements"/>
    <n v="376046051"/>
    <s v="Cameroon"/>
    <s v="HRP"/>
    <m/>
    <x v="2"/>
  </r>
  <r>
    <x v="12"/>
    <s v="Central African Republic"/>
    <s v="Central African Republic"/>
    <s v="CAF"/>
    <s v="Funding requirements"/>
    <n v="461253975"/>
    <s v="Central African Republic"/>
    <s v="HRP"/>
    <m/>
    <x v="2"/>
  </r>
  <r>
    <x v="12"/>
    <s v="Chad"/>
    <s v="Chad"/>
    <s v="TCD"/>
    <s v="Funding requirements"/>
    <n v="510909899"/>
    <s v="Chad"/>
    <s v="HRP"/>
    <m/>
    <x v="2"/>
  </r>
  <r>
    <x v="12"/>
    <s v="Colombia"/>
    <s v="Colombia"/>
    <s v="COL"/>
    <s v="Funding requirements"/>
    <n v="282854048"/>
    <s v="Colombia"/>
    <s v="HRP"/>
    <m/>
    <x v="2"/>
  </r>
  <r>
    <x v="12"/>
    <s v="Democratic Republic of the Congo"/>
    <s v="Democratic Republic of the Congo"/>
    <s v="COD"/>
    <s v="Funding requirements"/>
    <n v="1881674597"/>
    <s v="Democratic Republic of the Congo"/>
    <s v="HRP"/>
    <m/>
    <x v="2"/>
  </r>
  <r>
    <x v="12"/>
    <s v="El Salvador"/>
    <s v="El Salvador"/>
    <s v="SLV"/>
    <s v="Funding requirements"/>
    <n v="114317607"/>
    <s v="El Salvador"/>
    <s v="HRP"/>
    <m/>
    <x v="2"/>
  </r>
  <r>
    <x v="12"/>
    <s v="Ethiopia"/>
    <s v="Ethiopia"/>
    <s v="ETH"/>
    <s v="Funding requirements"/>
    <n v="3335002211"/>
    <s v="Ethiopia"/>
    <s v="HRP"/>
    <m/>
    <x v="2"/>
  </r>
  <r>
    <x v="12"/>
    <s v="Guatemala"/>
    <s v="Guatemala"/>
    <s v="GTM"/>
    <s v="Funding requirements"/>
    <n v="153531304"/>
    <s v="Guatemala"/>
    <s v="HRP"/>
    <m/>
    <x v="2"/>
  </r>
  <r>
    <x v="12"/>
    <s v="Haiti"/>
    <s v="Haiti"/>
    <s v="HTI"/>
    <s v="Funding requirements"/>
    <n v="373165734"/>
    <s v="Haiti"/>
    <s v="HRP"/>
    <m/>
    <x v="2"/>
  </r>
  <r>
    <x v="12"/>
    <s v="Honduras"/>
    <s v="Honduras"/>
    <s v="HND"/>
    <s v="Funding requirements"/>
    <n v="155296363"/>
    <s v="Honduras"/>
    <s v="HRP"/>
    <m/>
    <x v="2"/>
  </r>
  <r>
    <x v="12"/>
    <s v="Iraq"/>
    <s v="Iraq"/>
    <s v="IRQ"/>
    <s v="Funding requirements"/>
    <n v="400004347"/>
    <s v="Iraq"/>
    <s v="HRP"/>
    <m/>
    <x v="2"/>
  </r>
  <r>
    <x v="12"/>
    <s v="Libya"/>
    <s v="Libya"/>
    <s v="LBY"/>
    <s v="Funding requirements"/>
    <n v="113799273"/>
    <s v="Libya"/>
    <s v="HRP"/>
    <m/>
    <x v="2"/>
  </r>
  <r>
    <x v="12"/>
    <s v="Mali"/>
    <s v="Mali"/>
    <s v="MLI"/>
    <s v="Funding requirements"/>
    <n v="685734819"/>
    <s v="Mali"/>
    <s v="HRP"/>
    <m/>
    <x v="2"/>
  </r>
  <r>
    <x v="12"/>
    <s v="Mozambique"/>
    <s v="Mozambique"/>
    <s v="MOZ"/>
    <s v="Funding requirements"/>
    <n v="388499803"/>
    <s v="Mozambique"/>
    <s v="HRP"/>
    <m/>
    <x v="2"/>
  </r>
  <r>
    <x v="12"/>
    <s v="Myanmar"/>
    <s v="Myanmar"/>
    <s v="MMR"/>
    <s v="Funding requirements"/>
    <n v="825698032"/>
    <s v="Myanmar"/>
    <s v="HRP"/>
    <m/>
    <x v="2"/>
  </r>
  <r>
    <x v="12"/>
    <s v="Niger"/>
    <s v="Niger"/>
    <s v="NER"/>
    <s v="Funding requirements"/>
    <n v="552598446"/>
    <s v="Niger"/>
    <s v="HRP"/>
    <m/>
    <x v="2"/>
  </r>
  <r>
    <x v="12"/>
    <s v="Nigeria"/>
    <s v="Nigeria"/>
    <s v="NGA"/>
    <s v="Funding requirements"/>
    <n v="1127211641"/>
    <s v="Nigeria"/>
    <s v="HRP"/>
    <m/>
    <x v="2"/>
  </r>
  <r>
    <x v="12"/>
    <s v="Occupied Palestinian Territory"/>
    <s v="Occupied Palestinian Territory"/>
    <s v="PSE"/>
    <s v="Funding requirements"/>
    <n v="509872202"/>
    <s v="Occupied Palestinian Territory"/>
    <s v="HRP"/>
    <m/>
    <x v="2"/>
  </r>
  <r>
    <x v="12"/>
    <s v="Somalia"/>
    <s v="Somalia"/>
    <s v="SOM"/>
    <s v="Funding requirements"/>
    <n v="2267407090"/>
    <s v="Somalia"/>
    <s v="HRP"/>
    <m/>
    <x v="2"/>
  </r>
  <r>
    <x v="12"/>
    <s v="South Sudan"/>
    <s v="South Sudan"/>
    <s v="SSD"/>
    <s v="Funding requirements"/>
    <n v="1699588587"/>
    <s v="South Sudan"/>
    <s v="HRP"/>
    <m/>
    <x v="2"/>
  </r>
  <r>
    <x v="12"/>
    <s v="Sudan"/>
    <s v="Sudan"/>
    <s v="SDN"/>
    <s v="Funding requirements"/>
    <n v="1936697740"/>
    <s v="Sudan"/>
    <s v="HRP"/>
    <m/>
    <x v="2"/>
  </r>
  <r>
    <x v="12"/>
    <s v="Syrian Arab Republic"/>
    <s v="Syrian Arab Republic"/>
    <s v="SYR"/>
    <s v="Funding requirements"/>
    <n v="4444280227"/>
    <s v="Syrian Arab Republic"/>
    <s v="HRP"/>
    <m/>
    <x v="2"/>
  </r>
  <r>
    <x v="12"/>
    <s v="Venezuela"/>
    <s v="Venezuela"/>
    <s v="VEN"/>
    <s v="Funding requirements"/>
    <n v="794987748"/>
    <s v="Venezuela"/>
    <s v="HRP"/>
    <m/>
    <x v="2"/>
  </r>
  <r>
    <x v="12"/>
    <s v="Yemen"/>
    <s v="Yemen"/>
    <s v="YEM"/>
    <s v="Funding requirements"/>
    <n v="4271938417"/>
    <s v="Yemen"/>
    <s v="HRP"/>
    <m/>
    <x v="2"/>
  </r>
  <r>
    <x v="12"/>
    <s v="Haiti"/>
    <s v="Haiti"/>
    <s v="HTI"/>
    <s v="Funding requirements"/>
    <n v="145600234"/>
    <s v="Haiti"/>
    <s v="FA"/>
    <m/>
    <x v="2"/>
  </r>
  <r>
    <x v="12"/>
    <s v="Kenya"/>
    <s v="Kenya"/>
    <s v="KEN"/>
    <s v="Funding requirements"/>
    <n v="289641587"/>
    <s v="Kenya"/>
    <s v="FA"/>
    <m/>
    <x v="2"/>
  </r>
  <r>
    <x v="12"/>
    <s v="Madagascar"/>
    <s v="Madagascar"/>
    <s v="MDG"/>
    <s v="Funding requirements"/>
    <n v="219267779"/>
    <s v="Madagascar"/>
    <s v="FA"/>
    <m/>
    <x v="2"/>
  </r>
  <r>
    <x v="12"/>
    <s v="Malawi"/>
    <s v="Malawi"/>
    <s v="MWI"/>
    <s v="Funding requirements"/>
    <n v="29450000"/>
    <s v="Malawi"/>
    <s v="FA"/>
    <m/>
    <x v="2"/>
  </r>
  <r>
    <x v="12"/>
    <s v="Mozambique"/>
    <s v="Mozambique"/>
    <s v="MOZ"/>
    <s v="Funding requirements"/>
    <n v="48073854"/>
    <s v="Mozambique"/>
    <s v="FA"/>
    <m/>
    <x v="2"/>
  </r>
  <r>
    <x v="12"/>
    <s v="Ukraine"/>
    <s v="Ukraine"/>
    <s v="UKR"/>
    <s v="Funding requirements"/>
    <n v="4292463880"/>
    <s v="Ukraine"/>
    <s v="FA"/>
    <m/>
    <x v="2"/>
  </r>
  <r>
    <x v="12"/>
    <s v="Afghanistan"/>
    <s v="Afghanistan"/>
    <s v="AFG"/>
    <s v="Funding requirements"/>
    <n v="623415539"/>
    <s v="Afghanistan"/>
    <s v="RRP"/>
    <m/>
    <x v="2"/>
  </r>
  <r>
    <x v="12"/>
    <s v="Democratic Republic of the Congo"/>
    <s v="Democratic Republic of the Congo"/>
    <s v="COD"/>
    <s v="Funding requirements"/>
    <n v="596731397"/>
    <s v="Democratic Republic of the Congo"/>
    <s v="RRP"/>
    <m/>
    <x v="2"/>
  </r>
  <r>
    <x v="12"/>
    <s v="Rohingya (JRP)"/>
    <s v="Myanmar"/>
    <s v="MMR"/>
    <s v="Funding requirements"/>
    <n v="881030780"/>
    <s v="Rohingya (JRP)"/>
    <s v="RRP"/>
    <m/>
    <x v="2"/>
  </r>
  <r>
    <x v="12"/>
    <s v="South Sudan"/>
    <s v="South Sudan"/>
    <s v="SSD"/>
    <s v="Funding requirements"/>
    <n v="873323126"/>
    <s v="South Sudan"/>
    <s v="RRP"/>
    <m/>
    <x v="2"/>
  </r>
  <r>
    <x v="12"/>
    <s v="Syrian Arab Republic (3RP)"/>
    <s v="Syrian Arab Republic"/>
    <s v="SYR"/>
    <s v="Funding requirements"/>
    <n v="6080899576"/>
    <s v="Syrian Arab Republic (3RP)"/>
    <s v="RRP"/>
    <m/>
    <x v="2"/>
  </r>
  <r>
    <x v="12"/>
    <s v="The Horn of Africa and Yemen (MRP)"/>
    <s v="The Horn of Africa and Yemen"/>
    <m/>
    <s v="Funding requirements"/>
    <n v="41579330"/>
    <s v="The Horn of Africa and Yemen (MRP)"/>
    <s v="RRP"/>
    <m/>
    <x v="2"/>
  </r>
  <r>
    <x v="12"/>
    <s v="Ukraine"/>
    <s v="Ukraine"/>
    <s v="UKR"/>
    <s v="Funding requirements"/>
    <n v="1789936991"/>
    <s v="Ukraine"/>
    <s v="RRP"/>
    <m/>
    <x v="2"/>
  </r>
  <r>
    <x v="12"/>
    <s v="Venezuela (RMRP)"/>
    <s v="Venezuela"/>
    <s v="VEN"/>
    <s v="Funding requirements"/>
    <n v="1786198773"/>
    <s v="Venezuela (RMRP)"/>
    <s v="RRP"/>
    <m/>
    <x v="2"/>
  </r>
  <r>
    <x v="12"/>
    <s v="Lebanon (ERP)"/>
    <s v="Lebanon"/>
    <s v="LBN"/>
    <s v="Funding requirements"/>
    <n v="378175867"/>
    <s v="Lebanon (ERP)"/>
    <s v="Other"/>
    <m/>
    <x v="2"/>
  </r>
  <r>
    <x v="12"/>
    <s v="Pakistan"/>
    <s v="Pakistan"/>
    <s v="PAK"/>
    <s v="Funding requirements"/>
    <n v="472308627"/>
    <s v="Pakistan"/>
    <s v="Other"/>
    <m/>
    <x v="2"/>
  </r>
  <r>
    <x v="12"/>
    <s v="Cuba"/>
    <s v="Cuba"/>
    <s v="CUB"/>
    <s v="Funding requirements"/>
    <n v="41817107"/>
    <s v="Cuba"/>
    <s v="Non-HRP"/>
    <m/>
    <x v="2"/>
  </r>
  <r>
    <x v="12"/>
    <s v="Philippines"/>
    <s v="Philippines"/>
    <s v="PHL"/>
    <s v="Funding requirements"/>
    <n v="168906963"/>
    <s v="Philippines"/>
    <s v="Non-HRP"/>
    <m/>
    <x v="2"/>
  </r>
  <r>
    <x v="12"/>
    <s v="Sri Lanka"/>
    <s v="Sri Lanka"/>
    <s v="LKA"/>
    <s v="Funding requirements"/>
    <n v="149692653"/>
    <s v="Sri Lanka"/>
    <s v="Non-HRP"/>
    <m/>
    <x v="2"/>
  </r>
  <r>
    <x v="13"/>
    <s v="Afghanistan"/>
    <s v="Afghanistan"/>
    <s v="AFG"/>
    <s v="People in need"/>
    <n v="29174379"/>
    <s v="Afghanistan"/>
    <s v="HRP"/>
    <m/>
    <x v="0"/>
  </r>
  <r>
    <x v="13"/>
    <s v="Burkina Faso"/>
    <s v="Burkina Faso"/>
    <s v="BFA"/>
    <s v="People in need"/>
    <n v="4648210"/>
    <s v="Burkina Faso"/>
    <s v="HRP"/>
    <m/>
    <x v="0"/>
  </r>
  <r>
    <x v="13"/>
    <s v="Burundi"/>
    <s v="Burundi"/>
    <s v="BDI"/>
    <s v="People in need"/>
    <n v="2666886"/>
    <s v="Burundi"/>
    <s v="HRP"/>
    <m/>
    <x v="0"/>
  </r>
  <r>
    <x v="13"/>
    <s v="Cameroon"/>
    <s v="Cameroon"/>
    <s v="CMR"/>
    <s v="People in need"/>
    <n v="4700311"/>
    <s v="Cameroon"/>
    <s v="HRP"/>
    <m/>
    <x v="0"/>
  </r>
  <r>
    <x v="13"/>
    <s v="Central African Republic"/>
    <s v="Central African Republic"/>
    <s v="CAF"/>
    <s v="People in need"/>
    <n v="3426462"/>
    <s v="Central African Republic"/>
    <s v="HRP"/>
    <m/>
    <x v="0"/>
  </r>
  <r>
    <x v="13"/>
    <s v="Chad"/>
    <s v="Chad"/>
    <s v="TCD"/>
    <s v="People in need"/>
    <n v="7672650"/>
    <s v="Chad"/>
    <s v="HRP"/>
    <m/>
    <x v="0"/>
  </r>
  <r>
    <x v="13"/>
    <s v="Colombia"/>
    <s v="Colombia"/>
    <s v="COL"/>
    <s v="People in need"/>
    <n v="7711265"/>
    <s v="Colombia"/>
    <s v="HRP"/>
    <m/>
    <x v="0"/>
  </r>
  <r>
    <x v="13"/>
    <s v="Democratic Republic of the Congo"/>
    <s v="Democratic Republic of the Congo"/>
    <s v="COD"/>
    <s v="People in need"/>
    <n v="26429388"/>
    <s v="Democratic Republic of the Congo"/>
    <s v="HRP"/>
    <m/>
    <x v="0"/>
  </r>
  <r>
    <x v="13"/>
    <s v="El Salvador"/>
    <s v="El Salvador"/>
    <s v="SLV"/>
    <s v="People in need"/>
    <n v="1115122"/>
    <s v="El Salvador"/>
    <s v="HRP"/>
    <m/>
    <x v="0"/>
  </r>
  <r>
    <x v="13"/>
    <s v="Ethiopia"/>
    <s v="Ethiopia"/>
    <s v="ETH"/>
    <s v="People in need"/>
    <n v="28600000"/>
    <s v="Ethiopia"/>
    <s v="HRP"/>
    <m/>
    <x v="0"/>
  </r>
  <r>
    <x v="13"/>
    <s v="Guatemala"/>
    <s v="Guatemala"/>
    <s v="GTM"/>
    <s v="People in need"/>
    <n v="5000000"/>
    <s v="Guatemala"/>
    <s v="HRP"/>
    <m/>
    <x v="0"/>
  </r>
  <r>
    <x v="13"/>
    <s v="Haiti"/>
    <s v="Haiti"/>
    <s v="HTI"/>
    <s v="People in need"/>
    <n v="5200000"/>
    <s v="Haiti"/>
    <s v="HRP"/>
    <m/>
    <x v="0"/>
  </r>
  <r>
    <x v="13"/>
    <s v="Honduras"/>
    <s v="Honduras"/>
    <s v="HND"/>
    <s v="People in need"/>
    <n v="3200000"/>
    <s v="Honduras"/>
    <s v="HRP"/>
    <m/>
    <x v="0"/>
  </r>
  <r>
    <x v="13"/>
    <s v="Mali"/>
    <s v="Mali"/>
    <s v="MLI"/>
    <s v="People in need"/>
    <n v="8782254"/>
    <s v="Mali"/>
    <s v="HRP"/>
    <m/>
    <x v="0"/>
  </r>
  <r>
    <x v="13"/>
    <s v="Mozambique"/>
    <s v="Mozambique"/>
    <s v="MOZ"/>
    <s v="People in need"/>
    <n v="2011466"/>
    <s v="Mozambique"/>
    <s v="HRP"/>
    <m/>
    <x v="0"/>
  </r>
  <r>
    <x v="13"/>
    <s v="Myanmar"/>
    <s v="Myanmar"/>
    <s v="MMR"/>
    <s v="People in need"/>
    <n v="17619805"/>
    <s v="Myanmar"/>
    <s v="HRP"/>
    <m/>
    <x v="0"/>
  </r>
  <r>
    <x v="13"/>
    <s v="Niger"/>
    <s v="Niger"/>
    <s v="NER"/>
    <s v="People in need"/>
    <n v="4319484"/>
    <s v="Niger"/>
    <s v="HRP"/>
    <m/>
    <x v="0"/>
  </r>
  <r>
    <x v="13"/>
    <s v="Nigeria"/>
    <s v="Nigeria"/>
    <s v="NGA"/>
    <s v="People in need"/>
    <n v="8300000"/>
    <s v="Nigeria"/>
    <s v="HRP"/>
    <m/>
    <x v="0"/>
  </r>
  <r>
    <x v="13"/>
    <s v="Occupied Palestinian Territory"/>
    <s v="Occupied Palestinian Territory"/>
    <s v="PSE"/>
    <s v="People in need"/>
    <n v="2087420"/>
    <s v="Occupied Palestinian Territory"/>
    <s v="HRP"/>
    <m/>
    <x v="0"/>
  </r>
  <r>
    <x v="13"/>
    <s v="Somalia"/>
    <s v="Somalia"/>
    <s v="SOM"/>
    <s v="People in need"/>
    <n v="8250301"/>
    <s v="Somalia"/>
    <s v="HRP"/>
    <m/>
    <x v="0"/>
  </r>
  <r>
    <x v="13"/>
    <s v="South Sudan"/>
    <s v="South Sudan"/>
    <s v="SSD"/>
    <s v="People in need"/>
    <n v="10000000"/>
    <s v="South Sudan"/>
    <s v="HRP"/>
    <m/>
    <x v="0"/>
  </r>
  <r>
    <x v="13"/>
    <s v="Sudan"/>
    <s v="Sudan"/>
    <s v="SDN"/>
    <s v="People in need"/>
    <n v="24681639"/>
    <s v="Sudan"/>
    <s v="HRP"/>
    <m/>
    <x v="0"/>
  </r>
  <r>
    <x v="13"/>
    <s v="Syrian Arab Republic"/>
    <s v="Syrian Arab Republic"/>
    <s v="SYR"/>
    <s v="People in need"/>
    <n v="15334271"/>
    <s v="Syrian Arab Republic"/>
    <s v="HRP"/>
    <m/>
    <x v="0"/>
  </r>
  <r>
    <x v="13"/>
    <s v="Ukraine"/>
    <s v="Ukraine"/>
    <s v="UKR"/>
    <s v="People in need"/>
    <n v="17569676"/>
    <s v="Ukraine"/>
    <s v="HRP"/>
    <m/>
    <x v="0"/>
  </r>
  <r>
    <x v="13"/>
    <s v="Venezuela"/>
    <s v="Venezuela"/>
    <s v="VEN"/>
    <s v="People in need"/>
    <n v="7000000"/>
    <s v="Venezuela"/>
    <s v="HRP"/>
    <m/>
    <x v="0"/>
  </r>
  <r>
    <x v="13"/>
    <s v="Yemen"/>
    <s v="Yemen"/>
    <s v="YEM"/>
    <s v="People in need"/>
    <n v="21640000"/>
    <s v="Yemen"/>
    <s v="HRP"/>
    <m/>
    <x v="0"/>
  </r>
  <r>
    <x v="13"/>
    <s v="Kenya"/>
    <s v="Kenya"/>
    <s v="KEN"/>
    <s v="People in need"/>
    <n v="6446835"/>
    <s v="Kenya"/>
    <s v="FA"/>
    <m/>
    <x v="0"/>
  </r>
  <r>
    <x v="13"/>
    <s v="Libya"/>
    <s v="Libya"/>
    <s v="LBY"/>
    <s v="People in need"/>
    <n v="883937"/>
    <s v="Libya"/>
    <s v="FA"/>
    <m/>
    <x v="0"/>
  </r>
  <r>
    <x v="13"/>
    <s v="Madagascar"/>
    <s v="Madagascar"/>
    <s v="MDG"/>
    <s v="People in need"/>
    <n v="3897188"/>
    <s v="Madagascar"/>
    <s v="FA"/>
    <m/>
    <x v="0"/>
  </r>
  <r>
    <x v="13"/>
    <s v="Malawi"/>
    <s v="Malawi"/>
    <s v="MWI"/>
    <s v="People in need"/>
    <n v="5858113"/>
    <s v="Malawi"/>
    <s v="FA"/>
    <m/>
    <x v="0"/>
  </r>
  <r>
    <x v="13"/>
    <s v="Occupied Palestinian Territory"/>
    <s v="Occupied Palestinian Territory"/>
    <s v="PSE"/>
    <s v="People in need"/>
    <n v="1012580"/>
    <s v="Occupied Palestinian Territory"/>
    <s v="FA"/>
    <m/>
    <x v="0"/>
  </r>
  <r>
    <x v="13"/>
    <s v="Syria Earthquake"/>
    <s v="Syria Earthquake"/>
    <s v="SYR"/>
    <s v="People in need"/>
    <n v="0"/>
    <s v="Syria Earthquake"/>
    <s v="FA"/>
    <m/>
    <x v="0"/>
  </r>
  <r>
    <x v="13"/>
    <s v="Türkiye Earthquake"/>
    <s v="Türkiye Earthquake"/>
    <s v="TUR"/>
    <s v="People in need"/>
    <n v="0"/>
    <s v="Türkiye Earthquake"/>
    <s v="FA"/>
    <m/>
    <x v="0"/>
  </r>
  <r>
    <x v="13"/>
    <s v="Afghanistan"/>
    <s v="Afghanistan"/>
    <s v="AFG"/>
    <s v="People in need"/>
    <n v="7902431"/>
    <s v="Afghanistan"/>
    <s v="RRP"/>
    <m/>
    <x v="0"/>
  </r>
  <r>
    <x v="13"/>
    <s v="Democratic Republic of the Congo"/>
    <s v="Democratic Republic of the Congo"/>
    <s v="COD"/>
    <s v="People in need"/>
    <n v="1368121"/>
    <s v="Democratic Republic of the Congo"/>
    <s v="RRP"/>
    <m/>
    <x v="0"/>
  </r>
  <r>
    <x v="13"/>
    <s v="Rohingya (JRP)"/>
    <s v="Myanmar"/>
    <s v="MMR"/>
    <s v="People in need"/>
    <n v="1515698"/>
    <s v="Rohingya (JRP)"/>
    <s v="RRP"/>
    <m/>
    <x v="0"/>
  </r>
  <r>
    <x v="13"/>
    <s v="South Sudan"/>
    <s v="South Sudan"/>
    <s v="SSD"/>
    <s v="People in need"/>
    <n v="3245100"/>
    <s v="South Sudan"/>
    <s v="RRP"/>
    <m/>
    <x v="0"/>
  </r>
  <r>
    <x v="13"/>
    <s v="Sudan"/>
    <s v="Sudan"/>
    <s v="SDN"/>
    <s v="People in need"/>
    <n v="580000"/>
    <s v="Sudan"/>
    <s v="RRP"/>
    <m/>
    <x v="0"/>
  </r>
  <r>
    <x v="13"/>
    <s v="Syria (3RP)"/>
    <s v="Syria"/>
    <s v="SYR"/>
    <s v="People in need"/>
    <n v="13489443"/>
    <s v="Syria (3RP)"/>
    <s v="RRP"/>
    <m/>
    <x v="0"/>
  </r>
  <r>
    <x v="13"/>
    <s v="The Horn of Africa and Yemen (MRP)"/>
    <s v="The Horn of Africa and Yemen"/>
    <m/>
    <s v="People in need"/>
    <n v="1218729"/>
    <s v="The Horn of Africa and Yemen (MRP)"/>
    <s v="RRP"/>
    <m/>
    <x v="0"/>
  </r>
  <r>
    <x v="13"/>
    <s v="Ukraine"/>
    <s v="Ukraine"/>
    <s v="UKR"/>
    <s v="People in need"/>
    <n v="4035000"/>
    <s v="Ukraine"/>
    <s v="RRP"/>
    <m/>
    <x v="0"/>
  </r>
  <r>
    <x v="13"/>
    <s v="Venezuela (RMRP)"/>
    <s v="Venezuela"/>
    <s v="VEN"/>
    <s v="People in need"/>
    <n v="9179814"/>
    <s v="Venezuela (RMRP)"/>
    <s v="RRP"/>
    <m/>
    <x v="0"/>
  </r>
  <r>
    <x v="13"/>
    <s v="Lebanon (ERP)"/>
    <s v="Lebanon "/>
    <s v="LBN"/>
    <s v="People in need"/>
    <n v="3909222"/>
    <s v="Lebanon (ERP)"/>
    <s v="Other"/>
    <m/>
    <x v="0"/>
  </r>
  <r>
    <x v="13"/>
    <s v="Mozambique"/>
    <s v="Mozambique"/>
    <s v="MOZ"/>
    <s v="People in need"/>
    <n v="975016"/>
    <s v="Mozambique"/>
    <s v="Other"/>
    <m/>
    <x v="0"/>
  </r>
  <r>
    <x v="13"/>
    <s v="Pakistan"/>
    <s v="Pakistan"/>
    <s v="PAK"/>
    <s v="People in need"/>
    <n v="20605258"/>
    <s v="Pakistan"/>
    <s v="Other"/>
    <m/>
    <x v="0"/>
  </r>
  <r>
    <x v="13"/>
    <s v="Mongolia"/>
    <s v="Mongolia"/>
    <s v="MNG"/>
    <s v="People in need"/>
    <n v="213000"/>
    <s v="Mongolia"/>
    <s v="Non-HRP"/>
    <m/>
    <x v="0"/>
  </r>
  <r>
    <x v="13"/>
    <s v="Afghanistan"/>
    <s v="Afghanistan"/>
    <s v="AFG"/>
    <s v="Funding requirements"/>
    <n v="3227372908"/>
    <s v="Afghanistan"/>
    <s v="HRP"/>
    <m/>
    <x v="2"/>
  </r>
  <r>
    <x v="13"/>
    <s v="Burkina Faso"/>
    <s v="Burkina Faso"/>
    <s v="BFA"/>
    <s v="Funding requirements"/>
    <n v="876731475"/>
    <s v="Burkina Faso"/>
    <s v="HRP"/>
    <m/>
    <x v="2"/>
  </r>
  <r>
    <x v="13"/>
    <s v="Burundi"/>
    <s v="Burundi"/>
    <s v="BDI"/>
    <s v="Funding requirements"/>
    <n v="237180119"/>
    <s v="Burundi"/>
    <s v="HRP"/>
    <m/>
    <x v="2"/>
  </r>
  <r>
    <x v="13"/>
    <s v="Cameroon"/>
    <s v="Cameroon"/>
    <s v="CMR"/>
    <s v="Funding requirements"/>
    <n v="407309869"/>
    <s v="Cameroon"/>
    <s v="HRP"/>
    <m/>
    <x v="2"/>
  </r>
  <r>
    <x v="13"/>
    <s v="Central African Republic"/>
    <s v="Central African Republic"/>
    <s v="CAF"/>
    <s v="Funding requirements"/>
    <n v="533305798"/>
    <s v="Central African Republic"/>
    <s v="HRP"/>
    <m/>
    <x v="2"/>
  </r>
  <r>
    <x v="13"/>
    <s v="Chad"/>
    <s v="Chad"/>
    <s v="TCD"/>
    <s v="Funding requirements"/>
    <n v="920624766"/>
    <s v="Chad"/>
    <s v="HRP"/>
    <m/>
    <x v="2"/>
  </r>
  <r>
    <x v="13"/>
    <s v="Colombia"/>
    <s v="Colombia"/>
    <s v="COL"/>
    <s v="Funding requirements"/>
    <n v="283317893"/>
    <s v="Colombia"/>
    <s v="HRP"/>
    <m/>
    <x v="2"/>
  </r>
  <r>
    <x v="13"/>
    <s v="Democratic Republic of the Congo"/>
    <s v="Democratic Republic of the Congo"/>
    <s v="COD"/>
    <s v="Funding requirements"/>
    <n v="2252684083"/>
    <s v="Democratic Republic of the Congo"/>
    <s v="HRP"/>
    <m/>
    <x v="2"/>
  </r>
  <r>
    <x v="13"/>
    <s v="El Salvador"/>
    <s v="El Salvador"/>
    <s v="SLV"/>
    <s v="Funding requirements"/>
    <n v="98416155"/>
    <s v="El Salvador"/>
    <s v="HRP"/>
    <m/>
    <x v="2"/>
  </r>
  <r>
    <x v="13"/>
    <s v="Ethiopia"/>
    <s v="Ethiopia"/>
    <s v="ETH"/>
    <s v="Funding requirements"/>
    <n v="3994813508"/>
    <s v="Ethiopia"/>
    <s v="HRP"/>
    <m/>
    <x v="2"/>
  </r>
  <r>
    <x v="13"/>
    <s v="Guatemala"/>
    <s v="Guatemala"/>
    <s v="GTM"/>
    <s v="Funding requirements"/>
    <n v="126145348"/>
    <s v="Guatemala"/>
    <s v="HRP"/>
    <m/>
    <x v="2"/>
  </r>
  <r>
    <x v="13"/>
    <s v="Haiti"/>
    <s v="Haiti"/>
    <s v="HTI"/>
    <s v="Funding requirements"/>
    <n v="719857713"/>
    <s v="Haiti"/>
    <s v="HRP"/>
    <m/>
    <x v="2"/>
  </r>
  <r>
    <x v="13"/>
    <s v="Honduras"/>
    <s v="Honduras"/>
    <s v="HND"/>
    <s v="Funding requirements"/>
    <n v="280360869"/>
    <s v="Honduras"/>
    <s v="HRP"/>
    <m/>
    <x v="2"/>
  </r>
  <r>
    <x v="13"/>
    <s v="Mali"/>
    <s v="Mali"/>
    <s v="MLI"/>
    <s v="Funding requirements"/>
    <n v="751470941"/>
    <s v="Mali"/>
    <s v="HRP"/>
    <m/>
    <x v="2"/>
  </r>
  <r>
    <x v="13"/>
    <s v="Mozambique"/>
    <s v="Mozambique"/>
    <s v="MOZ"/>
    <s v="Funding requirements"/>
    <n v="512912994"/>
    <s v="Mozambique"/>
    <s v="HRP"/>
    <m/>
    <x v="2"/>
  </r>
  <r>
    <x v="13"/>
    <s v="Myanmar"/>
    <s v="Myanmar"/>
    <s v="MMR"/>
    <s v="Funding requirements"/>
    <n v="886738899"/>
    <s v="Myanmar"/>
    <s v="HRP"/>
    <m/>
    <x v="2"/>
  </r>
  <r>
    <x v="13"/>
    <s v="Niger"/>
    <s v="Niger"/>
    <s v="NER"/>
    <s v="Funding requirements"/>
    <n v="583906619"/>
    <s v="Niger"/>
    <s v="HRP"/>
    <m/>
    <x v="2"/>
  </r>
  <r>
    <x v="13"/>
    <s v="Nigeria"/>
    <s v="Nigeria"/>
    <s v="NGA"/>
    <s v="Funding requirements"/>
    <n v="1311953516"/>
    <s v="Nigeria"/>
    <s v="HRP"/>
    <m/>
    <x v="2"/>
  </r>
  <r>
    <x v="13"/>
    <s v="Occupied Palestinian Territory"/>
    <s v="Occupied Palestinian Territory"/>
    <s v="PSE"/>
    <s v="Funding requirements"/>
    <n v="376729201"/>
    <s v="Occupied Palestinian Territory"/>
    <s v="HRP"/>
    <m/>
    <x v="2"/>
  </r>
  <r>
    <x v="13"/>
    <s v="Somalia"/>
    <s v="Somalia"/>
    <s v="SOM"/>
    <s v="Funding requirements"/>
    <n v="2599161218"/>
    <s v="Somalia"/>
    <s v="HRP"/>
    <m/>
    <x v="2"/>
  </r>
  <r>
    <x v="13"/>
    <s v="South Sudan"/>
    <s v="South Sudan"/>
    <s v="SSD"/>
    <s v="Funding requirements"/>
    <n v="2055885216"/>
    <s v="South Sudan"/>
    <s v="HRP"/>
    <m/>
    <x v="2"/>
  </r>
  <r>
    <x v="13"/>
    <s v="Sudan"/>
    <s v="Sudan"/>
    <s v="SDN"/>
    <s v="Funding requirements"/>
    <n v="2565230201"/>
    <s v="Sudan"/>
    <s v="HRP"/>
    <m/>
    <x v="2"/>
  </r>
  <r>
    <x v="13"/>
    <s v="Syrian Arab Republic"/>
    <s v="Syrian Arab Republic"/>
    <s v="SYR"/>
    <s v="Funding requirements"/>
    <n v="5413802598"/>
    <s v="Syrian Arab Republic"/>
    <s v="HRP"/>
    <m/>
    <x v="2"/>
  </r>
  <r>
    <x v="13"/>
    <s v="Ukraine"/>
    <s v="Ukraine"/>
    <s v="UKR"/>
    <s v="Funding requirements"/>
    <n v="3945656687"/>
    <s v="Ukraine"/>
    <s v="HRP"/>
    <m/>
    <x v="2"/>
  </r>
  <r>
    <x v="13"/>
    <s v="Venezuela"/>
    <s v="Venezuela"/>
    <s v="VEN"/>
    <s v="Funding requirements"/>
    <n v="719581691"/>
    <s v="Venezuela"/>
    <s v="HRP"/>
    <m/>
    <x v="2"/>
  </r>
  <r>
    <x v="13"/>
    <s v="Yemen"/>
    <s v="Yemen"/>
    <s v="YEM"/>
    <s v="Funding requirements"/>
    <n v="4344155316"/>
    <s v="Yemen"/>
    <s v="HRP"/>
    <m/>
    <x v="2"/>
  </r>
  <r>
    <x v="13"/>
    <s v="Kenya"/>
    <s v="Kenya"/>
    <s v="KEN"/>
    <s v="Funding requirements"/>
    <n v="451825224"/>
    <s v="Kenya"/>
    <s v="FA"/>
    <m/>
    <x v="2"/>
  </r>
  <r>
    <x v="13"/>
    <s v="Libya"/>
    <s v="Libya"/>
    <s v="LBY"/>
    <s v="Funding requirements"/>
    <n v="37731860"/>
    <s v="Libya"/>
    <s v="FA"/>
    <m/>
    <x v="2"/>
  </r>
  <r>
    <x v="13"/>
    <s v="Madagascar"/>
    <s v="Madagascar"/>
    <s v="MDG"/>
    <s v="Funding requirements"/>
    <n v="214681354"/>
    <s v="Madagascar"/>
    <s v="FA"/>
    <m/>
    <x v="2"/>
  </r>
  <r>
    <x v="13"/>
    <s v="Malawi"/>
    <s v="Malawi"/>
    <s v="MWI"/>
    <s v="Funding requirements"/>
    <n v="115945732"/>
    <s v="Malawi"/>
    <s v="FA"/>
    <m/>
    <x v="2"/>
  </r>
  <r>
    <x v="13"/>
    <s v="Occupied Palestinian Territory"/>
    <s v="Occupied Palestinian Territory"/>
    <s v="PSE"/>
    <s v="Funding requirements"/>
    <n v="629098307"/>
    <s v="Occupied Palestinian Territory"/>
    <s v="FA"/>
    <m/>
    <x v="2"/>
  </r>
  <r>
    <x v="13"/>
    <s v="Syria Earthquake"/>
    <s v="Syria Earthquake"/>
    <s v="SYR"/>
    <s v="Funding requirements"/>
    <n v="397623464"/>
    <s v="Syria Earthquake"/>
    <s v="FA"/>
    <m/>
    <x v="2"/>
  </r>
  <r>
    <x v="13"/>
    <s v="Türkiye Earthquake"/>
    <s v="Türkiye Earthquake"/>
    <s v="TUR"/>
    <s v="Funding requirements"/>
    <n v="1006545000"/>
    <s v="Türkiye Earthquake"/>
    <s v="FA"/>
    <m/>
    <x v="2"/>
  </r>
  <r>
    <x v="13"/>
    <s v="Afghanistan"/>
    <s v="Afghanistan"/>
    <s v="AFG"/>
    <s v="Funding requirements"/>
    <n v="613012986"/>
    <s v="Afghanistan"/>
    <s v="RRP"/>
    <m/>
    <x v="2"/>
  </r>
  <r>
    <x v="13"/>
    <s v="Democratic Republic of the Congo"/>
    <s v="Democratic Republic of the Congo"/>
    <s v="COD"/>
    <s v="Funding requirements"/>
    <n v="549404765"/>
    <s v="Democratic Republic of the Congo"/>
    <s v="RRP"/>
    <m/>
    <x v="2"/>
  </r>
  <r>
    <x v="13"/>
    <s v="Rohingya (JRP)"/>
    <s v="Myanmar"/>
    <s v="MMR"/>
    <s v="Funding requirements"/>
    <n v="875927365"/>
    <s v="Rohingya (JRP)"/>
    <s v="RRP"/>
    <m/>
    <x v="2"/>
  </r>
  <r>
    <x v="13"/>
    <s v="South Sudan"/>
    <s v="South Sudan"/>
    <s v="SSD"/>
    <s v="Funding requirements"/>
    <n v="950234784"/>
    <s v="South Sudan"/>
    <s v="RRP"/>
    <m/>
    <x v="2"/>
  </r>
  <r>
    <x v="13"/>
    <s v="Sudan"/>
    <s v="Sudan"/>
    <s v="SDN"/>
    <s v="Funding requirements"/>
    <n v="217629924"/>
    <s v="Sudan"/>
    <s v="RRP"/>
    <m/>
    <x v="2"/>
  </r>
  <r>
    <x v="13"/>
    <s v="Syria (3RP)"/>
    <s v="Syria"/>
    <s v="SYR"/>
    <s v="Funding requirements"/>
    <n v="5856939096"/>
    <s v="Syria (3RP)"/>
    <s v="RRP"/>
    <m/>
    <x v="2"/>
  </r>
  <r>
    <x v="13"/>
    <s v="The Horn of Africa and Yemen (MRP)"/>
    <s v="The Horn of Africa and Yemen"/>
    <m/>
    <s v="Funding requirements"/>
    <n v="60414277"/>
    <s v="The Horn of Africa and Yemen (MRP)"/>
    <s v="RRP"/>
    <m/>
    <x v="2"/>
  </r>
  <r>
    <x v="13"/>
    <s v="Ukraine"/>
    <s v="Ukraine"/>
    <s v="UKR"/>
    <s v="Funding requirements"/>
    <n v="1685495256"/>
    <s v="Ukraine"/>
    <s v="RRP"/>
    <m/>
    <x v="2"/>
  </r>
  <r>
    <x v="13"/>
    <s v="Venezuela (RMRP)"/>
    <s v="Venezuela"/>
    <s v="VEN"/>
    <s v="Funding requirements"/>
    <n v="1715042189"/>
    <s v="Venezuela (RMRP)"/>
    <s v="RRP"/>
    <m/>
    <x v="2"/>
  </r>
  <r>
    <x v="13"/>
    <s v="Lebanon (ERP)"/>
    <s v="Lebanon "/>
    <s v="LBN"/>
    <s v="Funding requirements"/>
    <n v="200203540"/>
    <s v="Lebanon (ERP)"/>
    <s v="Other"/>
    <m/>
    <x v="2"/>
  </r>
  <r>
    <x v="13"/>
    <s v="Mozambique"/>
    <s v="Mozambique"/>
    <s v="MOZ"/>
    <s v="Funding requirements"/>
    <n v="138008861"/>
    <s v="Mozambique"/>
    <s v="Other"/>
    <m/>
    <x v="2"/>
  </r>
  <r>
    <x v="13"/>
    <s v="Pakistan"/>
    <s v="Pakistan"/>
    <s v="PAK"/>
    <s v="Funding requirements"/>
    <n v="344007921"/>
    <s v="Pakistan"/>
    <s v="Other"/>
    <m/>
    <x v="2"/>
  </r>
  <r>
    <x v="13"/>
    <s v="Mongolia"/>
    <s v="Mongolia"/>
    <s v="MNG"/>
    <s v="Funding requirements"/>
    <n v="5154000"/>
    <s v="Mongolia"/>
    <s v="Non-HRP"/>
    <m/>
    <x v="2"/>
  </r>
  <r>
    <x v="14"/>
    <s v="Afghanistan"/>
    <s v="Afghanistan"/>
    <s v="AFG"/>
    <s v="People in need"/>
    <n v="23666389"/>
    <s v="Afghanistan"/>
    <s v="HRP"/>
    <m/>
    <x v="0"/>
  </r>
  <r>
    <x v="14"/>
    <s v="Burkina Faso"/>
    <s v="Burkina Faso"/>
    <s v="BFA"/>
    <s v="People in need"/>
    <n v="6300000"/>
    <s v="Burkina Faso"/>
    <s v="HRP"/>
    <m/>
    <x v="0"/>
  </r>
  <r>
    <x v="14"/>
    <s v="Cameroon"/>
    <s v="Cameroon"/>
    <s v="CMR"/>
    <s v="People in need"/>
    <n v="3369526"/>
    <s v="Cameroon"/>
    <s v="HRP"/>
    <m/>
    <x v="0"/>
  </r>
  <r>
    <x v="14"/>
    <s v="Central African Republic"/>
    <s v="Central African Republic"/>
    <s v="CAF"/>
    <s v="People in need"/>
    <n v="2801810"/>
    <s v="Central African Republic"/>
    <s v="HRP"/>
    <m/>
    <x v="0"/>
  </r>
  <r>
    <x v="14"/>
    <s v="Chad"/>
    <s v="Chad"/>
    <s v="TCD"/>
    <s v="People in need"/>
    <n v="5800000"/>
    <s v="Chad"/>
    <s v="HRP"/>
    <m/>
    <x v="0"/>
  </r>
  <r>
    <x v="14"/>
    <s v="Colombia"/>
    <s v="Colombia"/>
    <s v="COL"/>
    <s v="People in need"/>
    <n v="8307129"/>
    <s v="Colombia"/>
    <s v="HRP"/>
    <m/>
    <x v="0"/>
  </r>
  <r>
    <x v="14"/>
    <s v="Democratic Republic of the Congo"/>
    <s v="Democratic Republic of the Congo"/>
    <s v="COD"/>
    <s v="People in need"/>
    <n v="25400000"/>
    <s v="Democratic Republic of the Congo"/>
    <s v="HRP"/>
    <m/>
    <x v="0"/>
  </r>
  <r>
    <x v="14"/>
    <s v="El Salvador"/>
    <s v="El Salvador"/>
    <s v="SLV"/>
    <s v="People in need"/>
    <n v="1100000"/>
    <s v="El Salvador"/>
    <s v="HRP"/>
    <m/>
    <x v="0"/>
  </r>
  <r>
    <x v="14"/>
    <s v="Ethiopia"/>
    <s v="Ethiopia"/>
    <s v="ETH"/>
    <s v="People in need"/>
    <n v="21360484"/>
    <s v="Ethiopia"/>
    <s v="HRP"/>
    <m/>
    <x v="0"/>
  </r>
  <r>
    <x v="14"/>
    <s v="Guatemala"/>
    <s v="Guatemala"/>
    <s v="GTM"/>
    <s v="People in need"/>
    <n v="5300000"/>
    <s v="Guatemala"/>
    <s v="HRP"/>
    <m/>
    <x v="0"/>
  </r>
  <r>
    <x v="14"/>
    <s v="Haiti"/>
    <s v="Haiti"/>
    <s v="HTI"/>
    <s v="People in need"/>
    <n v="5500000"/>
    <s v="Haiti"/>
    <s v="HRP"/>
    <m/>
    <x v="0"/>
  </r>
  <r>
    <x v="14"/>
    <s v="Honduras"/>
    <s v="Honduras"/>
    <s v="HND"/>
    <s v="People in need"/>
    <n v="2800000"/>
    <s v="Honduras"/>
    <s v="HRP"/>
    <m/>
    <x v="0"/>
  </r>
  <r>
    <x v="14"/>
    <s v="Mali"/>
    <s v="Mali"/>
    <s v="MLI"/>
    <s v="People in need"/>
    <n v="7107194"/>
    <s v="Mali"/>
    <s v="HRP"/>
    <m/>
    <x v="0"/>
  </r>
  <r>
    <x v="14"/>
    <s v="Mozambique"/>
    <s v="Mozambique"/>
    <s v="MOZ"/>
    <s v="People in need"/>
    <n v="2252973"/>
    <s v="Mozambique"/>
    <s v="HRP"/>
    <m/>
    <x v="0"/>
  </r>
  <r>
    <x v="14"/>
    <s v="Myanmar"/>
    <s v="Myanmar"/>
    <s v="MMR"/>
    <s v="People in need"/>
    <n v="18590021"/>
    <s v="Myanmar"/>
    <s v="HRP"/>
    <m/>
    <x v="0"/>
  </r>
  <r>
    <x v="14"/>
    <s v="Niger"/>
    <s v="Niger"/>
    <s v="NER"/>
    <s v="People in need"/>
    <n v="4500000"/>
    <s v="Niger"/>
    <s v="HRP"/>
    <m/>
    <x v="0"/>
  </r>
  <r>
    <x v="14"/>
    <s v="Nigeria"/>
    <s v="Nigeria"/>
    <s v="NGA"/>
    <s v="People in need"/>
    <n v="7900000"/>
    <s v="Nigeria"/>
    <s v="HRP"/>
    <m/>
    <x v="0"/>
  </r>
  <r>
    <x v="14"/>
    <s v="Somalia"/>
    <s v="Somalia"/>
    <s v="SOM"/>
    <s v="People in need"/>
    <n v="6869716"/>
    <s v="Somalia"/>
    <s v="HRP"/>
    <m/>
    <x v="0"/>
  </r>
  <r>
    <x v="14"/>
    <s v="South Sudan"/>
    <s v="South Sudan"/>
    <s v="SSD"/>
    <s v="People in need"/>
    <n v="8996986"/>
    <s v="South Sudan"/>
    <s v="HRP"/>
    <m/>
    <x v="0"/>
  </r>
  <r>
    <x v="14"/>
    <s v="Sudan"/>
    <s v="Sudan"/>
    <s v="SDN"/>
    <s v="People in need"/>
    <n v="24786370"/>
    <s v="Sudan"/>
    <s v="HRP"/>
    <m/>
    <x v="0"/>
  </r>
  <r>
    <x v="14"/>
    <s v="Syrian Arab Republic"/>
    <s v="Syrian Arab Republic"/>
    <s v="SYR"/>
    <s v="People in need"/>
    <n v="15300000"/>
    <s v="Syrian Arab Republic"/>
    <s v="HRP"/>
    <m/>
    <x v="0"/>
  </r>
  <r>
    <x v="14"/>
    <s v="Ukraine"/>
    <s v="Ukraine"/>
    <s v="UKR"/>
    <s v="People in need"/>
    <n v="14622301"/>
    <s v="Ukraine"/>
    <s v="HRP"/>
    <m/>
    <x v="0"/>
  </r>
  <r>
    <x v="14"/>
    <s v="Venezuela"/>
    <s v="Venezuela"/>
    <s v="VEN"/>
    <s v="People in need"/>
    <n v="7581480"/>
    <s v="Venezuela"/>
    <s v="HRP"/>
    <m/>
    <x v="0"/>
  </r>
  <r>
    <x v="14"/>
    <s v="Yemen"/>
    <s v="Yemen"/>
    <s v="YEM"/>
    <s v="People in need"/>
    <n v="18182658"/>
    <s v="Yemen"/>
    <s v="HRP"/>
    <m/>
    <x v="0"/>
  </r>
  <r>
    <x v="14"/>
    <s v="Libya"/>
    <s v="Libya"/>
    <s v="LBY"/>
    <s v="People in need"/>
    <n v="250000"/>
    <s v="Libya"/>
    <s v="FA"/>
    <m/>
    <x v="0"/>
  </r>
  <r>
    <x v="14"/>
    <s v="Madagascar"/>
    <s v="Madagascar"/>
    <s v="MDG"/>
    <s v="People in need"/>
    <n v="2295813"/>
    <s v="Madagascar"/>
    <s v="FA"/>
    <m/>
    <x v="0"/>
  </r>
  <r>
    <x v="14"/>
    <s v="Occupied Palestinian Territory"/>
    <s v="Occupied Palestinian Territory"/>
    <s v="PSE"/>
    <s v="People in need"/>
    <n v="2700000"/>
    <s v="Occupied Palestinian Territory"/>
    <s v="FA"/>
    <m/>
    <x v="0"/>
  </r>
  <r>
    <x v="14"/>
    <s v="Afghanistan"/>
    <s v="Afghanistan"/>
    <s v="AFG"/>
    <s v="People in need"/>
    <n v="7300000"/>
    <s v="Afghanistan"/>
    <s v="RRP"/>
    <m/>
    <x v="0"/>
  </r>
  <r>
    <x v="14"/>
    <s v="Democratic Republic of the Congo"/>
    <s v="Democratic Republic of the Congo"/>
    <s v="COD"/>
    <s v="People in need"/>
    <n v="1856000"/>
    <s v="Democratic Republic of the Congo"/>
    <s v="RRP"/>
    <m/>
    <x v="0"/>
  </r>
  <r>
    <x v="14"/>
    <s v="Rohingya (JRP)"/>
    <s v="Myanmar"/>
    <s v="MMR"/>
    <s v="People in need"/>
    <n v="1550000"/>
    <s v="Rohingya (JRP)"/>
    <s v="RRP"/>
    <m/>
    <x v="0"/>
  </r>
  <r>
    <x v="14"/>
    <s v="South Sudan"/>
    <s v="South Sudan"/>
    <s v="SSD"/>
    <s v="People in need"/>
    <n v="4622729"/>
    <s v="South Sudan"/>
    <s v="RRP"/>
    <m/>
    <x v="0"/>
  </r>
  <r>
    <x v="14"/>
    <s v="Sudan"/>
    <s v="Sudan"/>
    <s v="SDN"/>
    <s v="People in need"/>
    <n v="3285935"/>
    <s v="Sudan"/>
    <s v="RRP"/>
    <m/>
    <x v="0"/>
  </r>
  <r>
    <x v="14"/>
    <s v="Syria (3RP)"/>
    <s v="Syria"/>
    <s v="SYR"/>
    <s v="People in need"/>
    <n v="17200000"/>
    <s v="Syria (3RP)"/>
    <s v="RRP"/>
    <m/>
    <x v="0"/>
  </r>
  <r>
    <x v="14"/>
    <s v="The Horn of Africa and Yemen (MRP)"/>
    <s v="The Horn of Africa and Yemen"/>
    <m/>
    <s v="People in need"/>
    <n v="1864821"/>
    <s v="The Horn of Africa and Yemen (MRP)"/>
    <s v="RRP"/>
    <m/>
    <x v="0"/>
  </r>
  <r>
    <x v="14"/>
    <s v="Ukraine"/>
    <s v="Ukraine"/>
    <s v="UKR"/>
    <s v="People in need"/>
    <n v="2245000"/>
    <s v="Ukraine"/>
    <s v="RRP"/>
    <m/>
    <x v="0"/>
  </r>
  <r>
    <x v="14"/>
    <s v="Venezuela (RMRP)"/>
    <s v="Venezuela"/>
    <s v="VEN"/>
    <s v="People in need"/>
    <n v="8678941"/>
    <s v="Venezuela (RMRP)"/>
    <s v="RRP"/>
    <m/>
    <x v="0"/>
  </r>
  <r>
    <x v="14"/>
    <s v="Afghanistan"/>
    <s v="Afghanistan"/>
    <s v="AFG"/>
    <s v="Funding requirements"/>
    <n v="3059587797"/>
    <s v="Afghanistan"/>
    <s v="HRP"/>
    <m/>
    <x v="2"/>
  </r>
  <r>
    <x v="14"/>
    <s v="Burkina Faso"/>
    <s v="Burkina Faso"/>
    <s v="BFA"/>
    <s v="Funding requirements"/>
    <n v="935000000"/>
    <s v="Burkina Faso"/>
    <s v="HRP"/>
    <m/>
    <x v="2"/>
  </r>
  <r>
    <x v="14"/>
    <s v="Cameroon"/>
    <s v="Cameroon"/>
    <s v="CMR"/>
    <s v="Funding requirements"/>
    <n v="371369724"/>
    <s v="Cameroon"/>
    <s v="HRP"/>
    <m/>
    <x v="2"/>
  </r>
  <r>
    <x v="14"/>
    <s v="Central African Republic"/>
    <s v="Central African Republic"/>
    <s v="CAF"/>
    <s v="Funding requirements"/>
    <n v="367670976"/>
    <s v="Central African Republic"/>
    <s v="HRP"/>
    <m/>
    <x v="2"/>
  </r>
  <r>
    <x v="14"/>
    <s v="Chad"/>
    <s v="Chad"/>
    <s v="TCD"/>
    <s v="Funding requirements"/>
    <n v="1181400000"/>
    <s v="Chad"/>
    <s v="HRP"/>
    <m/>
    <x v="2"/>
  </r>
  <r>
    <x v="14"/>
    <s v="Colombia"/>
    <s v="Colombia"/>
    <s v="COL"/>
    <s v="Funding requirements"/>
    <n v="331990687"/>
    <s v="Colombia"/>
    <s v="HRP"/>
    <m/>
    <x v="2"/>
  </r>
  <r>
    <x v="14"/>
    <s v="Democratic Republic of the Congo"/>
    <s v="Democratic Republic of the Congo"/>
    <s v="COD"/>
    <s v="Funding requirements"/>
    <n v="2580627746"/>
    <s v="Democratic Republic of the Congo"/>
    <s v="HRP"/>
    <m/>
    <x v="2"/>
  </r>
  <r>
    <x v="14"/>
    <s v="El Salvador"/>
    <s v="El Salvador"/>
    <s v="SLV"/>
    <s v="Funding requirements"/>
    <n v="87000000"/>
    <s v="El Salvador"/>
    <s v="HRP"/>
    <m/>
    <x v="2"/>
  </r>
  <r>
    <x v="14"/>
    <s v="Ethiopia"/>
    <s v="Ethiopia"/>
    <s v="ETH"/>
    <s v="Funding requirements"/>
    <n v="3235782784"/>
    <s v="Ethiopia"/>
    <s v="HRP"/>
    <m/>
    <x v="2"/>
  </r>
  <r>
    <x v="14"/>
    <s v="Guatemala"/>
    <s v="Guatemala"/>
    <s v="GTM"/>
    <s v="Funding requirements"/>
    <n v="125401425"/>
    <s v="Guatemala"/>
    <s v="HRP"/>
    <m/>
    <x v="2"/>
  </r>
  <r>
    <x v="14"/>
    <s v="Haiti"/>
    <s v="Haiti"/>
    <s v="HTI"/>
    <s v="Funding requirements"/>
    <n v="673767352"/>
    <s v="Haiti"/>
    <s v="HRP"/>
    <m/>
    <x v="2"/>
  </r>
  <r>
    <x v="14"/>
    <s v="Honduras"/>
    <s v="Honduras"/>
    <s v="HND"/>
    <s v="Funding requirements"/>
    <n v="203159869"/>
    <s v="Honduras"/>
    <s v="HRP"/>
    <m/>
    <x v="2"/>
  </r>
  <r>
    <x v="14"/>
    <s v="Mali"/>
    <s v="Mali"/>
    <s v="MLI"/>
    <s v="Funding requirements"/>
    <n v="701569941"/>
    <s v="Mali"/>
    <s v="HRP"/>
    <m/>
    <x v="2"/>
  </r>
  <r>
    <x v="14"/>
    <s v="Mozambique"/>
    <s v="Mozambique"/>
    <s v="MOZ"/>
    <s v="Funding requirements"/>
    <n v="413420177"/>
    <s v="Mozambique"/>
    <s v="HRP"/>
    <m/>
    <x v="2"/>
  </r>
  <r>
    <x v="14"/>
    <s v="Myanmar"/>
    <s v="Myanmar"/>
    <s v="MMR"/>
    <s v="Funding requirements"/>
    <n v="993548103"/>
    <s v="Myanmar"/>
    <s v="HRP"/>
    <m/>
    <x v="2"/>
  </r>
  <r>
    <x v="14"/>
    <s v="Niger"/>
    <s v="Niger"/>
    <s v="NER"/>
    <s v="Funding requirements"/>
    <n v="662192757"/>
    <s v="Niger"/>
    <s v="HRP"/>
    <m/>
    <x v="2"/>
  </r>
  <r>
    <x v="14"/>
    <s v="Nigeria"/>
    <s v="Nigeria"/>
    <s v="NGA"/>
    <s v="Funding requirements"/>
    <n v="860000000"/>
    <s v="Nigeria"/>
    <s v="HRP"/>
    <m/>
    <x v="2"/>
  </r>
  <r>
    <x v="14"/>
    <s v="Somalia"/>
    <s v="Somalia"/>
    <s v="SOM"/>
    <s v="Funding requirements"/>
    <n v="1585259297"/>
    <s v="Somalia"/>
    <s v="HRP"/>
    <m/>
    <x v="2"/>
  </r>
  <r>
    <x v="14"/>
    <s v="South Sudan"/>
    <s v="South Sudan"/>
    <s v="SSD"/>
    <s v="Funding requirements"/>
    <n v="1788817122"/>
    <s v="South Sudan"/>
    <s v="HRP"/>
    <m/>
    <x v="2"/>
  </r>
  <r>
    <x v="14"/>
    <s v="Sudan"/>
    <s v="Sudan"/>
    <s v="SDN"/>
    <s v="Funding requirements"/>
    <n v="2695680744"/>
    <s v="Sudan"/>
    <s v="HRP"/>
    <m/>
    <x v="2"/>
  </r>
  <r>
    <x v="14"/>
    <s v="Syrian Arab Republic"/>
    <s v="Syrian Arab Republic"/>
    <s v="SYR"/>
    <s v="Funding requirements"/>
    <n v="4400000000"/>
    <s v="Syrian Arab Republic"/>
    <s v="HRP"/>
    <m/>
    <x v="2"/>
  </r>
  <r>
    <x v="14"/>
    <s v="Ukraine"/>
    <s v="Ukraine"/>
    <s v="UKR"/>
    <s v="Funding requirements"/>
    <n v="3107702931"/>
    <s v="Ukraine"/>
    <s v="HRP"/>
    <m/>
    <x v="2"/>
  </r>
  <r>
    <x v="14"/>
    <s v="Venezuela"/>
    <s v="Venezuela"/>
    <s v="VEN"/>
    <s v="Funding requirements"/>
    <n v="617034811"/>
    <s v="Venezuela"/>
    <s v="HRP"/>
    <m/>
    <x v="2"/>
  </r>
  <r>
    <x v="14"/>
    <s v="Yemen"/>
    <s v="Yemen"/>
    <s v="YEM"/>
    <s v="Funding requirements"/>
    <n v="2705762394"/>
    <s v="Yemen"/>
    <s v="HRP"/>
    <m/>
    <x v="2"/>
  </r>
  <r>
    <x v="14"/>
    <s v="Libya"/>
    <s v="Libya"/>
    <s v="LBY"/>
    <s v="Funding requirements"/>
    <n v="33667840"/>
    <s v="Libya"/>
    <s v="FA"/>
    <m/>
    <x v="2"/>
  </r>
  <r>
    <x v="14"/>
    <s v="Madagascar"/>
    <s v="Madagascar"/>
    <s v="MDG"/>
    <s v="Funding requirements"/>
    <n v="162217808"/>
    <s v="Madagascar"/>
    <s v="FA"/>
    <m/>
    <x v="2"/>
  </r>
  <r>
    <x v="14"/>
    <s v="Occupied Palestinian Territory"/>
    <s v="Occupied Palestinian Territory"/>
    <s v="PSE"/>
    <s v="Funding requirements"/>
    <n v="600000000"/>
    <s v="Occupied Palestinian Territory"/>
    <s v="FA"/>
    <m/>
    <x v="2"/>
  </r>
  <r>
    <x v="14"/>
    <s v="Afghanistan"/>
    <s v="Afghanistan"/>
    <s v="AFG"/>
    <s v="Funding requirements"/>
    <n v="620000000"/>
    <s v="Afghanistan"/>
    <s v="RRP"/>
    <m/>
    <x v="2"/>
  </r>
  <r>
    <x v="14"/>
    <s v="Democratic Republic of the Congo"/>
    <s v="Democratic Republic of the Congo"/>
    <s v="COD"/>
    <s v="Funding requirements"/>
    <n v="629800000"/>
    <s v="Democratic Republic of the Congo"/>
    <s v="RRP"/>
    <m/>
    <x v="2"/>
  </r>
  <r>
    <x v="14"/>
    <s v="Rohingya (JRP)"/>
    <s v="Myanmar"/>
    <s v="MMR"/>
    <s v="Funding requirements"/>
    <n v="872700000"/>
    <s v="Rohingya (JRP)"/>
    <s v="RRP"/>
    <m/>
    <x v="2"/>
  </r>
  <r>
    <x v="14"/>
    <s v="South Sudan"/>
    <s v="South Sudan"/>
    <s v="SSD"/>
    <s v="Funding requirements"/>
    <n v="981294922"/>
    <s v="South Sudan"/>
    <s v="RRP"/>
    <m/>
    <x v="2"/>
  </r>
  <r>
    <x v="14"/>
    <s v="Sudan"/>
    <s v="Sudan"/>
    <s v="SDN"/>
    <s v="Funding requirements"/>
    <n v="281321594"/>
    <s v="Sudan"/>
    <s v="RRP"/>
    <m/>
    <x v="2"/>
  </r>
  <r>
    <x v="14"/>
    <s v="Syria (3RP)"/>
    <s v="Syria"/>
    <s v="SYR"/>
    <s v="Funding requirements"/>
    <n v="5540000000"/>
    <s v="Syria (3RP)"/>
    <s v="RRP"/>
    <m/>
    <x v="2"/>
  </r>
  <r>
    <x v="14"/>
    <s v="The Horn of Africa and Yemen (MRP)"/>
    <s v="The Horn of Africa and Yemen"/>
    <m/>
    <s v="Funding requirements"/>
    <n v="73867855"/>
    <s v="The Horn of Africa and Yemen (MRP)"/>
    <s v="RRP"/>
    <m/>
    <x v="2"/>
  </r>
  <r>
    <x v="14"/>
    <s v="Ukraine"/>
    <s v="Ukraine"/>
    <s v="UKR"/>
    <s v="Funding requirements"/>
    <n v="1038000000"/>
    <s v="Ukraine"/>
    <s v="RRP"/>
    <m/>
    <x v="2"/>
  </r>
  <r>
    <x v="14"/>
    <s v="Venezuela (RMRP)"/>
    <s v="Venezuela"/>
    <s v="VEN"/>
    <s v="Funding requirements"/>
    <n v="1587428979"/>
    <s v="Venezuela (RMRP)"/>
    <s v="RRP"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Data by Year" cacheId="41" applyNumberFormats="0" applyBorderFormats="0" applyFontFormats="0" applyPatternFormats="0" applyAlignmentFormats="0" applyWidthHeightFormats="0" dataCaption="" updatedVersion="8" rowGrandTotals="0" colGrandTotals="0" compact="0" compactData="0">
  <location ref="A1:BC167" firstHeaderRow="1" firstDataRow="3" firstDataCol="2"/>
  <pivotFields count="8">
    <pivotField name="Year" axis="axisCol" compact="0" outline="0" multipleItemSelectionAllowed="1" showAll="0" sortType="ascending" defaultSubtotal="0">
      <items count="15">
        <item x="0"/>
        <item x="1"/>
        <item x="2"/>
        <item x="3"/>
        <item x="4"/>
        <item x="6"/>
        <item x="7"/>
        <item x="8"/>
        <item x="9"/>
        <item x="10"/>
        <item x="5"/>
        <item x="11"/>
        <item x="12"/>
        <item x="13"/>
        <item x="14"/>
      </items>
    </pivotField>
    <pivotField name="Plan" compact="0" outline="0" multipleItemSelectionAllowed="1" showAll="0"/>
    <pivotField name="Crisis Country" axis="axisRow" compact="0" outline="0" multipleItemSelectionAllowed="1" showAll="0" sortType="ascending" defaultSubtotal="0">
      <items count="75">
        <item x="0"/>
        <item x="1"/>
        <item x="4"/>
        <item x="2"/>
        <item x="3"/>
        <item x="69"/>
        <item x="5"/>
        <item x="6"/>
        <item x="7"/>
        <item x="18"/>
        <item x="8"/>
        <item x="9"/>
        <item x="10"/>
        <item x="42"/>
        <item x="11"/>
        <item x="16"/>
        <item x="12"/>
        <item x="34"/>
        <item x="40"/>
        <item x="17"/>
        <item x="13"/>
        <item x="14"/>
        <item x="19"/>
        <item x="15"/>
        <item x="22"/>
        <item x="23"/>
        <item x="24"/>
        <item x="51"/>
        <item x="28"/>
        <item x="20"/>
        <item x="52"/>
        <item x="74"/>
        <item x="26"/>
        <item x="21"/>
        <item x="29"/>
        <item x="27"/>
        <item x="71"/>
        <item x="33"/>
        <item x="32"/>
        <item x="30"/>
        <item x="31"/>
        <item x="62"/>
        <item x="63"/>
        <item x="35"/>
        <item x="36"/>
        <item x="38"/>
        <item x="44"/>
        <item x="37"/>
        <item x="41"/>
        <item x="43"/>
        <item x="45"/>
        <item x="39"/>
        <item x="46"/>
        <item x="47"/>
        <item x="48"/>
        <item x="49"/>
        <item x="50"/>
        <item x="25"/>
        <item x="53"/>
        <item x="54"/>
        <item x="72"/>
        <item x="66"/>
        <item x="70"/>
        <item x="64"/>
        <item x="67"/>
        <item x="65"/>
        <item x="73"/>
        <item x="55"/>
        <item x="56"/>
        <item x="57"/>
        <item x="58"/>
        <item x="61"/>
        <item x="59"/>
        <item x="68"/>
        <item x="60"/>
      </items>
    </pivotField>
    <pivotField name="Country Code" compact="0" outline="0" multipleItemSelectionAllowed="1" showAll="0"/>
    <pivotField name="Metric" axis="axisCol" compact="0" outline="0" multipleItemSelectionAllowed="1" showAll="0" sortType="descending">
      <items count="5">
        <item x="0"/>
        <item x="3"/>
        <item x="2"/>
        <item x="1"/>
        <item t="default"/>
      </items>
    </pivotField>
    <pivotField name="Value" dataField="1" compact="0" numFmtId="3" outline="0" multipleItemSelectionAllowed="1" showAll="0"/>
    <pivotField name="Standardised Plan" axis="axisRow" compact="0" outline="0" multipleItemSelectionAllowed="1" showAll="0" sortType="ascending">
      <items count="162">
        <item x="0"/>
        <item x="1"/>
        <item x="2"/>
        <item x="3"/>
        <item x="5"/>
        <item x="8"/>
        <item x="4"/>
        <item x="6"/>
        <item x="7"/>
        <item x="141"/>
        <item x="10"/>
        <item x="9"/>
        <item x="16"/>
        <item x="11"/>
        <item x="125"/>
        <item x="13"/>
        <item x="14"/>
        <item x="12"/>
        <item x="15"/>
        <item x="35"/>
        <item x="17"/>
        <item x="18"/>
        <item x="19"/>
        <item x="20"/>
        <item x="22"/>
        <item x="21"/>
        <item x="76"/>
        <item x="142"/>
        <item x="23"/>
        <item x="30"/>
        <item x="58"/>
        <item x="31"/>
        <item x="60"/>
        <item x="32"/>
        <item x="33"/>
        <item x="64"/>
        <item x="24"/>
        <item x="65"/>
        <item x="149"/>
        <item x="74"/>
        <item x="34"/>
        <item x="25"/>
        <item x="26"/>
        <item x="27"/>
        <item x="28"/>
        <item x="36"/>
        <item x="37"/>
        <item x="38"/>
        <item x="41"/>
        <item x="29"/>
        <item x="140"/>
        <item x="148"/>
        <item x="42"/>
        <item x="43"/>
        <item x="44"/>
        <item x="50"/>
        <item x="97"/>
        <item x="151"/>
        <item x="98"/>
        <item x="52"/>
        <item x="53"/>
        <item x="39"/>
        <item x="99"/>
        <item x="155"/>
        <item x="100"/>
        <item x="102"/>
        <item x="47"/>
        <item x="40"/>
        <item x="54"/>
        <item x="55"/>
        <item x="48"/>
        <item x="49"/>
        <item x="152"/>
        <item x="63"/>
        <item x="62"/>
        <item x="91"/>
        <item x="160"/>
        <item x="57"/>
        <item x="51"/>
        <item x="59"/>
        <item x="61"/>
        <item x="66"/>
        <item x="67"/>
        <item x="68"/>
        <item x="69"/>
        <item x="71"/>
        <item x="147"/>
        <item x="72"/>
        <item x="81"/>
        <item x="70"/>
        <item x="75"/>
        <item x="78"/>
        <item x="79"/>
        <item x="77"/>
        <item x="80"/>
        <item x="82"/>
        <item x="83"/>
        <item x="84"/>
        <item x="85"/>
        <item x="86"/>
        <item x="73"/>
        <item x="87"/>
        <item x="88"/>
        <item x="89"/>
        <item x="90"/>
        <item x="56"/>
        <item x="92"/>
        <item x="129"/>
        <item x="95"/>
        <item x="153"/>
        <item x="131"/>
        <item x="126"/>
        <item x="93"/>
        <item x="94"/>
        <item x="96"/>
        <item x="145"/>
        <item x="106"/>
        <item x="101"/>
        <item x="104"/>
        <item x="103"/>
        <item x="105"/>
        <item x="130"/>
        <item x="156"/>
        <item x="45"/>
        <item x="122"/>
        <item x="46"/>
        <item x="107"/>
        <item x="108"/>
        <item x="115"/>
        <item x="159"/>
        <item x="132"/>
        <item x="157"/>
        <item x="110"/>
        <item x="136"/>
        <item x="146"/>
        <item x="111"/>
        <item x="112"/>
        <item x="113"/>
        <item x="109"/>
        <item x="114"/>
        <item x="150"/>
        <item x="154"/>
        <item x="133"/>
        <item x="137"/>
        <item x="144"/>
        <item x="134"/>
        <item x="158"/>
        <item x="116"/>
        <item x="135"/>
        <item x="117"/>
        <item x="118"/>
        <item x="119"/>
        <item x="143"/>
        <item x="120"/>
        <item x="138"/>
        <item x="124"/>
        <item x="121"/>
        <item x="127"/>
        <item x="128"/>
        <item x="139"/>
        <item x="123"/>
        <item t="default"/>
      </items>
    </pivotField>
    <pivotField name="Appeal Type" compact="0" outline="0" multipleItemSelectionAllowed="1" showAll="0"/>
  </pivotFields>
  <rowFields count="2">
    <field x="2"/>
    <field x="6"/>
  </rowFields>
  <rowItems count="164">
    <i>
      <x/>
      <x/>
    </i>
    <i r="1">
      <x v="1"/>
    </i>
    <i r="1">
      <x v="2"/>
    </i>
    <i>
      <x v="1"/>
      <x v="3"/>
    </i>
    <i r="1">
      <x v="4"/>
    </i>
    <i>
      <x v="2"/>
      <x v="5"/>
    </i>
    <i>
      <x v="3"/>
      <x v="6"/>
    </i>
    <i r="1">
      <x v="7"/>
    </i>
    <i>
      <x v="4"/>
      <x v="8"/>
    </i>
    <i r="1">
      <x v="10"/>
    </i>
    <i r="1">
      <x v="11"/>
    </i>
    <i r="1">
      <x v="12"/>
    </i>
    <i>
      <x v="5"/>
      <x v="9"/>
    </i>
    <i>
      <x v="6"/>
      <x v="13"/>
    </i>
    <i>
      <x v="7"/>
      <x v="15"/>
    </i>
    <i r="1">
      <x v="16"/>
    </i>
    <i r="1">
      <x v="17"/>
    </i>
    <i>
      <x v="8"/>
      <x v="18"/>
    </i>
    <i>
      <x v="9"/>
      <x v="19"/>
    </i>
    <i>
      <x v="10"/>
      <x v="20"/>
    </i>
    <i>
      <x v="11"/>
      <x v="21"/>
    </i>
    <i r="1">
      <x v="22"/>
    </i>
    <i>
      <x v="12"/>
      <x v="23"/>
    </i>
    <i r="1">
      <x v="24"/>
    </i>
    <i r="1">
      <x v="25"/>
    </i>
    <i>
      <x v="13"/>
      <x v="26"/>
    </i>
    <i r="1">
      <x v="27"/>
    </i>
    <i>
      <x v="14"/>
      <x v="28"/>
    </i>
    <i r="1">
      <x v="29"/>
    </i>
    <i r="1">
      <x v="30"/>
    </i>
    <i>
      <x v="15"/>
      <x v="31"/>
    </i>
    <i r="1">
      <x v="32"/>
    </i>
    <i r="1">
      <x v="33"/>
    </i>
    <i r="1">
      <x v="34"/>
    </i>
    <i r="1">
      <x v="35"/>
    </i>
    <i>
      <x v="16"/>
      <x v="36"/>
    </i>
    <i>
      <x v="17"/>
      <x v="37"/>
    </i>
    <i>
      <x v="18"/>
      <x v="38"/>
    </i>
    <i r="1">
      <x v="39"/>
    </i>
    <i r="1">
      <x v="51"/>
    </i>
    <i>
      <x v="19"/>
      <x v="40"/>
    </i>
    <i>
      <x v="20"/>
      <x v="41"/>
    </i>
    <i>
      <x v="21"/>
      <x v="42"/>
    </i>
    <i r="1">
      <x v="43"/>
    </i>
    <i r="1">
      <x v="44"/>
    </i>
    <i r="1">
      <x v="51"/>
    </i>
    <i>
      <x v="22"/>
      <x v="45"/>
    </i>
    <i r="1">
      <x v="46"/>
    </i>
    <i r="1">
      <x v="47"/>
    </i>
    <i r="1">
      <x v="48"/>
    </i>
    <i>
      <x v="23"/>
      <x v="49"/>
    </i>
    <i r="1">
      <x v="50"/>
    </i>
    <i r="1">
      <x v="51"/>
    </i>
    <i>
      <x v="24"/>
      <x v="52"/>
    </i>
    <i>
      <x v="25"/>
      <x v="53"/>
    </i>
    <i>
      <x v="26"/>
      <x v="54"/>
    </i>
    <i r="1">
      <x v="55"/>
    </i>
    <i r="1">
      <x v="78"/>
    </i>
    <i>
      <x v="27"/>
      <x v="56"/>
    </i>
    <i>
      <x v="28"/>
      <x v="57"/>
    </i>
    <i r="1">
      <x v="58"/>
    </i>
    <i r="1">
      <x v="59"/>
    </i>
    <i r="1">
      <x v="60"/>
    </i>
    <i>
      <x v="29"/>
      <x v="61"/>
    </i>
    <i>
      <x v="30"/>
      <x v="62"/>
    </i>
    <i r="1">
      <x v="63"/>
    </i>
    <i r="1">
      <x v="64"/>
    </i>
    <i>
      <x v="31"/>
      <x v="63"/>
    </i>
    <i>
      <x v="32"/>
      <x v="65"/>
    </i>
    <i r="1">
      <x v="66"/>
    </i>
    <i>
      <x v="33"/>
      <x v="67"/>
    </i>
    <i>
      <x v="34"/>
      <x v="68"/>
    </i>
    <i r="1">
      <x v="69"/>
    </i>
    <i r="1">
      <x v="105"/>
    </i>
    <i>
      <x v="35"/>
      <x v="70"/>
    </i>
    <i r="1">
      <x v="71"/>
    </i>
    <i>
      <x v="36"/>
      <x v="72"/>
    </i>
    <i>
      <x v="37"/>
      <x v="73"/>
    </i>
    <i>
      <x v="38"/>
      <x v="74"/>
    </i>
    <i>
      <x v="39"/>
      <x v="76"/>
    </i>
    <i r="1">
      <x v="77"/>
    </i>
    <i>
      <x v="40"/>
      <x v="79"/>
    </i>
    <i r="1">
      <x v="80"/>
    </i>
    <i>
      <x v="41"/>
      <x v="14"/>
    </i>
    <i>
      <x v="42"/>
      <x v="111"/>
    </i>
    <i>
      <x v="43"/>
      <x v="81"/>
    </i>
    <i r="1">
      <x v="82"/>
    </i>
    <i r="1">
      <x v="83"/>
    </i>
    <i r="1">
      <x v="109"/>
    </i>
    <i r="1">
      <x v="110"/>
    </i>
    <i>
      <x v="44"/>
      <x v="84"/>
    </i>
    <i>
      <x v="45"/>
      <x v="85"/>
    </i>
    <i r="1">
      <x v="86"/>
    </i>
    <i r="1">
      <x v="87"/>
    </i>
    <i>
      <x v="46"/>
      <x v="88"/>
    </i>
    <i>
      <x v="47"/>
      <x v="89"/>
    </i>
    <i>
      <x v="48"/>
      <x v="90"/>
    </i>
    <i r="1">
      <x v="91"/>
    </i>
    <i r="1">
      <x v="92"/>
    </i>
    <i r="1">
      <x v="93"/>
    </i>
    <i>
      <x v="49"/>
      <x v="94"/>
    </i>
    <i>
      <x v="50"/>
      <x v="95"/>
    </i>
    <i r="1">
      <x v="96"/>
    </i>
    <i r="1">
      <x v="97"/>
    </i>
    <i r="1">
      <x v="98"/>
    </i>
    <i r="1">
      <x v="99"/>
    </i>
    <i>
      <x v="51"/>
      <x v="100"/>
    </i>
    <i>
      <x v="52"/>
      <x v="75"/>
    </i>
    <i r="1">
      <x v="101"/>
    </i>
    <i r="1">
      <x v="102"/>
    </i>
    <i r="1">
      <x v="103"/>
    </i>
    <i r="1">
      <x v="104"/>
    </i>
    <i>
      <x v="53"/>
      <x v="106"/>
    </i>
    <i r="1">
      <x v="107"/>
    </i>
    <i>
      <x v="54"/>
      <x v="112"/>
    </i>
    <i>
      <x v="55"/>
      <x v="113"/>
    </i>
    <i>
      <x v="56"/>
      <x v="108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>
      <x v="57"/>
      <x v="122"/>
    </i>
    <i r="1">
      <x v="123"/>
    </i>
    <i r="1">
      <x v="124"/>
    </i>
    <i r="1">
      <x v="125"/>
    </i>
    <i>
      <x v="58"/>
      <x v="126"/>
    </i>
    <i>
      <x v="59"/>
      <x v="127"/>
    </i>
    <i r="1">
      <x v="128"/>
    </i>
    <i r="1">
      <x v="129"/>
    </i>
    <i r="1">
      <x v="130"/>
    </i>
    <i r="1">
      <x v="132"/>
    </i>
    <i r="1">
      <x v="135"/>
    </i>
    <i r="1">
      <x v="136"/>
    </i>
    <i r="1">
      <x v="137"/>
    </i>
    <i r="1">
      <x v="138"/>
    </i>
    <i r="1">
      <x v="139"/>
    </i>
    <i>
      <x v="60"/>
      <x v="131"/>
    </i>
    <i>
      <x v="61"/>
      <x v="133"/>
    </i>
    <i r="1">
      <x v="134"/>
    </i>
    <i>
      <x v="62"/>
      <x v="140"/>
    </i>
    <i r="1">
      <x v="141"/>
    </i>
    <i>
      <x v="63"/>
      <x v="142"/>
    </i>
    <i>
      <x v="64"/>
      <x v="143"/>
    </i>
    <i r="1">
      <x v="144"/>
    </i>
    <i>
      <x v="65"/>
      <x v="145"/>
    </i>
    <i>
      <x v="66"/>
      <x v="146"/>
    </i>
    <i>
      <x v="67"/>
      <x v="147"/>
    </i>
    <i r="1">
      <x v="148"/>
    </i>
    <i>
      <x v="68"/>
      <x v="149"/>
    </i>
    <i>
      <x v="69"/>
      <x v="150"/>
    </i>
    <i>
      <x v="70"/>
      <x v="151"/>
    </i>
    <i r="1">
      <x v="152"/>
    </i>
    <i r="1">
      <x v="153"/>
    </i>
    <i r="1">
      <x v="154"/>
    </i>
    <i>
      <x v="71"/>
      <x v="155"/>
    </i>
    <i>
      <x v="72"/>
      <x v="156"/>
    </i>
    <i r="1">
      <x v="157"/>
    </i>
    <i r="1">
      <x v="158"/>
    </i>
    <i>
      <x v="73"/>
      <x v="159"/>
    </i>
    <i>
      <x v="74"/>
      <x v="160"/>
    </i>
  </rowItems>
  <colFields count="2">
    <field x="0"/>
    <field x="4"/>
  </colFields>
  <colItems count="53">
    <i>
      <x/>
      <x/>
    </i>
    <i r="1">
      <x v="1"/>
    </i>
    <i r="1">
      <x v="2"/>
    </i>
    <i r="1">
      <x v="3"/>
    </i>
    <i>
      <x v="1"/>
      <x/>
    </i>
    <i r="1">
      <x v="1"/>
    </i>
    <i r="1">
      <x v="2"/>
    </i>
    <i r="1">
      <x v="3"/>
    </i>
    <i>
      <x v="2"/>
      <x/>
    </i>
    <i r="1">
      <x v="1"/>
    </i>
    <i r="1">
      <x v="2"/>
    </i>
    <i r="1">
      <x v="3"/>
    </i>
    <i>
      <x v="3"/>
      <x/>
    </i>
    <i r="1">
      <x v="1"/>
    </i>
    <i r="1">
      <x v="2"/>
    </i>
    <i r="1">
      <x v="3"/>
    </i>
    <i>
      <x v="4"/>
      <x/>
    </i>
    <i r="1">
      <x v="1"/>
    </i>
    <i r="1">
      <x v="2"/>
    </i>
    <i r="1">
      <x v="3"/>
    </i>
    <i>
      <x v="5"/>
      <x/>
    </i>
    <i r="1">
      <x v="1"/>
    </i>
    <i r="1">
      <x v="2"/>
    </i>
    <i r="1">
      <x v="3"/>
    </i>
    <i>
      <x v="6"/>
      <x/>
    </i>
    <i r="1">
      <x v="1"/>
    </i>
    <i r="1">
      <x v="2"/>
    </i>
    <i r="1">
      <x v="3"/>
    </i>
    <i>
      <x v="7"/>
      <x/>
    </i>
    <i r="1">
      <x v="1"/>
    </i>
    <i r="1">
      <x v="2"/>
    </i>
    <i r="1">
      <x v="3"/>
    </i>
    <i>
      <x v="8"/>
      <x/>
    </i>
    <i r="1">
      <x v="1"/>
    </i>
    <i r="1">
      <x v="2"/>
    </i>
    <i r="1">
      <x v="3"/>
    </i>
    <i>
      <x v="9"/>
      <x/>
    </i>
    <i r="1">
      <x v="1"/>
    </i>
    <i r="1">
      <x v="2"/>
    </i>
    <i r="1">
      <x v="3"/>
    </i>
    <i>
      <x v="10"/>
      <x/>
    </i>
    <i r="1">
      <x v="1"/>
    </i>
    <i r="1">
      <x v="2"/>
    </i>
    <i r="1">
      <x v="3"/>
    </i>
    <i>
      <x v="11"/>
      <x v="1"/>
    </i>
    <i r="1">
      <x v="2"/>
    </i>
    <i r="1">
      <x v="3"/>
    </i>
    <i>
      <x v="12"/>
      <x v="1"/>
    </i>
    <i r="1">
      <x v="2"/>
    </i>
    <i>
      <x v="13"/>
      <x v="1"/>
    </i>
    <i r="1">
      <x v="2"/>
    </i>
    <i>
      <x v="14"/>
      <x v="1"/>
    </i>
    <i r="1">
      <x v="2"/>
    </i>
  </colItems>
  <dataFields count="1">
    <dataField name="SUM of Value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1000000}" name="Data by Plan" cacheId="41" applyNumberFormats="0" applyBorderFormats="0" applyFontFormats="0" applyPatternFormats="0" applyAlignmentFormats="0" applyWidthHeightFormats="0" dataCaption="" updatedVersion="8" rowGrandTotals="0" colGrandTotals="0" compact="0" compactData="0">
  <location ref="A1:F166" firstHeaderRow="1" firstDataRow="2" firstDataCol="2"/>
  <pivotFields count="8">
    <pivotField name="Year" compact="0" outline="0" multipleItemSelectionAllowed="1" showAll="0"/>
    <pivotField name="Plan" compact="0" outline="0" multipleItemSelectionAllowed="1" showAll="0"/>
    <pivotField name="Crisis Country" axis="axisRow" compact="0" outline="0" multipleItemSelectionAllowed="1" showAll="0" sortType="ascending" defaultSubtotal="0">
      <items count="75">
        <item x="0"/>
        <item x="1"/>
        <item x="4"/>
        <item x="2"/>
        <item x="3"/>
        <item x="69"/>
        <item x="5"/>
        <item x="6"/>
        <item x="7"/>
        <item x="18"/>
        <item x="8"/>
        <item x="9"/>
        <item x="10"/>
        <item x="42"/>
        <item x="11"/>
        <item x="16"/>
        <item x="12"/>
        <item x="34"/>
        <item x="40"/>
        <item x="17"/>
        <item x="13"/>
        <item x="14"/>
        <item x="19"/>
        <item x="15"/>
        <item x="22"/>
        <item x="23"/>
        <item x="24"/>
        <item x="51"/>
        <item x="28"/>
        <item x="20"/>
        <item x="52"/>
        <item x="74"/>
        <item x="26"/>
        <item x="21"/>
        <item x="29"/>
        <item x="27"/>
        <item x="71"/>
        <item x="33"/>
        <item x="32"/>
        <item x="30"/>
        <item x="31"/>
        <item x="62"/>
        <item x="63"/>
        <item x="35"/>
        <item x="36"/>
        <item x="38"/>
        <item x="44"/>
        <item x="37"/>
        <item x="41"/>
        <item x="43"/>
        <item x="45"/>
        <item x="39"/>
        <item x="46"/>
        <item x="47"/>
        <item x="48"/>
        <item x="49"/>
        <item x="50"/>
        <item x="25"/>
        <item x="53"/>
        <item x="54"/>
        <item x="72"/>
        <item x="66"/>
        <item x="70"/>
        <item x="64"/>
        <item x="67"/>
        <item x="65"/>
        <item x="73"/>
        <item x="55"/>
        <item x="56"/>
        <item x="57"/>
        <item x="58"/>
        <item x="61"/>
        <item x="59"/>
        <item x="68"/>
        <item x="60"/>
      </items>
    </pivotField>
    <pivotField name="Country Code" compact="0" outline="0" multipleItemSelectionAllowed="1" showAll="0"/>
    <pivotField name="Metric" axis="axisCol" compact="0" outline="0" multipleItemSelectionAllowed="1" showAll="0" sortType="descending">
      <items count="5">
        <item x="0"/>
        <item x="3"/>
        <item x="2"/>
        <item x="1"/>
        <item t="default"/>
      </items>
    </pivotField>
    <pivotField name="Value" dataField="1" compact="0" numFmtId="3" outline="0" multipleItemSelectionAllowed="1" showAll="0"/>
    <pivotField name="Standardised Plan" axis="axisRow" compact="0" outline="0" multipleItemSelectionAllowed="1" showAll="0" sortType="ascending">
      <items count="162">
        <item x="0"/>
        <item x="1"/>
        <item x="2"/>
        <item x="3"/>
        <item x="5"/>
        <item x="8"/>
        <item x="4"/>
        <item x="6"/>
        <item x="7"/>
        <item x="141"/>
        <item x="10"/>
        <item x="9"/>
        <item x="16"/>
        <item x="11"/>
        <item x="125"/>
        <item x="13"/>
        <item x="14"/>
        <item x="12"/>
        <item x="15"/>
        <item x="35"/>
        <item x="17"/>
        <item x="18"/>
        <item x="19"/>
        <item x="20"/>
        <item x="22"/>
        <item x="21"/>
        <item x="76"/>
        <item x="142"/>
        <item x="23"/>
        <item x="30"/>
        <item x="58"/>
        <item x="31"/>
        <item x="60"/>
        <item x="32"/>
        <item x="33"/>
        <item x="64"/>
        <item x="24"/>
        <item x="65"/>
        <item x="149"/>
        <item x="74"/>
        <item x="34"/>
        <item x="25"/>
        <item x="26"/>
        <item x="27"/>
        <item x="28"/>
        <item x="36"/>
        <item x="37"/>
        <item x="38"/>
        <item x="41"/>
        <item x="29"/>
        <item x="140"/>
        <item x="148"/>
        <item x="42"/>
        <item x="43"/>
        <item x="44"/>
        <item x="50"/>
        <item x="97"/>
        <item x="151"/>
        <item x="98"/>
        <item x="52"/>
        <item x="53"/>
        <item x="39"/>
        <item x="99"/>
        <item x="155"/>
        <item x="100"/>
        <item x="102"/>
        <item x="47"/>
        <item x="40"/>
        <item x="54"/>
        <item x="55"/>
        <item x="48"/>
        <item x="49"/>
        <item x="152"/>
        <item x="63"/>
        <item x="62"/>
        <item x="91"/>
        <item x="160"/>
        <item x="57"/>
        <item x="51"/>
        <item x="59"/>
        <item x="61"/>
        <item x="66"/>
        <item x="67"/>
        <item x="68"/>
        <item x="69"/>
        <item x="71"/>
        <item x="147"/>
        <item x="72"/>
        <item x="81"/>
        <item x="70"/>
        <item x="75"/>
        <item x="78"/>
        <item x="79"/>
        <item x="77"/>
        <item x="80"/>
        <item x="82"/>
        <item x="83"/>
        <item x="84"/>
        <item x="85"/>
        <item x="86"/>
        <item x="73"/>
        <item x="87"/>
        <item x="88"/>
        <item x="89"/>
        <item x="90"/>
        <item x="56"/>
        <item x="92"/>
        <item x="129"/>
        <item x="95"/>
        <item x="153"/>
        <item x="131"/>
        <item x="126"/>
        <item x="93"/>
        <item x="94"/>
        <item x="96"/>
        <item x="145"/>
        <item x="106"/>
        <item x="101"/>
        <item x="104"/>
        <item x="103"/>
        <item x="105"/>
        <item x="130"/>
        <item x="156"/>
        <item x="45"/>
        <item x="122"/>
        <item x="46"/>
        <item x="107"/>
        <item x="108"/>
        <item x="115"/>
        <item x="159"/>
        <item x="132"/>
        <item x="157"/>
        <item x="110"/>
        <item x="136"/>
        <item x="146"/>
        <item x="111"/>
        <item x="112"/>
        <item x="113"/>
        <item x="109"/>
        <item x="114"/>
        <item x="150"/>
        <item x="154"/>
        <item x="133"/>
        <item x="137"/>
        <item x="144"/>
        <item x="134"/>
        <item x="158"/>
        <item x="116"/>
        <item x="135"/>
        <item x="117"/>
        <item x="118"/>
        <item x="119"/>
        <item x="143"/>
        <item x="120"/>
        <item x="138"/>
        <item x="124"/>
        <item x="121"/>
        <item x="127"/>
        <item x="128"/>
        <item x="139"/>
        <item x="123"/>
        <item t="default"/>
      </items>
    </pivotField>
    <pivotField name="Appeal Type" compact="0" outline="0" multipleItemSelectionAllowed="1" showAll="0"/>
  </pivotFields>
  <rowFields count="2">
    <field x="2"/>
    <field x="6"/>
  </rowFields>
  <rowItems count="164">
    <i>
      <x/>
      <x/>
    </i>
    <i r="1">
      <x v="1"/>
    </i>
    <i r="1">
      <x v="2"/>
    </i>
    <i>
      <x v="1"/>
      <x v="3"/>
    </i>
    <i r="1">
      <x v="4"/>
    </i>
    <i>
      <x v="2"/>
      <x v="5"/>
    </i>
    <i>
      <x v="3"/>
      <x v="6"/>
    </i>
    <i r="1">
      <x v="7"/>
    </i>
    <i>
      <x v="4"/>
      <x v="8"/>
    </i>
    <i r="1">
      <x v="10"/>
    </i>
    <i r="1">
      <x v="11"/>
    </i>
    <i r="1">
      <x v="12"/>
    </i>
    <i>
      <x v="5"/>
      <x v="9"/>
    </i>
    <i>
      <x v="6"/>
      <x v="13"/>
    </i>
    <i>
      <x v="7"/>
      <x v="15"/>
    </i>
    <i r="1">
      <x v="16"/>
    </i>
    <i r="1">
      <x v="17"/>
    </i>
    <i>
      <x v="8"/>
      <x v="18"/>
    </i>
    <i>
      <x v="9"/>
      <x v="19"/>
    </i>
    <i>
      <x v="10"/>
      <x v="20"/>
    </i>
    <i>
      <x v="11"/>
      <x v="21"/>
    </i>
    <i r="1">
      <x v="22"/>
    </i>
    <i>
      <x v="12"/>
      <x v="23"/>
    </i>
    <i r="1">
      <x v="24"/>
    </i>
    <i r="1">
      <x v="25"/>
    </i>
    <i>
      <x v="13"/>
      <x v="26"/>
    </i>
    <i r="1">
      <x v="27"/>
    </i>
    <i>
      <x v="14"/>
      <x v="28"/>
    </i>
    <i r="1">
      <x v="29"/>
    </i>
    <i r="1">
      <x v="30"/>
    </i>
    <i>
      <x v="15"/>
      <x v="31"/>
    </i>
    <i r="1">
      <x v="32"/>
    </i>
    <i r="1">
      <x v="33"/>
    </i>
    <i r="1">
      <x v="34"/>
    </i>
    <i r="1">
      <x v="35"/>
    </i>
    <i>
      <x v="16"/>
      <x v="36"/>
    </i>
    <i>
      <x v="17"/>
      <x v="37"/>
    </i>
    <i>
      <x v="18"/>
      <x v="38"/>
    </i>
    <i r="1">
      <x v="39"/>
    </i>
    <i r="1">
      <x v="51"/>
    </i>
    <i>
      <x v="19"/>
      <x v="40"/>
    </i>
    <i>
      <x v="20"/>
      <x v="41"/>
    </i>
    <i>
      <x v="21"/>
      <x v="42"/>
    </i>
    <i r="1">
      <x v="43"/>
    </i>
    <i r="1">
      <x v="44"/>
    </i>
    <i r="1">
      <x v="51"/>
    </i>
    <i>
      <x v="22"/>
      <x v="45"/>
    </i>
    <i r="1">
      <x v="46"/>
    </i>
    <i r="1">
      <x v="47"/>
    </i>
    <i r="1">
      <x v="48"/>
    </i>
    <i>
      <x v="23"/>
      <x v="49"/>
    </i>
    <i r="1">
      <x v="50"/>
    </i>
    <i r="1">
      <x v="51"/>
    </i>
    <i>
      <x v="24"/>
      <x v="52"/>
    </i>
    <i>
      <x v="25"/>
      <x v="53"/>
    </i>
    <i>
      <x v="26"/>
      <x v="54"/>
    </i>
    <i r="1">
      <x v="55"/>
    </i>
    <i r="1">
      <x v="78"/>
    </i>
    <i>
      <x v="27"/>
      <x v="56"/>
    </i>
    <i>
      <x v="28"/>
      <x v="57"/>
    </i>
    <i r="1">
      <x v="58"/>
    </i>
    <i r="1">
      <x v="59"/>
    </i>
    <i r="1">
      <x v="60"/>
    </i>
    <i>
      <x v="29"/>
      <x v="61"/>
    </i>
    <i>
      <x v="30"/>
      <x v="62"/>
    </i>
    <i r="1">
      <x v="63"/>
    </i>
    <i r="1">
      <x v="64"/>
    </i>
    <i>
      <x v="31"/>
      <x v="63"/>
    </i>
    <i>
      <x v="32"/>
      <x v="65"/>
    </i>
    <i r="1">
      <x v="66"/>
    </i>
    <i>
      <x v="33"/>
      <x v="67"/>
    </i>
    <i>
      <x v="34"/>
      <x v="68"/>
    </i>
    <i r="1">
      <x v="69"/>
    </i>
    <i r="1">
      <x v="105"/>
    </i>
    <i>
      <x v="35"/>
      <x v="70"/>
    </i>
    <i r="1">
      <x v="71"/>
    </i>
    <i>
      <x v="36"/>
      <x v="72"/>
    </i>
    <i>
      <x v="37"/>
      <x v="73"/>
    </i>
    <i>
      <x v="38"/>
      <x v="74"/>
    </i>
    <i>
      <x v="39"/>
      <x v="76"/>
    </i>
    <i r="1">
      <x v="77"/>
    </i>
    <i>
      <x v="40"/>
      <x v="79"/>
    </i>
    <i r="1">
      <x v="80"/>
    </i>
    <i>
      <x v="41"/>
      <x v="14"/>
    </i>
    <i>
      <x v="42"/>
      <x v="111"/>
    </i>
    <i>
      <x v="43"/>
      <x v="81"/>
    </i>
    <i r="1">
      <x v="82"/>
    </i>
    <i r="1">
      <x v="83"/>
    </i>
    <i r="1">
      <x v="109"/>
    </i>
    <i r="1">
      <x v="110"/>
    </i>
    <i>
      <x v="44"/>
      <x v="84"/>
    </i>
    <i>
      <x v="45"/>
      <x v="85"/>
    </i>
    <i r="1">
      <x v="86"/>
    </i>
    <i r="1">
      <x v="87"/>
    </i>
    <i>
      <x v="46"/>
      <x v="88"/>
    </i>
    <i>
      <x v="47"/>
      <x v="89"/>
    </i>
    <i>
      <x v="48"/>
      <x v="90"/>
    </i>
    <i r="1">
      <x v="91"/>
    </i>
    <i r="1">
      <x v="92"/>
    </i>
    <i r="1">
      <x v="93"/>
    </i>
    <i>
      <x v="49"/>
      <x v="94"/>
    </i>
    <i>
      <x v="50"/>
      <x v="95"/>
    </i>
    <i r="1">
      <x v="96"/>
    </i>
    <i r="1">
      <x v="97"/>
    </i>
    <i r="1">
      <x v="98"/>
    </i>
    <i r="1">
      <x v="99"/>
    </i>
    <i>
      <x v="51"/>
      <x v="100"/>
    </i>
    <i>
      <x v="52"/>
      <x v="75"/>
    </i>
    <i r="1">
      <x v="101"/>
    </i>
    <i r="1">
      <x v="102"/>
    </i>
    <i r="1">
      <x v="103"/>
    </i>
    <i r="1">
      <x v="104"/>
    </i>
    <i>
      <x v="53"/>
      <x v="106"/>
    </i>
    <i r="1">
      <x v="107"/>
    </i>
    <i>
      <x v="54"/>
      <x v="112"/>
    </i>
    <i>
      <x v="55"/>
      <x v="113"/>
    </i>
    <i>
      <x v="56"/>
      <x v="108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>
      <x v="57"/>
      <x v="122"/>
    </i>
    <i r="1">
      <x v="123"/>
    </i>
    <i r="1">
      <x v="124"/>
    </i>
    <i r="1">
      <x v="125"/>
    </i>
    <i>
      <x v="58"/>
      <x v="126"/>
    </i>
    <i>
      <x v="59"/>
      <x v="127"/>
    </i>
    <i r="1">
      <x v="128"/>
    </i>
    <i r="1">
      <x v="129"/>
    </i>
    <i r="1">
      <x v="130"/>
    </i>
    <i r="1">
      <x v="132"/>
    </i>
    <i r="1">
      <x v="135"/>
    </i>
    <i r="1">
      <x v="136"/>
    </i>
    <i r="1">
      <x v="137"/>
    </i>
    <i r="1">
      <x v="138"/>
    </i>
    <i r="1">
      <x v="139"/>
    </i>
    <i>
      <x v="60"/>
      <x v="131"/>
    </i>
    <i>
      <x v="61"/>
      <x v="133"/>
    </i>
    <i r="1">
      <x v="134"/>
    </i>
    <i>
      <x v="62"/>
      <x v="140"/>
    </i>
    <i r="1">
      <x v="141"/>
    </i>
    <i>
      <x v="63"/>
      <x v="142"/>
    </i>
    <i>
      <x v="64"/>
      <x v="143"/>
    </i>
    <i r="1">
      <x v="144"/>
    </i>
    <i>
      <x v="65"/>
      <x v="145"/>
    </i>
    <i>
      <x v="66"/>
      <x v="146"/>
    </i>
    <i>
      <x v="67"/>
      <x v="147"/>
    </i>
    <i r="1">
      <x v="148"/>
    </i>
    <i>
      <x v="68"/>
      <x v="149"/>
    </i>
    <i>
      <x v="69"/>
      <x v="150"/>
    </i>
    <i>
      <x v="70"/>
      <x v="151"/>
    </i>
    <i r="1">
      <x v="152"/>
    </i>
    <i r="1">
      <x v="153"/>
    </i>
    <i r="1">
      <x v="154"/>
    </i>
    <i>
      <x v="71"/>
      <x v="155"/>
    </i>
    <i>
      <x v="72"/>
      <x v="156"/>
    </i>
    <i r="1">
      <x v="157"/>
    </i>
    <i r="1">
      <x v="158"/>
    </i>
    <i>
      <x v="73"/>
      <x v="159"/>
    </i>
    <i>
      <x v="74"/>
      <x v="160"/>
    </i>
  </rowItems>
  <colFields count="1">
    <field x="4"/>
  </colFields>
  <colItems count="4">
    <i>
      <x/>
    </i>
    <i>
      <x v="1"/>
    </i>
    <i>
      <x v="2"/>
    </i>
    <i>
      <x v="3"/>
    </i>
  </colItems>
  <dataFields count="1">
    <dataField name="SUM of Value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2000000}" name="Funding received" cacheId="41" applyNumberFormats="0" applyBorderFormats="0" applyFontFormats="0" applyPatternFormats="0" applyAlignmentFormats="0" applyWidthHeightFormats="0" dataCaption="" updatedVersion="8" rowGrandTotals="0" colGrandTotals="0" compact="0" compactData="0">
  <location ref="A1:N58" firstHeaderRow="1" firstDataRow="2" firstDataCol="2"/>
  <pivotFields count="8">
    <pivotField name="Year" axis="axisCol" compact="0" outline="0" multipleItemSelectionAllowed="1" showAll="0" sortType="ascending">
      <items count="16">
        <item x="0"/>
        <item x="1"/>
        <item x="2"/>
        <item x="3"/>
        <item x="4"/>
        <item x="6"/>
        <item x="7"/>
        <item x="8"/>
        <item x="9"/>
        <item x="10"/>
        <item x="5"/>
        <item x="11"/>
        <item x="12"/>
        <item x="13"/>
        <item x="14"/>
        <item t="default"/>
      </items>
    </pivotField>
    <pivotField name="Plan" compact="0" outline="0" multipleItemSelectionAllowed="1" showAll="0"/>
    <pivotField name="Crisis Country" compact="0" outline="0" multipleItemSelectionAllowed="1" showAll="0"/>
    <pivotField name="Country Code" axis="axisRow" compact="0" outline="0" multipleItemSelectionAllowed="1" showAll="0" sortType="ascending" defaultSubtotal="0">
      <items count="67">
        <item x="0"/>
        <item x="3"/>
        <item x="4"/>
        <item x="2"/>
        <item x="1"/>
        <item x="6"/>
        <item x="8"/>
        <item x="5"/>
        <item x="11"/>
        <item x="46"/>
        <item x="18"/>
        <item x="9"/>
        <item x="16"/>
        <item x="12"/>
        <item x="34"/>
        <item x="17"/>
        <item x="13"/>
        <item x="14"/>
        <item x="15"/>
        <item x="19"/>
        <item x="22"/>
        <item x="23"/>
        <item x="24"/>
        <item x="50"/>
        <item x="28"/>
        <item x="20"/>
        <item x="51"/>
        <item x="21"/>
        <item x="29"/>
        <item x="25"/>
        <item x="26"/>
        <item x="27"/>
        <item x="33"/>
        <item x="35"/>
        <item x="30"/>
        <item x="31"/>
        <item x="32"/>
        <item x="65"/>
        <item x="36"/>
        <item x="37"/>
        <item x="41"/>
        <item x="43"/>
        <item x="38"/>
        <item x="44"/>
        <item x="39"/>
        <item x="45"/>
        <item x="10"/>
        <item x="42"/>
        <item x="52"/>
        <item x="47"/>
        <item x="64"/>
        <item x="40"/>
        <item x="48"/>
        <item x="49"/>
        <item x="53"/>
        <item x="7"/>
        <item x="62"/>
        <item x="66"/>
        <item x="61"/>
        <item x="54"/>
        <item x="55"/>
        <item x="57"/>
        <item x="56"/>
        <item x="58"/>
        <item x="63"/>
        <item x="59"/>
        <item x="60"/>
      </items>
    </pivotField>
    <pivotField name="Metric" axis="axisRow" compact="0" outline="0" multipleItemSelectionAllowed="1" showAll="0" sortType="ascending">
      <items count="5">
        <item x="1"/>
        <item h="1" x="2"/>
        <item h="1" x="3"/>
        <item h="1" x="0"/>
        <item t="default"/>
      </items>
    </pivotField>
    <pivotField name="Value" dataField="1" compact="0" numFmtId="3" outline="0" multipleItemSelectionAllowed="1" showAll="0"/>
    <pivotField name="Standardised Plan" compact="0" outline="0" multipleItemSelectionAllowed="1" showAll="0"/>
    <pivotField name="Appeal Type" compact="0" outline="0" multipleItemSelectionAllowed="1" showAll="0"/>
  </pivotFields>
  <rowFields count="2">
    <field x="3"/>
    <field x="4"/>
  </rowFields>
  <rowItems count="56">
    <i>
      <x/>
      <x/>
    </i>
    <i>
      <x v="1"/>
      <x/>
    </i>
    <i>
      <x v="3"/>
      <x/>
    </i>
    <i>
      <x v="4"/>
      <x/>
    </i>
    <i>
      <x v="5"/>
      <x/>
    </i>
    <i>
      <x v="6"/>
      <x/>
    </i>
    <i>
      <x v="7"/>
      <x/>
    </i>
    <i>
      <x v="8"/>
      <x/>
    </i>
    <i>
      <x v="9"/>
      <x/>
    </i>
    <i>
      <x v="11"/>
      <x/>
    </i>
    <i>
      <x v="12"/>
      <x/>
    </i>
    <i>
      <x v="13"/>
      <x/>
    </i>
    <i>
      <x v="15"/>
      <x/>
    </i>
    <i>
      <x v="16"/>
      <x/>
    </i>
    <i>
      <x v="17"/>
      <x/>
    </i>
    <i>
      <x v="18"/>
      <x/>
    </i>
    <i>
      <x v="19"/>
      <x/>
    </i>
    <i>
      <x v="20"/>
      <x/>
    </i>
    <i>
      <x v="21"/>
      <x/>
    </i>
    <i>
      <x v="22"/>
      <x/>
    </i>
    <i>
      <x v="24"/>
      <x/>
    </i>
    <i>
      <x v="25"/>
      <x/>
    </i>
    <i>
      <x v="27"/>
      <x/>
    </i>
    <i>
      <x v="28"/>
      <x/>
    </i>
    <i>
      <x v="29"/>
      <x/>
    </i>
    <i>
      <x v="30"/>
      <x/>
    </i>
    <i>
      <x v="31"/>
      <x/>
    </i>
    <i>
      <x v="32"/>
      <x/>
    </i>
    <i>
      <x v="33"/>
      <x/>
    </i>
    <i>
      <x v="34"/>
      <x/>
    </i>
    <i>
      <x v="35"/>
      <x/>
    </i>
    <i>
      <x v="36"/>
      <x/>
    </i>
    <i>
      <x v="38"/>
      <x/>
    </i>
    <i>
      <x v="39"/>
      <x/>
    </i>
    <i>
      <x v="40"/>
      <x/>
    </i>
    <i>
      <x v="41"/>
      <x/>
    </i>
    <i>
      <x v="42"/>
      <x/>
    </i>
    <i>
      <x v="43"/>
      <x/>
    </i>
    <i>
      <x v="44"/>
      <x/>
    </i>
    <i>
      <x v="45"/>
      <x/>
    </i>
    <i>
      <x v="46"/>
      <x/>
    </i>
    <i>
      <x v="47"/>
      <x/>
    </i>
    <i>
      <x v="48"/>
      <x/>
    </i>
    <i>
      <x v="49"/>
      <x/>
    </i>
    <i>
      <x v="51"/>
      <x/>
    </i>
    <i>
      <x v="52"/>
      <x/>
    </i>
    <i>
      <x v="53"/>
      <x/>
    </i>
    <i>
      <x v="54"/>
      <x/>
    </i>
    <i>
      <x v="55"/>
      <x/>
    </i>
    <i>
      <x v="59"/>
      <x/>
    </i>
    <i>
      <x v="60"/>
      <x/>
    </i>
    <i>
      <x v="61"/>
      <x/>
    </i>
    <i>
      <x v="62"/>
      <x/>
    </i>
    <i>
      <x v="63"/>
      <x/>
    </i>
    <i>
      <x v="65"/>
      <x/>
    </i>
    <i>
      <x v="66"/>
      <x/>
    </i>
  </rowItems>
  <colFields count="1">
    <field x="0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colItems>
  <dataFields count="1">
    <dataField name="SUM of Value" fld="5" baseField="0"/>
  </dataFields>
  <pivotTableStyleInfo name="Google Sheets Pivot Table Style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3000000}" name="Funding requirements" cacheId="41" applyNumberFormats="0" applyBorderFormats="0" applyFontFormats="0" applyPatternFormats="0" applyAlignmentFormats="0" applyWidthHeightFormats="0" dataCaption="" updatedVersion="8" rowGrandTotals="0" colGrandTotals="0" compact="0" compactData="0">
  <location ref="A1:Q63" firstHeaderRow="1" firstDataRow="2" firstDataCol="2"/>
  <pivotFields count="8">
    <pivotField name="Year" axis="axisCol" compact="0" outline="0" multipleItemSelectionAllowed="1" showAll="0" sortType="ascending">
      <items count="16">
        <item x="0"/>
        <item x="1"/>
        <item x="2"/>
        <item x="3"/>
        <item x="4"/>
        <item x="6"/>
        <item x="7"/>
        <item x="8"/>
        <item x="9"/>
        <item x="10"/>
        <item x="5"/>
        <item x="11"/>
        <item x="12"/>
        <item x="13"/>
        <item x="14"/>
        <item t="default"/>
      </items>
    </pivotField>
    <pivotField name="Plan" compact="0" outline="0" multipleItemSelectionAllowed="1" showAll="0"/>
    <pivotField name="Crisis Country" compact="0" outline="0" multipleItemSelectionAllowed="1" showAll="0"/>
    <pivotField name="Country Code" axis="axisRow" compact="0" outline="0" multipleItemSelectionAllowed="1" showAll="0" sortType="ascending" defaultSubtotal="0">
      <items count="67">
        <item x="0"/>
        <item x="3"/>
        <item x="4"/>
        <item x="2"/>
        <item x="1"/>
        <item x="6"/>
        <item x="8"/>
        <item x="5"/>
        <item x="11"/>
        <item x="46"/>
        <item x="18"/>
        <item x="9"/>
        <item x="16"/>
        <item x="12"/>
        <item x="34"/>
        <item x="17"/>
        <item x="13"/>
        <item x="14"/>
        <item x="15"/>
        <item x="19"/>
        <item x="22"/>
        <item x="23"/>
        <item x="24"/>
        <item x="50"/>
        <item x="28"/>
        <item x="20"/>
        <item x="51"/>
        <item x="21"/>
        <item x="29"/>
        <item x="25"/>
        <item x="26"/>
        <item x="27"/>
        <item x="33"/>
        <item x="35"/>
        <item x="30"/>
        <item x="31"/>
        <item x="32"/>
        <item x="65"/>
        <item x="36"/>
        <item x="37"/>
        <item x="41"/>
        <item x="43"/>
        <item x="38"/>
        <item x="44"/>
        <item x="39"/>
        <item x="45"/>
        <item x="10"/>
        <item x="42"/>
        <item x="52"/>
        <item x="47"/>
        <item x="64"/>
        <item x="40"/>
        <item x="48"/>
        <item x="49"/>
        <item x="53"/>
        <item x="7"/>
        <item x="62"/>
        <item x="66"/>
        <item x="61"/>
        <item x="54"/>
        <item x="55"/>
        <item x="57"/>
        <item x="56"/>
        <item x="58"/>
        <item x="63"/>
        <item x="59"/>
        <item x="60"/>
      </items>
    </pivotField>
    <pivotField name="Metric" axis="axisRow" compact="0" outline="0" multipleItemSelectionAllowed="1" showAll="0" sortType="ascending">
      <items count="5">
        <item h="1" x="1"/>
        <item x="2"/>
        <item h="1" x="3"/>
        <item h="1" x="0"/>
        <item t="default"/>
      </items>
    </pivotField>
    <pivotField name="Value" dataField="1" compact="0" numFmtId="3" outline="0" multipleItemSelectionAllowed="1" showAll="0"/>
    <pivotField name="Standardised Plan" compact="0" outline="0" multipleItemSelectionAllowed="1" showAll="0"/>
    <pivotField name="Appeal Type" compact="0" outline="0" multipleItemSelectionAllowed="1" showAll="0"/>
  </pivotFields>
  <rowFields count="2">
    <field x="3"/>
    <field x="4"/>
  </rowFields>
  <rowItems count="61">
    <i>
      <x/>
      <x v="1"/>
    </i>
    <i>
      <x v="1"/>
      <x v="1"/>
    </i>
    <i>
      <x v="3"/>
      <x v="1"/>
    </i>
    <i>
      <x v="4"/>
      <x v="1"/>
    </i>
    <i>
      <x v="5"/>
      <x v="1"/>
    </i>
    <i>
      <x v="6"/>
      <x v="1"/>
    </i>
    <i>
      <x v="7"/>
      <x v="1"/>
    </i>
    <i>
      <x v="8"/>
      <x v="1"/>
    </i>
    <i>
      <x v="9"/>
      <x v="1"/>
    </i>
    <i>
      <x v="10"/>
      <x v="1"/>
    </i>
    <i>
      <x v="11"/>
      <x v="1"/>
    </i>
    <i>
      <x v="12"/>
      <x v="1"/>
    </i>
    <i>
      <x v="13"/>
      <x v="1"/>
    </i>
    <i>
      <x v="15"/>
      <x v="1"/>
    </i>
    <i>
      <x v="16"/>
      <x v="1"/>
    </i>
    <i>
      <x v="17"/>
      <x v="1"/>
    </i>
    <i>
      <x v="18"/>
      <x v="1"/>
    </i>
    <i>
      <x v="19"/>
      <x v="1"/>
    </i>
    <i>
      <x v="20"/>
      <x v="1"/>
    </i>
    <i>
      <x v="21"/>
      <x v="1"/>
    </i>
    <i>
      <x v="22"/>
      <x v="1"/>
    </i>
    <i>
      <x v="24"/>
      <x v="1"/>
    </i>
    <i>
      <x v="25"/>
      <x v="1"/>
    </i>
    <i>
      <x v="26"/>
      <x v="1"/>
    </i>
    <i>
      <x v="27"/>
      <x v="1"/>
    </i>
    <i>
      <x v="28"/>
      <x v="1"/>
    </i>
    <i>
      <x v="29"/>
      <x v="1"/>
    </i>
    <i>
      <x v="30"/>
      <x v="1"/>
    </i>
    <i>
      <x v="31"/>
      <x v="1"/>
    </i>
    <i>
      <x v="32"/>
      <x v="1"/>
    </i>
    <i>
      <x v="33"/>
      <x v="1"/>
    </i>
    <i>
      <x v="34"/>
      <x v="1"/>
    </i>
    <i>
      <x v="35"/>
      <x v="1"/>
    </i>
    <i>
      <x v="36"/>
      <x v="1"/>
    </i>
    <i>
      <x v="37"/>
      <x v="1"/>
    </i>
    <i>
      <x v="38"/>
      <x v="1"/>
    </i>
    <i>
      <x v="39"/>
      <x v="1"/>
    </i>
    <i>
      <x v="40"/>
      <x v="1"/>
    </i>
    <i>
      <x v="41"/>
      <x v="1"/>
    </i>
    <i>
      <x v="42"/>
      <x v="1"/>
    </i>
    <i>
      <x v="43"/>
      <x v="1"/>
    </i>
    <i>
      <x v="44"/>
      <x v="1"/>
    </i>
    <i>
      <x v="45"/>
      <x v="1"/>
    </i>
    <i>
      <x v="46"/>
      <x v="1"/>
    </i>
    <i>
      <x v="47"/>
      <x v="1"/>
    </i>
    <i>
      <x v="48"/>
      <x v="1"/>
    </i>
    <i>
      <x v="49"/>
      <x v="1"/>
    </i>
    <i>
      <x v="50"/>
      <x v="1"/>
    </i>
    <i>
      <x v="51"/>
      <x v="1"/>
    </i>
    <i>
      <x v="52"/>
      <x v="1"/>
    </i>
    <i>
      <x v="53"/>
      <x v="1"/>
    </i>
    <i>
      <x v="54"/>
      <x v="1"/>
    </i>
    <i>
      <x v="55"/>
      <x v="1"/>
    </i>
    <i>
      <x v="57"/>
      <x v="1"/>
    </i>
    <i>
      <x v="59"/>
      <x v="1"/>
    </i>
    <i>
      <x v="60"/>
      <x v="1"/>
    </i>
    <i>
      <x v="61"/>
      <x v="1"/>
    </i>
    <i>
      <x v="62"/>
      <x v="1"/>
    </i>
    <i>
      <x v="63"/>
      <x v="1"/>
    </i>
    <i>
      <x v="65"/>
      <x v="1"/>
    </i>
    <i>
      <x v="66"/>
      <x v="1"/>
    </i>
  </rowItems>
  <colFields count="1">
    <field x="0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dataFields count="1">
    <dataField name="SUM of Value" fld="5" baseField="0"/>
  </dataFields>
  <pivotTableStyleInfo name="Google Sheets Pivot Table Style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4000000}" name="People in Need OUSG Metric" cacheId="46" applyNumberFormats="0" applyBorderFormats="0" applyFontFormats="0" applyPatternFormats="0" applyAlignmentFormats="0" applyWidthHeightFormats="0" dataCaption="" updatedVersion="8" rowGrandTotals="0" colGrandTotals="0" compact="0" compactData="0">
  <location ref="A1:P3" firstHeaderRow="1" firstDataRow="2" firstDataCol="1"/>
  <pivotFields count="10">
    <pivotField name="Year" axis="axisCol" compact="0" outline="0" multipleItemSelectionAllowed="1" showAll="0" sortType="ascending">
      <items count="16">
        <item x="0"/>
        <item x="1"/>
        <item x="2"/>
        <item x="3"/>
        <item x="4"/>
        <item x="6"/>
        <item x="7"/>
        <item x="8"/>
        <item x="9"/>
        <item x="10"/>
        <item x="5"/>
        <item x="11"/>
        <item x="12"/>
        <item x="13"/>
        <item x="14"/>
        <item t="default"/>
      </items>
    </pivotField>
    <pivotField name="Plan" compact="0" outline="0" multipleItemSelectionAllowed="1" showAll="0"/>
    <pivotField name="Crisis Country" compact="0" outline="0" multipleItemSelectionAllowed="1" showAll="0"/>
    <pivotField name="Country Code" compact="0" outline="0" multipleItemSelectionAllowed="1" showAll="0"/>
    <pivotField name="Metric" compact="0" outline="0" multipleItemSelectionAllowed="1" showAll="0"/>
    <pivotField name="Value" dataField="1" compact="0" numFmtId="3" outline="0" multipleItemSelectionAllowed="1" showAll="0"/>
    <pivotField name="Standardised Plan" compact="0" outline="0" multipleItemSelectionAllowed="1" showAll="0"/>
    <pivotField name="Appeal Type" compact="0" outline="0" multipleItemSelectionAllowed="1" showAll="0"/>
    <pivotField name="PiN Value for Dataviz" compact="0" outline="0" multipleItemSelectionAllowed="1" showAll="0"/>
    <pivotField name="OUSG Metric" axis="axisRow" compact="0" outline="0" multipleItemSelectionAllowed="1" showAll="0" sortType="ascending">
      <items count="5">
        <item h="1" x="1"/>
        <item h="1" x="2"/>
        <item x="0"/>
        <item h="1" x="3"/>
        <item t="default"/>
      </items>
    </pivotField>
  </pivotFields>
  <rowFields count="1">
    <field x="9"/>
  </rowFields>
  <rowItems count="1">
    <i>
      <x v="2"/>
    </i>
  </rowItems>
  <colFields count="1">
    <field x="0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dataFields count="1">
    <dataField name="SUM of Value" fld="5" baseField="0"/>
  </dataFields>
  <pivotTableStyleInfo name="Google Sheets Pivot Table Style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5000000}" name="People in Need and People targe" cacheId="41" applyNumberFormats="0" applyBorderFormats="0" applyFontFormats="0" applyPatternFormats="0" applyAlignmentFormats="0" applyWidthHeightFormats="0" dataCaption="" updatedVersion="8" rowGrandTotals="0" colGrandTotals="0" compact="0" compactData="0">
  <location ref="A1:Q83" firstHeaderRow="1" firstDataRow="2" firstDataCol="2"/>
  <pivotFields count="8">
    <pivotField name="Year" axis="axisCol" compact="0" outline="0" multipleItemSelectionAllowed="1" showAll="0" sortType="ascending">
      <items count="16">
        <item x="0"/>
        <item x="1"/>
        <item x="2"/>
        <item x="3"/>
        <item x="4"/>
        <item x="6"/>
        <item x="7"/>
        <item x="8"/>
        <item x="9"/>
        <item x="10"/>
        <item x="5"/>
        <item x="11"/>
        <item x="12"/>
        <item x="13"/>
        <item x="14"/>
        <item t="default"/>
      </items>
    </pivotField>
    <pivotField name="Plan" compact="0" outline="0" multipleItemSelectionAllowed="1" showAll="0"/>
    <pivotField name="Crisis Country" compact="0" outline="0" multipleItemSelectionAllowed="1" showAll="0"/>
    <pivotField name="Country Code" axis="axisRow" compact="0" outline="0" multipleItemSelectionAllowed="1" showAll="0" sortType="ascending" defaultSubtotal="0">
      <items count="67">
        <item x="0"/>
        <item x="3"/>
        <item x="4"/>
        <item x="2"/>
        <item x="1"/>
        <item x="6"/>
        <item x="8"/>
        <item x="5"/>
        <item x="11"/>
        <item x="46"/>
        <item x="18"/>
        <item x="9"/>
        <item x="16"/>
        <item x="12"/>
        <item x="34"/>
        <item x="17"/>
        <item x="13"/>
        <item x="14"/>
        <item x="15"/>
        <item x="19"/>
        <item x="22"/>
        <item x="23"/>
        <item x="24"/>
        <item x="50"/>
        <item x="28"/>
        <item x="20"/>
        <item x="51"/>
        <item x="21"/>
        <item x="29"/>
        <item x="25"/>
        <item x="26"/>
        <item x="27"/>
        <item x="33"/>
        <item x="35"/>
        <item x="30"/>
        <item x="31"/>
        <item x="32"/>
        <item x="65"/>
        <item x="36"/>
        <item x="37"/>
        <item x="41"/>
        <item x="43"/>
        <item x="38"/>
        <item x="44"/>
        <item x="39"/>
        <item x="45"/>
        <item x="10"/>
        <item x="42"/>
        <item x="52"/>
        <item x="47"/>
        <item x="64"/>
        <item x="40"/>
        <item x="48"/>
        <item x="49"/>
        <item x="53"/>
        <item x="7"/>
        <item x="62"/>
        <item x="66"/>
        <item x="61"/>
        <item x="54"/>
        <item x="55"/>
        <item x="57"/>
        <item x="56"/>
        <item x="58"/>
        <item x="63"/>
        <item x="59"/>
        <item x="60"/>
      </items>
    </pivotField>
    <pivotField name="Metric" axis="axisRow" compact="0" outline="0" multipleItemSelectionAllowed="1" showAll="0" sortType="ascending">
      <items count="5">
        <item h="1" x="1"/>
        <item h="1" x="2"/>
        <item x="3"/>
        <item x="0"/>
        <item t="default"/>
      </items>
    </pivotField>
    <pivotField name="Value" dataField="1" compact="0" numFmtId="3" outline="0" multipleItemSelectionAllowed="1" showAll="0"/>
    <pivotField name="Standardised Plan" compact="0" outline="0" multipleItemSelectionAllowed="1" showAll="0"/>
    <pivotField name="Appeal Type" compact="0" outline="0" multipleItemSelectionAllowed="1" showAll="0"/>
  </pivotFields>
  <rowFields count="2">
    <field x="3"/>
    <field x="4"/>
  </rowFields>
  <rowItems count="81">
    <i>
      <x/>
      <x v="2"/>
    </i>
    <i r="1">
      <x v="3"/>
    </i>
    <i>
      <x v="1"/>
      <x v="2"/>
    </i>
    <i>
      <x v="2"/>
      <x v="2"/>
    </i>
    <i>
      <x v="3"/>
      <x v="2"/>
    </i>
    <i r="1">
      <x v="3"/>
    </i>
    <i>
      <x v="4"/>
      <x v="2"/>
    </i>
    <i>
      <x v="5"/>
      <x v="2"/>
    </i>
    <i r="1">
      <x v="3"/>
    </i>
    <i>
      <x v="6"/>
      <x v="3"/>
    </i>
    <i>
      <x v="7"/>
      <x v="2"/>
    </i>
    <i>
      <x v="8"/>
      <x v="2"/>
    </i>
    <i r="1">
      <x v="3"/>
    </i>
    <i>
      <x v="9"/>
      <x v="2"/>
    </i>
    <i>
      <x v="10"/>
      <x v="2"/>
    </i>
    <i>
      <x v="11"/>
      <x v="2"/>
    </i>
    <i>
      <x v="12"/>
      <x v="2"/>
    </i>
    <i r="1">
      <x v="3"/>
    </i>
    <i>
      <x v="14"/>
      <x v="2"/>
    </i>
    <i>
      <x v="15"/>
      <x v="2"/>
    </i>
    <i>
      <x v="16"/>
      <x v="2"/>
    </i>
    <i>
      <x v="17"/>
      <x v="2"/>
    </i>
    <i>
      <x v="18"/>
      <x v="2"/>
    </i>
    <i>
      <x v="19"/>
      <x v="2"/>
    </i>
    <i r="1">
      <x v="3"/>
    </i>
    <i>
      <x v="20"/>
      <x v="2"/>
    </i>
    <i>
      <x v="21"/>
      <x v="2"/>
    </i>
    <i>
      <x v="22"/>
      <x v="2"/>
    </i>
    <i>
      <x v="23"/>
      <x v="2"/>
    </i>
    <i>
      <x v="24"/>
      <x v="2"/>
    </i>
    <i r="1">
      <x v="3"/>
    </i>
    <i>
      <x v="26"/>
      <x v="2"/>
    </i>
    <i>
      <x v="27"/>
      <x v="2"/>
    </i>
    <i r="1">
      <x v="3"/>
    </i>
    <i>
      <x v="28"/>
      <x v="2"/>
    </i>
    <i>
      <x v="29"/>
      <x v="2"/>
    </i>
    <i>
      <x v="30"/>
      <x v="2"/>
    </i>
    <i>
      <x v="31"/>
      <x v="2"/>
    </i>
    <i>
      <x v="32"/>
      <x v="2"/>
    </i>
    <i r="1">
      <x v="3"/>
    </i>
    <i>
      <x v="33"/>
      <x v="2"/>
    </i>
    <i>
      <x v="34"/>
      <x v="2"/>
    </i>
    <i>
      <x v="35"/>
      <x v="2"/>
    </i>
    <i>
      <x v="36"/>
      <x v="2"/>
    </i>
    <i r="1">
      <x v="3"/>
    </i>
    <i>
      <x v="37"/>
      <x v="2"/>
    </i>
    <i>
      <x v="39"/>
      <x v="2"/>
    </i>
    <i r="1">
      <x v="3"/>
    </i>
    <i>
      <x v="40"/>
      <x v="2"/>
    </i>
    <i>
      <x v="42"/>
      <x v="2"/>
    </i>
    <i>
      <x v="43"/>
      <x v="2"/>
    </i>
    <i>
      <x v="45"/>
      <x v="2"/>
    </i>
    <i r="1">
      <x v="3"/>
    </i>
    <i>
      <x v="46"/>
      <x v="2"/>
    </i>
    <i>
      <x v="47"/>
      <x v="2"/>
    </i>
    <i r="1">
      <x v="3"/>
    </i>
    <i>
      <x v="48"/>
      <x v="2"/>
    </i>
    <i r="1">
      <x v="3"/>
    </i>
    <i>
      <x v="49"/>
      <x v="2"/>
    </i>
    <i>
      <x v="50"/>
      <x v="2"/>
    </i>
    <i>
      <x v="52"/>
      <x v="2"/>
    </i>
    <i r="1">
      <x v="3"/>
    </i>
    <i>
      <x v="53"/>
      <x v="2"/>
    </i>
    <i r="1">
      <x v="3"/>
    </i>
    <i>
      <x v="54"/>
      <x v="2"/>
    </i>
    <i r="1">
      <x v="3"/>
    </i>
    <i>
      <x v="55"/>
      <x v="2"/>
    </i>
    <i r="1">
      <x v="3"/>
    </i>
    <i>
      <x v="56"/>
      <x v="2"/>
    </i>
    <i>
      <x v="57"/>
      <x v="2"/>
    </i>
    <i>
      <x v="58"/>
      <x v="2"/>
    </i>
    <i>
      <x v="59"/>
      <x v="2"/>
    </i>
    <i>
      <x v="60"/>
      <x v="2"/>
    </i>
    <i>
      <x v="61"/>
      <x v="2"/>
    </i>
    <i>
      <x v="63"/>
      <x v="2"/>
    </i>
    <i r="1">
      <x v="3"/>
    </i>
    <i>
      <x v="64"/>
      <x v="2"/>
    </i>
    <i>
      <x v="65"/>
      <x v="2"/>
    </i>
    <i r="1">
      <x v="3"/>
    </i>
    <i>
      <x v="66"/>
      <x v="2"/>
    </i>
    <i r="1">
      <x v="3"/>
    </i>
  </rowItems>
  <colFields count="1">
    <field x="0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dataFields count="1">
    <dataField name="SUM of Value" fld="5" baseField="0"/>
  </dataFields>
  <pivotTableStyleInfo name="Google Sheets Pivot Table Style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reliefweb.int/sites/reliefweb.int/files/resources/zimbabwe_hrp_final_20sept201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260"/>
  <sheetViews>
    <sheetView tabSelected="1" workbookViewId="0">
      <pane ySplit="1" topLeftCell="A611" activePane="bottomLeft" state="frozen"/>
      <selection pane="bottomLeft" activeCell="A620" sqref="A620:A634"/>
    </sheetView>
  </sheetViews>
  <sheetFormatPr baseColWidth="10" defaultColWidth="12.6640625" defaultRowHeight="15" customHeight="1"/>
  <cols>
    <col min="1" max="1" width="8.5" customWidth="1"/>
    <col min="2" max="2" width="26.33203125" customWidth="1"/>
    <col min="3" max="3" width="22.6640625" customWidth="1"/>
    <col min="4" max="4" width="40.1640625" customWidth="1"/>
    <col min="5" max="5" width="23.83203125" customWidth="1"/>
    <col min="6" max="6" width="27.1640625" customWidth="1"/>
    <col min="7" max="7" width="58" customWidth="1"/>
    <col min="8" max="8" width="40.1640625" customWidth="1"/>
  </cols>
  <sheetData>
    <row r="1" spans="1:11" ht="15.7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5" t="s">
        <v>8</v>
      </c>
      <c r="J1" s="5" t="s">
        <v>9</v>
      </c>
      <c r="K1" s="6"/>
    </row>
    <row r="2" spans="1:11" ht="15.75" customHeight="1">
      <c r="A2" s="7">
        <v>2010</v>
      </c>
      <c r="B2" s="3" t="s">
        <v>10</v>
      </c>
      <c r="C2" s="2" t="s">
        <v>10</v>
      </c>
      <c r="D2" s="2" t="s">
        <v>11</v>
      </c>
      <c r="E2" s="3" t="s">
        <v>12</v>
      </c>
      <c r="F2" s="8">
        <v>7800000</v>
      </c>
      <c r="G2" s="3" t="s">
        <v>10</v>
      </c>
      <c r="H2" s="2" t="s">
        <v>13</v>
      </c>
      <c r="I2" s="3"/>
      <c r="J2" s="3" t="str">
        <f t="shared" ref="J2:J4" si="0">IF(E2="People targeted", "People in need", E2)</f>
        <v>People in need</v>
      </c>
    </row>
    <row r="3" spans="1:11" ht="15.75" customHeight="1">
      <c r="A3" s="7">
        <v>2010</v>
      </c>
      <c r="B3" s="2" t="s">
        <v>10</v>
      </c>
      <c r="C3" s="2" t="s">
        <v>10</v>
      </c>
      <c r="D3" s="2" t="s">
        <v>11</v>
      </c>
      <c r="E3" s="3" t="s">
        <v>14</v>
      </c>
      <c r="F3" s="8">
        <v>223824925</v>
      </c>
      <c r="G3" s="2" t="s">
        <v>10</v>
      </c>
      <c r="H3" s="2" t="s">
        <v>13</v>
      </c>
      <c r="I3" s="3"/>
      <c r="J3" s="3" t="str">
        <f t="shared" si="0"/>
        <v>Funding received</v>
      </c>
    </row>
    <row r="4" spans="1:11" ht="15.75" customHeight="1">
      <c r="A4" s="9">
        <v>2010</v>
      </c>
      <c r="B4" s="2" t="s">
        <v>10</v>
      </c>
      <c r="C4" s="2" t="s">
        <v>10</v>
      </c>
      <c r="D4" s="2" t="s">
        <v>11</v>
      </c>
      <c r="E4" s="3" t="s">
        <v>15</v>
      </c>
      <c r="F4" s="8">
        <v>448551322</v>
      </c>
      <c r="G4" s="2" t="s">
        <v>10</v>
      </c>
      <c r="H4" s="2" t="s">
        <v>13</v>
      </c>
      <c r="I4" s="3"/>
      <c r="J4" s="3" t="str">
        <f t="shared" si="0"/>
        <v>Funding requirements</v>
      </c>
    </row>
    <row r="5" spans="1:11" ht="15.75" customHeight="1">
      <c r="A5" s="9">
        <v>2010</v>
      </c>
      <c r="B5" s="2" t="s">
        <v>10</v>
      </c>
      <c r="C5" s="2" t="s">
        <v>10</v>
      </c>
      <c r="D5" s="2" t="s">
        <v>11</v>
      </c>
      <c r="E5" s="3" t="s">
        <v>12</v>
      </c>
      <c r="F5" s="8">
        <v>5400000</v>
      </c>
      <c r="G5" s="2" t="s">
        <v>10</v>
      </c>
      <c r="H5" s="2" t="s">
        <v>13</v>
      </c>
      <c r="I5" s="3"/>
      <c r="J5" s="3" t="s">
        <v>16</v>
      </c>
    </row>
    <row r="6" spans="1:11" ht="15.75" customHeight="1">
      <c r="A6" s="9">
        <v>2010</v>
      </c>
      <c r="B6" s="2" t="s">
        <v>10</v>
      </c>
      <c r="C6" s="2" t="s">
        <v>10</v>
      </c>
      <c r="D6" s="2" t="s">
        <v>11</v>
      </c>
      <c r="E6" s="3" t="s">
        <v>14</v>
      </c>
      <c r="F6" s="8">
        <v>345246607</v>
      </c>
      <c r="G6" s="2" t="s">
        <v>10</v>
      </c>
      <c r="H6" s="2" t="s">
        <v>13</v>
      </c>
    </row>
    <row r="7" spans="1:11" ht="15.75" customHeight="1">
      <c r="A7" s="9">
        <v>2010</v>
      </c>
      <c r="B7" s="2" t="s">
        <v>10</v>
      </c>
      <c r="C7" s="2" t="s">
        <v>10</v>
      </c>
      <c r="D7" s="2" t="s">
        <v>11</v>
      </c>
      <c r="E7" s="3" t="s">
        <v>15</v>
      </c>
      <c r="F7" s="8">
        <v>474428380</v>
      </c>
      <c r="G7" s="2" t="s">
        <v>10</v>
      </c>
      <c r="H7" s="2" t="s">
        <v>13</v>
      </c>
    </row>
    <row r="8" spans="1:11" ht="15.75" customHeight="1">
      <c r="A8" s="9">
        <v>2010</v>
      </c>
      <c r="B8" s="3" t="s">
        <v>10</v>
      </c>
      <c r="C8" s="2" t="s">
        <v>10</v>
      </c>
      <c r="D8" s="2" t="s">
        <v>11</v>
      </c>
      <c r="E8" s="3" t="s">
        <v>12</v>
      </c>
      <c r="F8" s="10">
        <v>8800000</v>
      </c>
      <c r="G8" s="3" t="s">
        <v>10</v>
      </c>
      <c r="H8" s="3" t="s">
        <v>13</v>
      </c>
      <c r="I8" s="3"/>
      <c r="J8" s="3" t="s">
        <v>16</v>
      </c>
    </row>
    <row r="9" spans="1:11" ht="15.75" customHeight="1">
      <c r="A9" s="9">
        <v>2010</v>
      </c>
      <c r="B9" s="2" t="s">
        <v>10</v>
      </c>
      <c r="C9" s="2" t="s">
        <v>10</v>
      </c>
      <c r="D9" s="2" t="s">
        <v>11</v>
      </c>
      <c r="E9" s="3" t="s">
        <v>14</v>
      </c>
      <c r="F9" s="8">
        <v>309300000</v>
      </c>
      <c r="G9" s="2" t="s">
        <v>10</v>
      </c>
      <c r="H9" s="2"/>
    </row>
    <row r="10" spans="1:11" ht="15.75" customHeight="1">
      <c r="A10" s="9">
        <v>2010</v>
      </c>
      <c r="B10" s="2" t="s">
        <v>10</v>
      </c>
      <c r="C10" s="2" t="s">
        <v>10</v>
      </c>
      <c r="D10" s="2" t="s">
        <v>11</v>
      </c>
      <c r="E10" s="3" t="s">
        <v>15</v>
      </c>
      <c r="F10" s="8">
        <v>406400000</v>
      </c>
      <c r="G10" s="2" t="s">
        <v>10</v>
      </c>
      <c r="H10" s="2"/>
      <c r="I10" s="5"/>
      <c r="J10" s="5"/>
      <c r="K10" s="5"/>
    </row>
    <row r="11" spans="1:11" ht="15.75" customHeight="1">
      <c r="A11" s="9">
        <v>2010</v>
      </c>
      <c r="B11" s="2" t="s">
        <v>10</v>
      </c>
      <c r="C11" s="2" t="s">
        <v>10</v>
      </c>
      <c r="D11" s="2" t="s">
        <v>11</v>
      </c>
      <c r="E11" s="2" t="s">
        <v>16</v>
      </c>
      <c r="F11" s="8">
        <v>9000000</v>
      </c>
      <c r="G11" s="2" t="s">
        <v>10</v>
      </c>
      <c r="H11" s="2"/>
      <c r="I11" s="2"/>
      <c r="J11" s="2" t="s">
        <v>16</v>
      </c>
    </row>
    <row r="12" spans="1:11" ht="15.75" customHeight="1">
      <c r="A12" s="9">
        <v>2010</v>
      </c>
      <c r="B12" s="2" t="s">
        <v>10</v>
      </c>
      <c r="C12" s="2" t="s">
        <v>10</v>
      </c>
      <c r="D12" s="2" t="s">
        <v>11</v>
      </c>
      <c r="E12" s="3" t="s">
        <v>14</v>
      </c>
      <c r="F12" s="8">
        <v>280000000</v>
      </c>
      <c r="G12" s="2" t="s">
        <v>10</v>
      </c>
      <c r="H12" s="2"/>
    </row>
    <row r="13" spans="1:11" ht="15.75" customHeight="1">
      <c r="A13" s="9">
        <v>2010</v>
      </c>
      <c r="B13" s="2" t="s">
        <v>10</v>
      </c>
      <c r="C13" s="2" t="s">
        <v>10</v>
      </c>
      <c r="D13" s="2" t="s">
        <v>11</v>
      </c>
      <c r="E13" s="3" t="s">
        <v>15</v>
      </c>
      <c r="F13" s="8">
        <v>416700000</v>
      </c>
      <c r="G13" s="2" t="s">
        <v>10</v>
      </c>
      <c r="H13" s="2"/>
    </row>
    <row r="14" spans="1:11" ht="15.75" customHeight="1">
      <c r="A14" s="9">
        <v>2010</v>
      </c>
      <c r="B14" s="2" t="s">
        <v>10</v>
      </c>
      <c r="C14" s="2" t="s">
        <v>10</v>
      </c>
      <c r="D14" s="2" t="s">
        <v>11</v>
      </c>
      <c r="E14" s="2" t="s">
        <v>16</v>
      </c>
      <c r="F14" s="8">
        <v>7400000</v>
      </c>
      <c r="G14" s="2" t="s">
        <v>10</v>
      </c>
      <c r="H14" s="2"/>
      <c r="I14" s="2"/>
      <c r="J14" s="2" t="s">
        <v>16</v>
      </c>
    </row>
    <row r="15" spans="1:11" ht="15.75" customHeight="1">
      <c r="A15" s="9">
        <v>2010</v>
      </c>
      <c r="B15" s="2" t="s">
        <v>10</v>
      </c>
      <c r="C15" s="2" t="s">
        <v>10</v>
      </c>
      <c r="D15" s="2" t="s">
        <v>11</v>
      </c>
      <c r="E15" s="3" t="s">
        <v>14</v>
      </c>
      <c r="F15" s="8">
        <v>180000000</v>
      </c>
      <c r="G15" s="2" t="s">
        <v>10</v>
      </c>
      <c r="H15" s="2"/>
    </row>
    <row r="16" spans="1:11" ht="15.75" customHeight="1">
      <c r="A16" s="9">
        <v>2010</v>
      </c>
      <c r="B16" s="2" t="s">
        <v>10</v>
      </c>
      <c r="C16" s="2" t="s">
        <v>10</v>
      </c>
      <c r="D16" s="2" t="s">
        <v>11</v>
      </c>
      <c r="E16" s="3" t="s">
        <v>15</v>
      </c>
      <c r="F16" s="8">
        <v>338800000</v>
      </c>
      <c r="G16" s="2" t="s">
        <v>10</v>
      </c>
      <c r="H16" s="2"/>
    </row>
    <row r="17" spans="1:10" ht="15.75" customHeight="1">
      <c r="A17" s="9">
        <v>2010</v>
      </c>
      <c r="B17" s="2" t="s">
        <v>10</v>
      </c>
      <c r="C17" s="3" t="s">
        <v>10</v>
      </c>
      <c r="D17" s="2" t="s">
        <v>11</v>
      </c>
      <c r="E17" s="2" t="s">
        <v>16</v>
      </c>
      <c r="F17" s="8">
        <v>8100000</v>
      </c>
      <c r="G17" s="2" t="s">
        <v>10</v>
      </c>
      <c r="H17" s="2"/>
      <c r="I17" s="2"/>
      <c r="J17" s="2" t="s">
        <v>16</v>
      </c>
    </row>
    <row r="18" spans="1:10" ht="15.75" customHeight="1">
      <c r="A18" s="9">
        <v>2010</v>
      </c>
      <c r="B18" s="2" t="s">
        <v>10</v>
      </c>
      <c r="C18" s="2" t="s">
        <v>10</v>
      </c>
      <c r="D18" s="2" t="s">
        <v>11</v>
      </c>
      <c r="E18" s="3" t="s">
        <v>14</v>
      </c>
      <c r="F18" s="8">
        <v>286700000</v>
      </c>
      <c r="G18" s="2" t="s">
        <v>10</v>
      </c>
      <c r="H18" s="2" t="s">
        <v>17</v>
      </c>
    </row>
    <row r="19" spans="1:10" ht="15.75" customHeight="1">
      <c r="A19" s="9">
        <v>2010</v>
      </c>
      <c r="B19" s="2" t="s">
        <v>10</v>
      </c>
      <c r="C19" s="2" t="s">
        <v>10</v>
      </c>
      <c r="D19" s="2" t="s">
        <v>11</v>
      </c>
      <c r="E19" s="3" t="s">
        <v>15</v>
      </c>
      <c r="F19" s="8">
        <v>409400000</v>
      </c>
      <c r="G19" s="2" t="s">
        <v>10</v>
      </c>
      <c r="H19" s="2" t="s">
        <v>17</v>
      </c>
    </row>
    <row r="20" spans="1:10" ht="15.75" customHeight="1">
      <c r="A20" s="9">
        <v>2010</v>
      </c>
      <c r="B20" s="2" t="s">
        <v>10</v>
      </c>
      <c r="C20" s="2" t="s">
        <v>10</v>
      </c>
      <c r="D20" s="2" t="s">
        <v>11</v>
      </c>
      <c r="E20" s="2" t="s">
        <v>16</v>
      </c>
      <c r="F20" s="8">
        <v>7400000</v>
      </c>
      <c r="G20" s="2" t="s">
        <v>10</v>
      </c>
      <c r="H20" s="2" t="s">
        <v>17</v>
      </c>
      <c r="I20" s="2"/>
      <c r="J20" s="2" t="s">
        <v>16</v>
      </c>
    </row>
    <row r="21" spans="1:10" ht="15.75" customHeight="1">
      <c r="A21" s="9">
        <v>2010</v>
      </c>
      <c r="B21" s="2" t="s">
        <v>10</v>
      </c>
      <c r="C21" s="2" t="s">
        <v>10</v>
      </c>
      <c r="D21" s="2" t="s">
        <v>11</v>
      </c>
      <c r="E21" s="3" t="s">
        <v>14</v>
      </c>
      <c r="F21" s="8">
        <v>444600000</v>
      </c>
      <c r="G21" s="2" t="s">
        <v>10</v>
      </c>
      <c r="H21" s="2" t="s">
        <v>17</v>
      </c>
    </row>
    <row r="22" spans="1:10" ht="15.75" customHeight="1">
      <c r="A22" s="9">
        <v>2010</v>
      </c>
      <c r="B22" s="2" t="s">
        <v>10</v>
      </c>
      <c r="C22" s="2" t="s">
        <v>10</v>
      </c>
      <c r="D22" s="2" t="s">
        <v>11</v>
      </c>
      <c r="E22" s="3" t="s">
        <v>15</v>
      </c>
      <c r="F22" s="8">
        <v>546600000</v>
      </c>
      <c r="G22" s="2" t="s">
        <v>10</v>
      </c>
      <c r="H22" s="2" t="s">
        <v>17</v>
      </c>
    </row>
    <row r="23" spans="1:10" ht="15.75" customHeight="1">
      <c r="A23" s="9">
        <v>2010</v>
      </c>
      <c r="B23" s="2" t="s">
        <v>10</v>
      </c>
      <c r="C23" s="2" t="s">
        <v>10</v>
      </c>
      <c r="D23" s="2" t="s">
        <v>11</v>
      </c>
      <c r="E23" s="2" t="s">
        <v>16</v>
      </c>
      <c r="F23" s="8">
        <v>6500000</v>
      </c>
      <c r="G23" s="2" t="s">
        <v>10</v>
      </c>
      <c r="H23" s="2" t="s">
        <v>17</v>
      </c>
      <c r="I23" s="2"/>
      <c r="J23" s="2" t="s">
        <v>16</v>
      </c>
    </row>
    <row r="24" spans="1:10" ht="15.75" customHeight="1">
      <c r="A24" s="9">
        <v>2010</v>
      </c>
      <c r="B24" s="2" t="s">
        <v>10</v>
      </c>
      <c r="C24" s="2" t="s">
        <v>10</v>
      </c>
      <c r="D24" s="2" t="s">
        <v>11</v>
      </c>
      <c r="E24" s="3" t="s">
        <v>14</v>
      </c>
      <c r="F24" s="8">
        <v>423400000</v>
      </c>
      <c r="G24" s="2" t="s">
        <v>10</v>
      </c>
      <c r="H24" s="2" t="s">
        <v>17</v>
      </c>
    </row>
    <row r="25" spans="1:10" ht="15.75" customHeight="1">
      <c r="A25" s="9">
        <v>2010</v>
      </c>
      <c r="B25" s="2" t="s">
        <v>10</v>
      </c>
      <c r="C25" s="2" t="s">
        <v>10</v>
      </c>
      <c r="D25" s="2" t="s">
        <v>11</v>
      </c>
      <c r="E25" s="3" t="s">
        <v>15</v>
      </c>
      <c r="F25" s="8">
        <v>611800000</v>
      </c>
      <c r="G25" s="2" t="s">
        <v>10</v>
      </c>
      <c r="H25" s="2" t="s">
        <v>17</v>
      </c>
    </row>
    <row r="26" spans="1:10" ht="15.75" customHeight="1">
      <c r="A26" s="9">
        <v>2010</v>
      </c>
      <c r="B26" s="2" t="s">
        <v>10</v>
      </c>
      <c r="C26" s="2" t="s">
        <v>10</v>
      </c>
      <c r="D26" s="2" t="s">
        <v>11</v>
      </c>
      <c r="E26" s="2" t="s">
        <v>16</v>
      </c>
      <c r="F26" s="8">
        <v>6300000</v>
      </c>
      <c r="G26" s="2" t="s">
        <v>10</v>
      </c>
      <c r="H26" s="2" t="s">
        <v>17</v>
      </c>
      <c r="I26" s="2"/>
      <c r="J26" s="2" t="s">
        <v>16</v>
      </c>
    </row>
    <row r="27" spans="1:10" ht="15.75" customHeight="1">
      <c r="A27" s="9">
        <v>2010</v>
      </c>
      <c r="B27" s="2" t="s">
        <v>10</v>
      </c>
      <c r="C27" s="2" t="s">
        <v>10</v>
      </c>
      <c r="D27" s="2" t="s">
        <v>11</v>
      </c>
      <c r="E27" s="3" t="s">
        <v>15</v>
      </c>
      <c r="F27" s="8">
        <v>732600000</v>
      </c>
      <c r="G27" s="2" t="s">
        <v>10</v>
      </c>
      <c r="H27" s="2" t="s">
        <v>17</v>
      </c>
    </row>
    <row r="28" spans="1:10" ht="15.75" customHeight="1">
      <c r="A28" s="9">
        <v>2010</v>
      </c>
      <c r="B28" s="11" t="s">
        <v>10</v>
      </c>
      <c r="C28" s="11" t="s">
        <v>10</v>
      </c>
      <c r="D28" s="3" t="s">
        <v>11</v>
      </c>
      <c r="E28" s="2" t="s">
        <v>16</v>
      </c>
      <c r="F28" s="12">
        <v>13950000</v>
      </c>
      <c r="G28" s="11" t="s">
        <v>10</v>
      </c>
      <c r="H28" s="2" t="s">
        <v>17</v>
      </c>
      <c r="I28" s="3"/>
      <c r="J28" s="2" t="s">
        <v>16</v>
      </c>
    </row>
    <row r="29" spans="1:10" ht="15.75" customHeight="1">
      <c r="A29" s="9">
        <v>2010</v>
      </c>
      <c r="B29" s="2" t="s">
        <v>18</v>
      </c>
      <c r="C29" s="2" t="s">
        <v>10</v>
      </c>
      <c r="D29" s="2" t="s">
        <v>11</v>
      </c>
      <c r="E29" s="3" t="s">
        <v>14</v>
      </c>
      <c r="F29" s="8">
        <v>53500000</v>
      </c>
      <c r="G29" s="2" t="s">
        <v>18</v>
      </c>
      <c r="H29" s="2"/>
    </row>
    <row r="30" spans="1:10" ht="15.75" customHeight="1">
      <c r="A30" s="9">
        <v>2010</v>
      </c>
      <c r="B30" s="2" t="s">
        <v>18</v>
      </c>
      <c r="C30" s="2" t="s">
        <v>10</v>
      </c>
      <c r="D30" s="2" t="s">
        <v>11</v>
      </c>
      <c r="E30" s="3" t="s">
        <v>15</v>
      </c>
      <c r="F30" s="8">
        <v>152100000</v>
      </c>
      <c r="G30" s="2" t="s">
        <v>18</v>
      </c>
      <c r="H30" s="2"/>
    </row>
    <row r="31" spans="1:10" ht="15.75" customHeight="1">
      <c r="A31" s="9">
        <v>2010</v>
      </c>
      <c r="B31" s="13" t="s">
        <v>19</v>
      </c>
      <c r="C31" s="14" t="s">
        <v>10</v>
      </c>
      <c r="D31" s="2" t="s">
        <v>11</v>
      </c>
      <c r="E31" s="3" t="s">
        <v>15</v>
      </c>
      <c r="F31" s="4">
        <v>774508310</v>
      </c>
      <c r="G31" s="14" t="s">
        <v>19</v>
      </c>
      <c r="H31" s="14" t="s">
        <v>13</v>
      </c>
    </row>
    <row r="32" spans="1:10" ht="15.75" customHeight="1">
      <c r="A32" s="9">
        <v>2010</v>
      </c>
      <c r="B32" s="14" t="s">
        <v>19</v>
      </c>
      <c r="C32" s="14" t="s">
        <v>10</v>
      </c>
      <c r="D32" s="2" t="s">
        <v>11</v>
      </c>
      <c r="E32" s="14" t="s">
        <v>14</v>
      </c>
      <c r="F32" s="4">
        <v>505299903</v>
      </c>
      <c r="G32" s="14" t="s">
        <v>19</v>
      </c>
      <c r="H32" s="14" t="s">
        <v>13</v>
      </c>
    </row>
    <row r="33" spans="1:11" ht="15.75" customHeight="1">
      <c r="A33" s="9">
        <v>2010</v>
      </c>
      <c r="B33" s="3" t="s">
        <v>10</v>
      </c>
      <c r="C33" s="14" t="s">
        <v>10</v>
      </c>
      <c r="D33" s="14" t="s">
        <v>11</v>
      </c>
      <c r="E33" s="3" t="s">
        <v>14</v>
      </c>
      <c r="F33" s="8">
        <v>426528103</v>
      </c>
      <c r="G33" s="3" t="s">
        <v>10</v>
      </c>
      <c r="H33" s="2" t="s">
        <v>13</v>
      </c>
    </row>
    <row r="34" spans="1:11" ht="15.75" customHeight="1">
      <c r="A34" s="9">
        <v>2010</v>
      </c>
      <c r="B34" s="2" t="s">
        <v>10</v>
      </c>
      <c r="C34" s="14" t="s">
        <v>10</v>
      </c>
      <c r="D34" s="2" t="s">
        <v>11</v>
      </c>
      <c r="E34" s="3" t="s">
        <v>15</v>
      </c>
      <c r="F34" s="4">
        <v>582318627</v>
      </c>
      <c r="G34" s="2" t="s">
        <v>10</v>
      </c>
      <c r="H34" s="2" t="s">
        <v>13</v>
      </c>
      <c r="I34" s="15"/>
      <c r="J34" s="15"/>
    </row>
    <row r="35" spans="1:11" ht="15.75" customHeight="1">
      <c r="A35" s="9">
        <v>2010</v>
      </c>
      <c r="B35" s="2" t="s">
        <v>20</v>
      </c>
      <c r="C35" s="2" t="s">
        <v>20</v>
      </c>
      <c r="D35" s="2" t="s">
        <v>21</v>
      </c>
      <c r="E35" s="3" t="s">
        <v>14</v>
      </c>
      <c r="F35" s="8">
        <v>149100000</v>
      </c>
      <c r="G35" s="2" t="s">
        <v>20</v>
      </c>
      <c r="H35" s="2" t="s">
        <v>22</v>
      </c>
    </row>
    <row r="36" spans="1:11" ht="15.75" customHeight="1">
      <c r="A36" s="9">
        <v>2010</v>
      </c>
      <c r="B36" s="2" t="s">
        <v>20</v>
      </c>
      <c r="C36" s="2" t="s">
        <v>20</v>
      </c>
      <c r="D36" s="2" t="s">
        <v>21</v>
      </c>
      <c r="E36" s="3" t="s">
        <v>15</v>
      </c>
      <c r="F36" s="8">
        <v>434100000</v>
      </c>
      <c r="G36" s="2" t="s">
        <v>20</v>
      </c>
      <c r="H36" s="2" t="s">
        <v>22</v>
      </c>
    </row>
    <row r="37" spans="1:11" ht="15.75" customHeight="1">
      <c r="A37" s="9">
        <v>2010</v>
      </c>
      <c r="B37" s="16" t="s">
        <v>20</v>
      </c>
      <c r="C37" s="2" t="s">
        <v>20</v>
      </c>
      <c r="D37" s="2" t="s">
        <v>21</v>
      </c>
      <c r="E37" s="3" t="s">
        <v>14</v>
      </c>
      <c r="F37" s="8">
        <v>682100000</v>
      </c>
      <c r="G37" s="16" t="s">
        <v>20</v>
      </c>
      <c r="H37" s="2" t="s">
        <v>22</v>
      </c>
    </row>
    <row r="38" spans="1:11" ht="15.75" customHeight="1">
      <c r="A38" s="9">
        <v>2010</v>
      </c>
      <c r="B38" s="2" t="s">
        <v>20</v>
      </c>
      <c r="C38" s="2" t="s">
        <v>20</v>
      </c>
      <c r="D38" s="2" t="s">
        <v>21</v>
      </c>
      <c r="E38" s="3" t="s">
        <v>15</v>
      </c>
      <c r="F38" s="8">
        <v>950800000</v>
      </c>
      <c r="G38" s="2" t="s">
        <v>20</v>
      </c>
      <c r="H38" s="2" t="s">
        <v>22</v>
      </c>
    </row>
    <row r="39" spans="1:11" ht="15.75" customHeight="1">
      <c r="A39" s="9">
        <v>2010</v>
      </c>
      <c r="B39" s="2" t="s">
        <v>20</v>
      </c>
      <c r="C39" s="2" t="s">
        <v>20</v>
      </c>
      <c r="D39" s="2" t="s">
        <v>21</v>
      </c>
      <c r="E39" s="2" t="s">
        <v>16</v>
      </c>
      <c r="F39" s="8">
        <v>1300000</v>
      </c>
      <c r="G39" s="2" t="s">
        <v>20</v>
      </c>
      <c r="H39" s="2" t="s">
        <v>22</v>
      </c>
      <c r="I39" s="2"/>
      <c r="J39" s="2" t="s">
        <v>16</v>
      </c>
    </row>
    <row r="40" spans="1:11" ht="15.75" customHeight="1">
      <c r="A40" s="9">
        <v>2010</v>
      </c>
      <c r="B40" s="2" t="s">
        <v>20</v>
      </c>
      <c r="C40" s="2" t="s">
        <v>20</v>
      </c>
      <c r="D40" s="2" t="s">
        <v>21</v>
      </c>
      <c r="E40" s="3" t="s">
        <v>15</v>
      </c>
      <c r="F40" s="8">
        <v>920500000</v>
      </c>
      <c r="G40" s="2" t="s">
        <v>20</v>
      </c>
      <c r="H40" s="2" t="s">
        <v>22</v>
      </c>
    </row>
    <row r="41" spans="1:11" ht="15.75" customHeight="1">
      <c r="A41" s="9">
        <v>2010</v>
      </c>
      <c r="B41" s="2" t="s">
        <v>20</v>
      </c>
      <c r="C41" s="2" t="s">
        <v>20</v>
      </c>
      <c r="D41" s="2" t="s">
        <v>21</v>
      </c>
      <c r="E41" s="3" t="s">
        <v>14</v>
      </c>
      <c r="F41" s="8">
        <v>613900000</v>
      </c>
      <c r="G41" s="2" t="s">
        <v>20</v>
      </c>
      <c r="H41" s="2" t="s">
        <v>22</v>
      </c>
    </row>
    <row r="42" spans="1:11" ht="15.75" customHeight="1">
      <c r="A42" s="9">
        <v>2010</v>
      </c>
      <c r="B42" s="2" t="s">
        <v>20</v>
      </c>
      <c r="C42" s="2" t="s">
        <v>20</v>
      </c>
      <c r="D42" s="2" t="s">
        <v>21</v>
      </c>
      <c r="E42" s="2" t="s">
        <v>16</v>
      </c>
      <c r="F42" s="8">
        <v>1200000</v>
      </c>
      <c r="G42" s="2" t="s">
        <v>20</v>
      </c>
      <c r="H42" s="2" t="s">
        <v>22</v>
      </c>
      <c r="I42" s="2"/>
      <c r="J42" s="2" t="s">
        <v>16</v>
      </c>
    </row>
    <row r="43" spans="1:11" ht="15.75" customHeight="1">
      <c r="A43" s="9">
        <v>2010</v>
      </c>
      <c r="B43" s="17" t="s">
        <v>10</v>
      </c>
      <c r="C43" s="17" t="s">
        <v>10</v>
      </c>
      <c r="D43" s="3" t="s">
        <v>11</v>
      </c>
      <c r="E43" s="2" t="s">
        <v>15</v>
      </c>
      <c r="F43" s="12">
        <v>1281635457</v>
      </c>
      <c r="G43" s="17" t="s">
        <v>10</v>
      </c>
      <c r="H43" s="2" t="s">
        <v>23</v>
      </c>
      <c r="I43" s="3"/>
      <c r="J43" s="2" t="s">
        <v>15</v>
      </c>
    </row>
    <row r="44" spans="1:11" ht="15.75" customHeight="1">
      <c r="A44" s="9">
        <v>2010</v>
      </c>
      <c r="B44" s="18" t="s">
        <v>24</v>
      </c>
      <c r="C44" s="2" t="s">
        <v>24</v>
      </c>
      <c r="D44" s="2" t="s">
        <v>25</v>
      </c>
      <c r="E44" s="2" t="s">
        <v>14</v>
      </c>
      <c r="F44" s="19">
        <v>85944494</v>
      </c>
      <c r="G44" s="3" t="s">
        <v>24</v>
      </c>
      <c r="H44" s="3" t="s">
        <v>13</v>
      </c>
      <c r="K44" s="6"/>
    </row>
    <row r="45" spans="1:11" ht="15.75" customHeight="1">
      <c r="A45" s="9">
        <v>2010</v>
      </c>
      <c r="B45" s="2" t="s">
        <v>24</v>
      </c>
      <c r="C45" s="2" t="s">
        <v>24</v>
      </c>
      <c r="D45" s="2" t="s">
        <v>25</v>
      </c>
      <c r="E45" s="3" t="s">
        <v>15</v>
      </c>
      <c r="F45" s="8">
        <v>126062151</v>
      </c>
      <c r="G45" s="2" t="s">
        <v>24</v>
      </c>
      <c r="H45" s="2" t="s">
        <v>13</v>
      </c>
    </row>
    <row r="46" spans="1:11" ht="15.75" customHeight="1">
      <c r="A46" s="9">
        <v>2010</v>
      </c>
      <c r="B46" s="2" t="s">
        <v>24</v>
      </c>
      <c r="C46" s="2" t="s">
        <v>24</v>
      </c>
      <c r="D46" s="2" t="s">
        <v>25</v>
      </c>
      <c r="E46" s="2" t="s">
        <v>12</v>
      </c>
      <c r="F46" s="4">
        <v>3500000</v>
      </c>
      <c r="G46" s="2" t="s">
        <v>24</v>
      </c>
      <c r="H46" s="2" t="s">
        <v>13</v>
      </c>
      <c r="I46" s="2"/>
      <c r="J46" s="2" t="s">
        <v>16</v>
      </c>
      <c r="K46" s="6"/>
    </row>
    <row r="47" spans="1:11" ht="15.75" customHeight="1">
      <c r="A47" s="9">
        <v>2010</v>
      </c>
      <c r="B47" s="3" t="s">
        <v>24</v>
      </c>
      <c r="C47" s="2" t="s">
        <v>24</v>
      </c>
      <c r="D47" s="2" t="s">
        <v>25</v>
      </c>
      <c r="E47" s="3" t="s">
        <v>14</v>
      </c>
      <c r="F47" s="4">
        <v>76004187</v>
      </c>
      <c r="G47" s="3" t="s">
        <v>24</v>
      </c>
      <c r="H47" s="3" t="s">
        <v>13</v>
      </c>
      <c r="K47" s="6"/>
    </row>
    <row r="48" spans="1:11" ht="15.75" customHeight="1">
      <c r="A48" s="1">
        <v>2011</v>
      </c>
      <c r="B48" s="2" t="s">
        <v>24</v>
      </c>
      <c r="C48" s="2" t="s">
        <v>24</v>
      </c>
      <c r="D48" s="2" t="s">
        <v>25</v>
      </c>
      <c r="E48" s="3" t="s">
        <v>15</v>
      </c>
      <c r="F48" s="8">
        <v>138977186</v>
      </c>
      <c r="G48" s="2" t="s">
        <v>24</v>
      </c>
      <c r="H48" s="2" t="s">
        <v>13</v>
      </c>
    </row>
    <row r="49" spans="1:10" ht="15.75" customHeight="1">
      <c r="A49" s="1">
        <v>2011</v>
      </c>
      <c r="B49" s="2" t="s">
        <v>24</v>
      </c>
      <c r="C49" s="2" t="s">
        <v>24</v>
      </c>
      <c r="D49" s="2" t="s">
        <v>25</v>
      </c>
      <c r="E49" s="3" t="s">
        <v>12</v>
      </c>
      <c r="F49" s="8">
        <v>3500000</v>
      </c>
      <c r="G49" s="2" t="s">
        <v>24</v>
      </c>
      <c r="H49" s="2" t="s">
        <v>13</v>
      </c>
      <c r="I49" s="3"/>
      <c r="J49" s="3" t="s">
        <v>16</v>
      </c>
    </row>
    <row r="50" spans="1:10" ht="15.75" customHeight="1">
      <c r="A50" s="7">
        <v>2011</v>
      </c>
      <c r="B50" s="2" t="s">
        <v>24</v>
      </c>
      <c r="C50" s="2" t="s">
        <v>24</v>
      </c>
      <c r="D50" s="2" t="s">
        <v>25</v>
      </c>
      <c r="E50" s="3" t="s">
        <v>14</v>
      </c>
      <c r="F50" s="8">
        <v>40500000</v>
      </c>
      <c r="G50" s="2" t="s">
        <v>24</v>
      </c>
      <c r="H50" s="2"/>
    </row>
    <row r="51" spans="1:10" ht="15.75" customHeight="1">
      <c r="A51" s="20">
        <v>2011</v>
      </c>
      <c r="B51" s="2" t="s">
        <v>24</v>
      </c>
      <c r="C51" s="2" t="s">
        <v>24</v>
      </c>
      <c r="D51" s="2" t="s">
        <v>25</v>
      </c>
      <c r="E51" s="3" t="s">
        <v>15</v>
      </c>
      <c r="F51" s="8">
        <v>99300000</v>
      </c>
      <c r="G51" s="2" t="s">
        <v>24</v>
      </c>
      <c r="H51" s="2"/>
    </row>
    <row r="52" spans="1:10" ht="15.75" customHeight="1">
      <c r="A52" s="20">
        <v>2011</v>
      </c>
      <c r="B52" s="2" t="s">
        <v>24</v>
      </c>
      <c r="C52" s="2" t="s">
        <v>24</v>
      </c>
      <c r="D52" s="2" t="s">
        <v>25</v>
      </c>
      <c r="E52" s="2" t="s">
        <v>16</v>
      </c>
      <c r="F52" s="8">
        <v>1300000</v>
      </c>
      <c r="G52" s="2" t="s">
        <v>24</v>
      </c>
      <c r="H52" s="2"/>
      <c r="I52" s="2"/>
      <c r="J52" s="2" t="s">
        <v>16</v>
      </c>
    </row>
    <row r="53" spans="1:10" ht="15.75" customHeight="1">
      <c r="A53" s="9">
        <v>2011</v>
      </c>
      <c r="B53" s="2" t="s">
        <v>24</v>
      </c>
      <c r="C53" s="2" t="s">
        <v>24</v>
      </c>
      <c r="D53" s="2" t="s">
        <v>25</v>
      </c>
      <c r="E53" s="3" t="s">
        <v>14</v>
      </c>
      <c r="F53" s="8">
        <v>30400000</v>
      </c>
      <c r="G53" s="2" t="s">
        <v>24</v>
      </c>
      <c r="H53" s="2"/>
    </row>
    <row r="54" spans="1:10" ht="15.75" customHeight="1">
      <c r="A54" s="20">
        <v>2011</v>
      </c>
      <c r="B54" s="2" t="s">
        <v>24</v>
      </c>
      <c r="C54" s="2" t="s">
        <v>24</v>
      </c>
      <c r="D54" s="2" t="s">
        <v>25</v>
      </c>
      <c r="E54" s="3" t="s">
        <v>15</v>
      </c>
      <c r="F54" s="8">
        <v>98800000</v>
      </c>
      <c r="G54" s="2" t="s">
        <v>24</v>
      </c>
      <c r="H54" s="2"/>
    </row>
    <row r="55" spans="1:10" ht="15.75" customHeight="1">
      <c r="A55" s="20">
        <v>2011</v>
      </c>
      <c r="B55" s="2" t="s">
        <v>24</v>
      </c>
      <c r="C55" s="2" t="s">
        <v>24</v>
      </c>
      <c r="D55" s="2" t="s">
        <v>25</v>
      </c>
      <c r="E55" s="2" t="s">
        <v>16</v>
      </c>
      <c r="F55" s="8">
        <v>939148</v>
      </c>
      <c r="G55" s="2" t="s">
        <v>24</v>
      </c>
      <c r="H55" s="2"/>
      <c r="I55" s="2"/>
      <c r="J55" s="2" t="s">
        <v>16</v>
      </c>
    </row>
    <row r="56" spans="1:10" ht="15.75" customHeight="1">
      <c r="A56" s="9">
        <v>2011</v>
      </c>
      <c r="B56" s="2" t="s">
        <v>24</v>
      </c>
      <c r="C56" s="2" t="s">
        <v>24</v>
      </c>
      <c r="D56" s="2" t="s">
        <v>25</v>
      </c>
      <c r="E56" s="3" t="s">
        <v>14</v>
      </c>
      <c r="F56" s="8">
        <v>49500000</v>
      </c>
      <c r="G56" s="2" t="s">
        <v>24</v>
      </c>
      <c r="H56" s="2"/>
    </row>
    <row r="57" spans="1:10" ht="15.75" customHeight="1">
      <c r="A57" s="9">
        <v>2011</v>
      </c>
      <c r="B57" s="2" t="s">
        <v>24</v>
      </c>
      <c r="C57" s="2" t="s">
        <v>24</v>
      </c>
      <c r="D57" s="2" t="s">
        <v>25</v>
      </c>
      <c r="E57" s="3" t="s">
        <v>15</v>
      </c>
      <c r="F57" s="8">
        <v>90500000</v>
      </c>
      <c r="G57" s="2" t="s">
        <v>24</v>
      </c>
      <c r="H57" s="2"/>
    </row>
    <row r="58" spans="1:10" ht="15.75" customHeight="1">
      <c r="A58" s="9">
        <v>2011</v>
      </c>
      <c r="B58" s="2" t="s">
        <v>24</v>
      </c>
      <c r="C58" s="2" t="s">
        <v>24</v>
      </c>
      <c r="D58" s="2" t="s">
        <v>25</v>
      </c>
      <c r="E58" s="2" t="s">
        <v>16</v>
      </c>
      <c r="F58" s="8">
        <v>1600000</v>
      </c>
      <c r="G58" s="2" t="s">
        <v>24</v>
      </c>
      <c r="H58" s="2"/>
      <c r="I58" s="2"/>
      <c r="J58" s="2" t="s">
        <v>16</v>
      </c>
    </row>
    <row r="59" spans="1:10" ht="15.75" customHeight="1">
      <c r="A59" s="20">
        <v>2011</v>
      </c>
      <c r="B59" s="2" t="s">
        <v>24</v>
      </c>
      <c r="C59" s="2" t="s">
        <v>24</v>
      </c>
      <c r="D59" s="2" t="s">
        <v>25</v>
      </c>
      <c r="E59" s="3" t="s">
        <v>14</v>
      </c>
      <c r="F59" s="8">
        <v>27400000</v>
      </c>
      <c r="G59" s="2" t="s">
        <v>24</v>
      </c>
      <c r="H59" s="2" t="s">
        <v>17</v>
      </c>
    </row>
    <row r="60" spans="1:10" ht="15.75" customHeight="1">
      <c r="A60" s="20">
        <v>2011</v>
      </c>
      <c r="B60" s="2" t="s">
        <v>24</v>
      </c>
      <c r="C60" s="2" t="s">
        <v>24</v>
      </c>
      <c r="D60" s="2" t="s">
        <v>25</v>
      </c>
      <c r="E60" s="3" t="s">
        <v>15</v>
      </c>
      <c r="F60" s="8">
        <v>61100000</v>
      </c>
      <c r="G60" s="2" t="s">
        <v>24</v>
      </c>
      <c r="H60" s="2" t="s">
        <v>17</v>
      </c>
    </row>
    <row r="61" spans="1:10" ht="15.75" customHeight="1">
      <c r="A61" s="9">
        <v>2011</v>
      </c>
      <c r="B61" s="2" t="s">
        <v>24</v>
      </c>
      <c r="C61" s="2" t="s">
        <v>24</v>
      </c>
      <c r="D61" s="2" t="s">
        <v>25</v>
      </c>
      <c r="E61" s="2" t="s">
        <v>16</v>
      </c>
      <c r="F61" s="8">
        <v>861000</v>
      </c>
      <c r="G61" s="2" t="s">
        <v>24</v>
      </c>
      <c r="H61" s="2" t="s">
        <v>17</v>
      </c>
      <c r="I61" s="2"/>
      <c r="J61" s="2" t="s">
        <v>16</v>
      </c>
    </row>
    <row r="62" spans="1:10" ht="15.75" customHeight="1">
      <c r="A62" s="20">
        <v>2011</v>
      </c>
      <c r="B62" s="2" t="s">
        <v>24</v>
      </c>
      <c r="C62" s="2" t="s">
        <v>24</v>
      </c>
      <c r="D62" s="2" t="s">
        <v>25</v>
      </c>
      <c r="E62" s="3" t="s">
        <v>14</v>
      </c>
      <c r="F62" s="8">
        <v>51800000</v>
      </c>
      <c r="G62" s="16" t="s">
        <v>24</v>
      </c>
      <c r="H62" s="2" t="s">
        <v>22</v>
      </c>
    </row>
    <row r="63" spans="1:10" ht="15.75" customHeight="1">
      <c r="A63" s="20">
        <v>2011</v>
      </c>
      <c r="B63" s="2" t="s">
        <v>24</v>
      </c>
      <c r="C63" s="2" t="s">
        <v>24</v>
      </c>
      <c r="D63" s="2" t="s">
        <v>25</v>
      </c>
      <c r="E63" s="3" t="s">
        <v>15</v>
      </c>
      <c r="F63" s="8">
        <v>90300000</v>
      </c>
      <c r="G63" s="2" t="s">
        <v>24</v>
      </c>
      <c r="H63" s="2" t="s">
        <v>22</v>
      </c>
    </row>
    <row r="64" spans="1:10" ht="15.75" customHeight="1">
      <c r="A64" s="9">
        <v>2011</v>
      </c>
      <c r="B64" s="2" t="s">
        <v>24</v>
      </c>
      <c r="C64" s="2" t="s">
        <v>24</v>
      </c>
      <c r="D64" s="2" t="s">
        <v>25</v>
      </c>
      <c r="E64" s="2" t="s">
        <v>16</v>
      </c>
      <c r="F64" s="8">
        <v>954000</v>
      </c>
      <c r="G64" s="2" t="s">
        <v>24</v>
      </c>
      <c r="H64" s="2" t="s">
        <v>22</v>
      </c>
      <c r="I64" s="2"/>
      <c r="J64" s="2" t="s">
        <v>16</v>
      </c>
    </row>
    <row r="65" spans="1:10" ht="15.75" customHeight="1">
      <c r="A65" s="20">
        <v>2011</v>
      </c>
      <c r="B65" s="21" t="s">
        <v>20</v>
      </c>
      <c r="C65" s="21" t="s">
        <v>20</v>
      </c>
      <c r="D65" s="3" t="s">
        <v>21</v>
      </c>
      <c r="E65" s="2" t="s">
        <v>16</v>
      </c>
      <c r="F65" s="22">
        <v>1200000</v>
      </c>
      <c r="G65" s="21" t="s">
        <v>20</v>
      </c>
      <c r="H65" s="3" t="s">
        <v>22</v>
      </c>
      <c r="I65" s="2"/>
      <c r="J65" s="2" t="s">
        <v>16</v>
      </c>
    </row>
    <row r="66" spans="1:10" ht="15.75" customHeight="1">
      <c r="A66" s="20">
        <v>2011</v>
      </c>
      <c r="B66" s="2" t="s">
        <v>24</v>
      </c>
      <c r="C66" s="2" t="s">
        <v>24</v>
      </c>
      <c r="D66" s="2" t="s">
        <v>25</v>
      </c>
      <c r="E66" s="3" t="s">
        <v>15</v>
      </c>
      <c r="F66" s="8">
        <v>187000000</v>
      </c>
      <c r="G66" s="2" t="s">
        <v>24</v>
      </c>
      <c r="H66" s="2" t="s">
        <v>22</v>
      </c>
    </row>
    <row r="67" spans="1:10" ht="15.75" customHeight="1">
      <c r="A67" s="9">
        <v>2011</v>
      </c>
      <c r="B67" s="2" t="s">
        <v>26</v>
      </c>
      <c r="C67" s="3" t="s">
        <v>20</v>
      </c>
      <c r="D67" s="2" t="s">
        <v>21</v>
      </c>
      <c r="E67" s="2" t="s">
        <v>16</v>
      </c>
      <c r="F67" s="4">
        <v>20180000</v>
      </c>
      <c r="G67" s="2" t="s">
        <v>26</v>
      </c>
      <c r="H67" s="2" t="s">
        <v>27</v>
      </c>
      <c r="I67" s="3" t="s">
        <v>28</v>
      </c>
      <c r="J67" s="2" t="s">
        <v>16</v>
      </c>
    </row>
    <row r="68" spans="1:10" ht="15.75" customHeight="1">
      <c r="A68" s="9">
        <v>2011</v>
      </c>
      <c r="B68" s="14" t="s">
        <v>29</v>
      </c>
      <c r="C68" s="14" t="s">
        <v>24</v>
      </c>
      <c r="D68" s="2" t="s">
        <v>25</v>
      </c>
      <c r="E68" s="14" t="s">
        <v>14</v>
      </c>
      <c r="F68" s="4">
        <v>3896575</v>
      </c>
      <c r="G68" s="14" t="s">
        <v>29</v>
      </c>
      <c r="H68" s="14" t="s">
        <v>22</v>
      </c>
    </row>
    <row r="69" spans="1:10" ht="15.75" customHeight="1">
      <c r="A69" s="9">
        <v>2011</v>
      </c>
      <c r="B69" s="14" t="s">
        <v>29</v>
      </c>
      <c r="C69" s="14" t="s">
        <v>24</v>
      </c>
      <c r="D69" s="2" t="s">
        <v>25</v>
      </c>
      <c r="E69" s="3" t="s">
        <v>15</v>
      </c>
      <c r="F69" s="4">
        <v>14163313</v>
      </c>
      <c r="G69" s="14" t="s">
        <v>29</v>
      </c>
      <c r="H69" s="14" t="s">
        <v>22</v>
      </c>
    </row>
    <row r="70" spans="1:10" ht="15.75" customHeight="1">
      <c r="A70" s="9">
        <v>2011</v>
      </c>
      <c r="B70" s="2" t="s">
        <v>30</v>
      </c>
      <c r="C70" s="2" t="s">
        <v>30</v>
      </c>
      <c r="D70" s="2" t="s">
        <v>31</v>
      </c>
      <c r="E70" s="3" t="s">
        <v>14</v>
      </c>
      <c r="F70" s="8">
        <v>43600000</v>
      </c>
      <c r="G70" s="2" t="s">
        <v>30</v>
      </c>
      <c r="H70" s="2"/>
    </row>
    <row r="71" spans="1:10" ht="15.75" customHeight="1">
      <c r="A71" s="20">
        <v>2011</v>
      </c>
      <c r="B71" s="2" t="s">
        <v>30</v>
      </c>
      <c r="C71" s="2" t="s">
        <v>30</v>
      </c>
      <c r="D71" s="2" t="s">
        <v>31</v>
      </c>
      <c r="E71" s="3" t="s">
        <v>15</v>
      </c>
      <c r="F71" s="8">
        <v>62300000</v>
      </c>
      <c r="G71" s="2" t="s">
        <v>30</v>
      </c>
      <c r="H71" s="2"/>
    </row>
    <row r="72" spans="1:10" ht="15.75" customHeight="1">
      <c r="A72" s="9">
        <v>2011</v>
      </c>
      <c r="B72" s="2" t="s">
        <v>30</v>
      </c>
      <c r="C72" s="2" t="s">
        <v>30</v>
      </c>
      <c r="D72" s="2" t="s">
        <v>31</v>
      </c>
      <c r="E72" s="3" t="s">
        <v>14</v>
      </c>
      <c r="F72" s="8">
        <v>40500000</v>
      </c>
      <c r="G72" s="2" t="s">
        <v>30</v>
      </c>
      <c r="H72" s="2" t="s">
        <v>17</v>
      </c>
    </row>
    <row r="73" spans="1:10" ht="15.75" customHeight="1">
      <c r="A73" s="20">
        <v>2011</v>
      </c>
      <c r="B73" s="2" t="s">
        <v>30</v>
      </c>
      <c r="C73" s="2" t="s">
        <v>30</v>
      </c>
      <c r="D73" s="2" t="s">
        <v>31</v>
      </c>
      <c r="E73" s="3" t="s">
        <v>15</v>
      </c>
      <c r="F73" s="8">
        <v>73700000</v>
      </c>
      <c r="G73" s="2" t="s">
        <v>30</v>
      </c>
      <c r="H73" s="2" t="s">
        <v>17</v>
      </c>
    </row>
    <row r="74" spans="1:10" ht="15.75" customHeight="1">
      <c r="A74" s="9">
        <v>2011</v>
      </c>
      <c r="B74" s="2" t="s">
        <v>30</v>
      </c>
      <c r="C74" s="2" t="s">
        <v>30</v>
      </c>
      <c r="D74" s="2" t="s">
        <v>31</v>
      </c>
      <c r="E74" s="2" t="s">
        <v>16</v>
      </c>
      <c r="F74" s="8">
        <v>3000000</v>
      </c>
      <c r="G74" s="2" t="s">
        <v>30</v>
      </c>
      <c r="H74" s="2" t="s">
        <v>17</v>
      </c>
      <c r="I74" s="2"/>
      <c r="J74" s="2" t="s">
        <v>16</v>
      </c>
    </row>
    <row r="75" spans="1:10" ht="15.75" customHeight="1">
      <c r="A75" s="20">
        <v>2011</v>
      </c>
      <c r="B75" s="2" t="s">
        <v>30</v>
      </c>
      <c r="C75" s="2" t="s">
        <v>30</v>
      </c>
      <c r="D75" s="2" t="s">
        <v>31</v>
      </c>
      <c r="E75" s="3" t="s">
        <v>14</v>
      </c>
      <c r="F75" s="8">
        <v>76000000</v>
      </c>
      <c r="G75" s="2" t="s">
        <v>30</v>
      </c>
      <c r="H75" s="2" t="s">
        <v>17</v>
      </c>
    </row>
    <row r="76" spans="1:10" ht="15.75" customHeight="1">
      <c r="A76" s="20">
        <v>2011</v>
      </c>
      <c r="B76" s="2" t="s">
        <v>30</v>
      </c>
      <c r="C76" s="2" t="s">
        <v>30</v>
      </c>
      <c r="D76" s="2" t="s">
        <v>31</v>
      </c>
      <c r="E76" s="3" t="s">
        <v>15</v>
      </c>
      <c r="F76" s="8">
        <v>141800000</v>
      </c>
      <c r="G76" s="2" t="s">
        <v>30</v>
      </c>
      <c r="H76" s="2" t="s">
        <v>17</v>
      </c>
    </row>
    <row r="77" spans="1:10" ht="15.75" customHeight="1">
      <c r="A77" s="9">
        <v>2011</v>
      </c>
      <c r="B77" s="2" t="s">
        <v>30</v>
      </c>
      <c r="C77" s="2" t="s">
        <v>30</v>
      </c>
      <c r="D77" s="2" t="s">
        <v>31</v>
      </c>
      <c r="E77" s="2" t="s">
        <v>16</v>
      </c>
      <c r="F77" s="8">
        <v>3600000</v>
      </c>
      <c r="G77" s="2" t="s">
        <v>30</v>
      </c>
      <c r="H77" s="2" t="s">
        <v>17</v>
      </c>
      <c r="I77" s="2"/>
      <c r="J77" s="2" t="s">
        <v>16</v>
      </c>
    </row>
    <row r="78" spans="1:10" ht="15.75" customHeight="1">
      <c r="A78" s="9">
        <v>2011</v>
      </c>
      <c r="B78" s="11" t="s">
        <v>32</v>
      </c>
      <c r="C78" s="3" t="s">
        <v>32</v>
      </c>
      <c r="D78" s="2" t="s">
        <v>33</v>
      </c>
      <c r="E78" s="2" t="s">
        <v>16</v>
      </c>
      <c r="F78" s="4">
        <v>3000000</v>
      </c>
      <c r="G78" s="2" t="s">
        <v>32</v>
      </c>
      <c r="H78" s="2" t="s">
        <v>34</v>
      </c>
      <c r="I78" s="3" t="s">
        <v>28</v>
      </c>
      <c r="J78" s="2" t="s">
        <v>16</v>
      </c>
    </row>
    <row r="79" spans="1:10" ht="15.75" customHeight="1">
      <c r="A79" s="20">
        <v>2011</v>
      </c>
      <c r="B79" s="2" t="s">
        <v>30</v>
      </c>
      <c r="C79" s="2" t="s">
        <v>30</v>
      </c>
      <c r="D79" s="2" t="s">
        <v>31</v>
      </c>
      <c r="E79" s="3" t="s">
        <v>15</v>
      </c>
      <c r="F79" s="8">
        <v>106300000</v>
      </c>
      <c r="G79" s="2" t="s">
        <v>30</v>
      </c>
      <c r="H79" s="2" t="s">
        <v>17</v>
      </c>
    </row>
    <row r="80" spans="1:10" ht="15.75" customHeight="1">
      <c r="A80" s="20">
        <v>2011</v>
      </c>
      <c r="B80" s="2" t="s">
        <v>20</v>
      </c>
      <c r="C80" s="2" t="s">
        <v>20</v>
      </c>
      <c r="D80" s="2" t="s">
        <v>21</v>
      </c>
      <c r="E80" s="3" t="s">
        <v>15</v>
      </c>
      <c r="F80" s="8">
        <v>871000000</v>
      </c>
      <c r="G80" s="2" t="s">
        <v>20</v>
      </c>
      <c r="H80" s="2" t="s">
        <v>22</v>
      </c>
    </row>
    <row r="81" spans="1:11" ht="15.75" customHeight="1">
      <c r="A81" s="20">
        <v>2011</v>
      </c>
      <c r="B81" s="2" t="s">
        <v>24</v>
      </c>
      <c r="C81" s="2" t="s">
        <v>24</v>
      </c>
      <c r="D81" s="2" t="s">
        <v>25</v>
      </c>
      <c r="E81" s="3" t="s">
        <v>14</v>
      </c>
      <c r="F81" s="8">
        <v>76600000</v>
      </c>
      <c r="G81" s="2" t="s">
        <v>24</v>
      </c>
      <c r="H81" s="2" t="s">
        <v>22</v>
      </c>
    </row>
    <row r="82" spans="1:11" ht="15.75" customHeight="1">
      <c r="A82" s="9">
        <v>2011</v>
      </c>
      <c r="B82" s="2" t="s">
        <v>24</v>
      </c>
      <c r="C82" s="2" t="s">
        <v>24</v>
      </c>
      <c r="D82" s="2" t="s">
        <v>25</v>
      </c>
      <c r="E82" s="2" t="s">
        <v>16</v>
      </c>
      <c r="F82" s="8">
        <v>1200000</v>
      </c>
      <c r="G82" s="2" t="s">
        <v>24</v>
      </c>
      <c r="H82" s="2" t="s">
        <v>22</v>
      </c>
      <c r="I82" s="2"/>
      <c r="J82" s="2" t="s">
        <v>16</v>
      </c>
    </row>
    <row r="83" spans="1:11" ht="15.75" customHeight="1">
      <c r="A83" s="20">
        <v>2011</v>
      </c>
      <c r="B83" s="3" t="s">
        <v>35</v>
      </c>
      <c r="C83" s="2" t="s">
        <v>30</v>
      </c>
      <c r="D83" s="2" t="s">
        <v>31</v>
      </c>
      <c r="E83" s="3" t="s">
        <v>15</v>
      </c>
      <c r="F83" s="8">
        <v>261700000</v>
      </c>
      <c r="G83" s="3" t="s">
        <v>35</v>
      </c>
      <c r="H83" s="2" t="s">
        <v>36</v>
      </c>
    </row>
    <row r="84" spans="1:11" ht="15.75" customHeight="1">
      <c r="A84" s="9">
        <v>2011</v>
      </c>
      <c r="B84" s="11" t="s">
        <v>24</v>
      </c>
      <c r="C84" s="11" t="s">
        <v>24</v>
      </c>
      <c r="D84" s="3" t="s">
        <v>25</v>
      </c>
      <c r="E84" s="2" t="s">
        <v>16</v>
      </c>
      <c r="F84" s="12">
        <v>2900000</v>
      </c>
      <c r="G84" s="11" t="s">
        <v>24</v>
      </c>
      <c r="H84" s="2" t="s">
        <v>17</v>
      </c>
      <c r="I84" s="3"/>
      <c r="J84" s="2" t="s">
        <v>16</v>
      </c>
    </row>
    <row r="85" spans="1:11" ht="15.75" customHeight="1">
      <c r="A85" s="9">
        <v>2011</v>
      </c>
      <c r="B85" s="2" t="s">
        <v>24</v>
      </c>
      <c r="C85" s="2" t="s">
        <v>24</v>
      </c>
      <c r="D85" s="2" t="s">
        <v>25</v>
      </c>
      <c r="E85" s="3" t="s">
        <v>15</v>
      </c>
      <c r="F85" s="8">
        <v>295000000</v>
      </c>
      <c r="G85" s="2" t="s">
        <v>24</v>
      </c>
      <c r="H85" s="2" t="s">
        <v>17</v>
      </c>
    </row>
    <row r="86" spans="1:11" ht="15.75" customHeight="1">
      <c r="A86" s="9">
        <v>2011</v>
      </c>
      <c r="B86" s="2" t="s">
        <v>35</v>
      </c>
      <c r="C86" s="2" t="s">
        <v>30</v>
      </c>
      <c r="D86" s="2" t="s">
        <v>31</v>
      </c>
      <c r="E86" s="3" t="s">
        <v>14</v>
      </c>
      <c r="F86" s="8">
        <v>152800000</v>
      </c>
      <c r="G86" s="2" t="s">
        <v>35</v>
      </c>
      <c r="H86" s="2" t="s">
        <v>36</v>
      </c>
    </row>
    <row r="87" spans="1:11" ht="15.75" customHeight="1">
      <c r="A87" s="20">
        <v>2011</v>
      </c>
      <c r="B87" s="2" t="s">
        <v>35</v>
      </c>
      <c r="C87" s="2" t="s">
        <v>30</v>
      </c>
      <c r="D87" s="2" t="s">
        <v>31</v>
      </c>
      <c r="E87" s="3" t="s">
        <v>15</v>
      </c>
      <c r="F87" s="8">
        <v>313900000</v>
      </c>
      <c r="G87" s="2" t="s">
        <v>35</v>
      </c>
      <c r="H87" s="2" t="s">
        <v>36</v>
      </c>
    </row>
    <row r="88" spans="1:11" ht="15.75" customHeight="1">
      <c r="A88" s="20">
        <v>2011</v>
      </c>
      <c r="B88" s="2" t="s">
        <v>35</v>
      </c>
      <c r="C88" s="2" t="s">
        <v>30</v>
      </c>
      <c r="D88" s="2" t="s">
        <v>31</v>
      </c>
      <c r="E88" s="2" t="s">
        <v>16</v>
      </c>
      <c r="F88" s="8">
        <v>330000</v>
      </c>
      <c r="G88" s="2" t="s">
        <v>35</v>
      </c>
      <c r="H88" s="2" t="s">
        <v>36</v>
      </c>
      <c r="I88" s="2"/>
      <c r="J88" s="2" t="s">
        <v>16</v>
      </c>
      <c r="K88" s="5"/>
    </row>
    <row r="89" spans="1:11" ht="15.75" customHeight="1">
      <c r="A89" s="9">
        <v>2011</v>
      </c>
      <c r="B89" s="3" t="s">
        <v>35</v>
      </c>
      <c r="C89" s="2" t="s">
        <v>30</v>
      </c>
      <c r="D89" s="2" t="s">
        <v>31</v>
      </c>
      <c r="E89" s="3" t="s">
        <v>14</v>
      </c>
      <c r="F89" s="8">
        <v>110600000</v>
      </c>
      <c r="G89" s="2" t="s">
        <v>35</v>
      </c>
      <c r="H89" s="2" t="s">
        <v>36</v>
      </c>
    </row>
    <row r="90" spans="1:11" ht="15.75" customHeight="1">
      <c r="A90" s="9">
        <v>2011</v>
      </c>
      <c r="B90" s="3" t="s">
        <v>35</v>
      </c>
      <c r="C90" s="2" t="s">
        <v>30</v>
      </c>
      <c r="D90" s="2" t="s">
        <v>31</v>
      </c>
      <c r="E90" s="3" t="s">
        <v>15</v>
      </c>
      <c r="F90" s="8">
        <v>391200000</v>
      </c>
      <c r="G90" s="2" t="s">
        <v>35</v>
      </c>
      <c r="H90" s="2" t="s">
        <v>36</v>
      </c>
    </row>
    <row r="91" spans="1:11" ht="15.75" customHeight="1">
      <c r="A91" s="9">
        <v>2011</v>
      </c>
      <c r="B91" s="3" t="s">
        <v>35</v>
      </c>
      <c r="C91" s="2" t="s">
        <v>30</v>
      </c>
      <c r="D91" s="2" t="s">
        <v>31</v>
      </c>
      <c r="E91" s="2" t="s">
        <v>16</v>
      </c>
      <c r="F91" s="8">
        <v>484000</v>
      </c>
      <c r="G91" s="2" t="s">
        <v>35</v>
      </c>
      <c r="H91" s="2" t="s">
        <v>36</v>
      </c>
      <c r="I91" s="2"/>
      <c r="J91" s="2" t="s">
        <v>16</v>
      </c>
    </row>
    <row r="92" spans="1:11" ht="15.75" customHeight="1">
      <c r="A92" s="20">
        <v>2011</v>
      </c>
      <c r="B92" s="3" t="s">
        <v>37</v>
      </c>
      <c r="C92" s="2" t="s">
        <v>30</v>
      </c>
      <c r="D92" s="2" t="s">
        <v>31</v>
      </c>
      <c r="E92" s="3" t="s">
        <v>14</v>
      </c>
      <c r="F92" s="8">
        <v>74300000</v>
      </c>
      <c r="G92" s="2" t="s">
        <v>35</v>
      </c>
      <c r="H92" s="2" t="s">
        <v>36</v>
      </c>
    </row>
    <row r="93" spans="1:11" ht="15.75" customHeight="1">
      <c r="A93" s="20">
        <v>2011</v>
      </c>
      <c r="B93" s="3" t="s">
        <v>37</v>
      </c>
      <c r="C93" s="2" t="s">
        <v>30</v>
      </c>
      <c r="D93" s="2" t="s">
        <v>31</v>
      </c>
      <c r="E93" s="3" t="s">
        <v>15</v>
      </c>
      <c r="F93" s="8">
        <v>429300000</v>
      </c>
      <c r="G93" s="3" t="s">
        <v>35</v>
      </c>
      <c r="H93" s="2" t="s">
        <v>36</v>
      </c>
    </row>
    <row r="94" spans="1:11" ht="15.75" customHeight="1">
      <c r="A94" s="9">
        <v>2011</v>
      </c>
      <c r="B94" s="3" t="s">
        <v>37</v>
      </c>
      <c r="C94" s="2" t="s">
        <v>30</v>
      </c>
      <c r="D94" s="2" t="s">
        <v>31</v>
      </c>
      <c r="E94" s="3" t="s">
        <v>14</v>
      </c>
      <c r="F94" s="8">
        <v>73800000</v>
      </c>
      <c r="G94" s="3" t="s">
        <v>37</v>
      </c>
      <c r="H94" s="2" t="s">
        <v>36</v>
      </c>
    </row>
    <row r="95" spans="1:11" ht="15.75" customHeight="1">
      <c r="A95" s="20">
        <v>2011</v>
      </c>
      <c r="B95" s="3" t="s">
        <v>37</v>
      </c>
      <c r="C95" s="2" t="s">
        <v>30</v>
      </c>
      <c r="D95" s="2" t="s">
        <v>31</v>
      </c>
      <c r="E95" s="3" t="s">
        <v>15</v>
      </c>
      <c r="F95" s="8">
        <v>306600000</v>
      </c>
      <c r="G95" s="3" t="s">
        <v>37</v>
      </c>
      <c r="H95" s="2" t="s">
        <v>36</v>
      </c>
    </row>
    <row r="96" spans="1:11" ht="15.75" customHeight="1">
      <c r="A96" s="20">
        <v>2011</v>
      </c>
      <c r="B96" s="2" t="s">
        <v>30</v>
      </c>
      <c r="C96" s="2" t="s">
        <v>30</v>
      </c>
      <c r="D96" s="2" t="s">
        <v>31</v>
      </c>
      <c r="E96" s="3" t="s">
        <v>14</v>
      </c>
      <c r="F96" s="8">
        <v>64300000</v>
      </c>
      <c r="G96" s="2" t="s">
        <v>30</v>
      </c>
      <c r="H96" s="2" t="s">
        <v>17</v>
      </c>
    </row>
    <row r="97" spans="1:11" ht="15.75" customHeight="1">
      <c r="A97" s="20">
        <v>2011</v>
      </c>
      <c r="B97" s="2" t="s">
        <v>38</v>
      </c>
      <c r="C97" s="2" t="s">
        <v>38</v>
      </c>
      <c r="D97" s="2" t="s">
        <v>39</v>
      </c>
      <c r="E97" s="3" t="s">
        <v>14</v>
      </c>
      <c r="F97" s="8">
        <v>73000000</v>
      </c>
      <c r="G97" s="2" t="s">
        <v>38</v>
      </c>
      <c r="H97" s="2"/>
    </row>
    <row r="98" spans="1:11" ht="15.75" customHeight="1">
      <c r="A98" s="20">
        <v>2011</v>
      </c>
      <c r="B98" s="2" t="s">
        <v>38</v>
      </c>
      <c r="C98" s="2" t="s">
        <v>38</v>
      </c>
      <c r="D98" s="2" t="s">
        <v>39</v>
      </c>
      <c r="E98" s="3" t="s">
        <v>15</v>
      </c>
      <c r="F98" s="8">
        <v>125800000</v>
      </c>
      <c r="G98" s="2" t="s">
        <v>38</v>
      </c>
      <c r="H98" s="2"/>
    </row>
    <row r="99" spans="1:11" ht="15.75" customHeight="1">
      <c r="A99" s="9">
        <v>2011</v>
      </c>
      <c r="B99" s="2" t="s">
        <v>38</v>
      </c>
      <c r="C99" s="2" t="s">
        <v>38</v>
      </c>
      <c r="D99" s="2" t="s">
        <v>39</v>
      </c>
      <c r="E99" s="2" t="s">
        <v>16</v>
      </c>
      <c r="F99" s="8">
        <v>6100000</v>
      </c>
      <c r="G99" s="2" t="s">
        <v>38</v>
      </c>
      <c r="H99" s="2"/>
      <c r="I99" s="2"/>
      <c r="J99" s="2" t="s">
        <v>16</v>
      </c>
    </row>
    <row r="100" spans="1:11" ht="15.75" customHeight="1">
      <c r="A100" s="9">
        <v>2011</v>
      </c>
      <c r="B100" s="2" t="s">
        <v>38</v>
      </c>
      <c r="C100" s="2" t="s">
        <v>38</v>
      </c>
      <c r="D100" s="2" t="s">
        <v>39</v>
      </c>
      <c r="E100" s="3" t="s">
        <v>14</v>
      </c>
      <c r="F100" s="8">
        <v>117100000</v>
      </c>
      <c r="G100" s="2" t="s">
        <v>38</v>
      </c>
      <c r="H100" s="2"/>
    </row>
    <row r="101" spans="1:11" ht="15.75" customHeight="1">
      <c r="A101" s="9">
        <v>2011</v>
      </c>
      <c r="B101" s="2" t="s">
        <v>38</v>
      </c>
      <c r="C101" s="2" t="s">
        <v>38</v>
      </c>
      <c r="D101" s="2" t="s">
        <v>39</v>
      </c>
      <c r="E101" s="3" t="s">
        <v>15</v>
      </c>
      <c r="F101" s="8">
        <v>264000000</v>
      </c>
      <c r="G101" s="2" t="s">
        <v>38</v>
      </c>
      <c r="H101" s="2"/>
    </row>
    <row r="102" spans="1:11" ht="15.75" customHeight="1">
      <c r="A102" s="20">
        <v>2011</v>
      </c>
      <c r="B102" s="2" t="s">
        <v>38</v>
      </c>
      <c r="C102" s="2" t="s">
        <v>38</v>
      </c>
      <c r="D102" s="2" t="s">
        <v>39</v>
      </c>
      <c r="E102" s="2" t="s">
        <v>16</v>
      </c>
      <c r="F102" s="8">
        <v>2070000</v>
      </c>
      <c r="G102" s="2" t="s">
        <v>38</v>
      </c>
      <c r="H102" s="2"/>
      <c r="I102" s="2"/>
      <c r="J102" s="2" t="s">
        <v>16</v>
      </c>
    </row>
    <row r="103" spans="1:11" ht="15.75" customHeight="1">
      <c r="A103" s="9">
        <v>2011</v>
      </c>
      <c r="B103" s="2" t="s">
        <v>38</v>
      </c>
      <c r="C103" s="16" t="s">
        <v>38</v>
      </c>
      <c r="D103" s="2" t="s">
        <v>39</v>
      </c>
      <c r="E103" s="3" t="s">
        <v>14</v>
      </c>
      <c r="F103" s="8">
        <v>108700000</v>
      </c>
      <c r="G103" s="2" t="s">
        <v>38</v>
      </c>
      <c r="H103" s="2"/>
    </row>
    <row r="104" spans="1:11" ht="15.75" customHeight="1">
      <c r="A104" s="9">
        <v>2011</v>
      </c>
      <c r="B104" s="2" t="s">
        <v>38</v>
      </c>
      <c r="C104" s="2" t="s">
        <v>38</v>
      </c>
      <c r="D104" s="2" t="s">
        <v>39</v>
      </c>
      <c r="E104" s="3" t="s">
        <v>15</v>
      </c>
      <c r="F104" s="8">
        <v>232200000</v>
      </c>
      <c r="G104" s="2" t="s">
        <v>38</v>
      </c>
      <c r="H104" s="2"/>
    </row>
    <row r="105" spans="1:11" ht="15.75" customHeight="1">
      <c r="A105" s="9">
        <v>2011</v>
      </c>
      <c r="B105" s="2" t="s">
        <v>38</v>
      </c>
      <c r="C105" s="2" t="s">
        <v>38</v>
      </c>
      <c r="D105" s="2" t="s">
        <v>39</v>
      </c>
      <c r="E105" s="2" t="s">
        <v>16</v>
      </c>
      <c r="F105" s="8">
        <v>2900000</v>
      </c>
      <c r="G105" s="2" t="s">
        <v>38</v>
      </c>
      <c r="H105" s="2"/>
      <c r="I105" s="2"/>
      <c r="J105" s="2" t="s">
        <v>16</v>
      </c>
      <c r="K105" s="5"/>
    </row>
    <row r="106" spans="1:11" ht="15.75" customHeight="1">
      <c r="A106" s="9">
        <v>2011</v>
      </c>
      <c r="B106" s="2" t="s">
        <v>38</v>
      </c>
      <c r="C106" s="2" t="s">
        <v>38</v>
      </c>
      <c r="D106" s="2" t="s">
        <v>39</v>
      </c>
      <c r="E106" s="3" t="s">
        <v>14</v>
      </c>
      <c r="F106" s="8">
        <v>111900000</v>
      </c>
      <c r="G106" s="2" t="s">
        <v>38</v>
      </c>
      <c r="H106" s="2" t="s">
        <v>17</v>
      </c>
    </row>
    <row r="107" spans="1:11" ht="15.75" customHeight="1">
      <c r="A107" s="20">
        <v>2011</v>
      </c>
      <c r="B107" s="2" t="s">
        <v>38</v>
      </c>
      <c r="C107" s="2" t="s">
        <v>38</v>
      </c>
      <c r="D107" s="2" t="s">
        <v>39</v>
      </c>
      <c r="E107" s="3" t="s">
        <v>15</v>
      </c>
      <c r="F107" s="8">
        <v>238100000</v>
      </c>
      <c r="G107" s="2" t="s">
        <v>38</v>
      </c>
      <c r="H107" s="2" t="s">
        <v>17</v>
      </c>
    </row>
    <row r="108" spans="1:11" ht="15.75" customHeight="1">
      <c r="A108" s="9">
        <v>2011</v>
      </c>
      <c r="B108" s="2" t="s">
        <v>38</v>
      </c>
      <c r="C108" s="2" t="s">
        <v>38</v>
      </c>
      <c r="D108" s="2" t="s">
        <v>39</v>
      </c>
      <c r="E108" s="2" t="s">
        <v>16</v>
      </c>
      <c r="F108" s="8">
        <v>2900000</v>
      </c>
      <c r="G108" s="2" t="s">
        <v>38</v>
      </c>
      <c r="H108" s="2" t="s">
        <v>17</v>
      </c>
      <c r="I108" s="2"/>
      <c r="J108" s="2" t="s">
        <v>16</v>
      </c>
    </row>
    <row r="109" spans="1:11" ht="15.75" customHeight="1">
      <c r="A109" s="9">
        <v>2011</v>
      </c>
      <c r="B109" s="2" t="s">
        <v>38</v>
      </c>
      <c r="C109" s="2" t="s">
        <v>38</v>
      </c>
      <c r="D109" s="2" t="s">
        <v>39</v>
      </c>
      <c r="E109" s="3" t="s">
        <v>14</v>
      </c>
      <c r="F109" s="8">
        <v>117300000</v>
      </c>
      <c r="G109" s="2" t="s">
        <v>38</v>
      </c>
      <c r="H109" s="2" t="s">
        <v>17</v>
      </c>
    </row>
    <row r="110" spans="1:11" ht="15.75" customHeight="1">
      <c r="A110" s="1">
        <v>2012</v>
      </c>
      <c r="B110" s="2" t="s">
        <v>38</v>
      </c>
      <c r="C110" s="2" t="s">
        <v>38</v>
      </c>
      <c r="D110" s="2" t="s">
        <v>39</v>
      </c>
      <c r="E110" s="3" t="s">
        <v>15</v>
      </c>
      <c r="F110" s="8">
        <v>319700000</v>
      </c>
      <c r="G110" s="2" t="s">
        <v>38</v>
      </c>
      <c r="H110" s="2" t="s">
        <v>17</v>
      </c>
    </row>
    <row r="111" spans="1:11" ht="15.75" customHeight="1">
      <c r="A111" s="1">
        <v>2012</v>
      </c>
      <c r="B111" s="2" t="s">
        <v>38</v>
      </c>
      <c r="C111" s="2" t="s">
        <v>38</v>
      </c>
      <c r="D111" s="2" t="s">
        <v>39</v>
      </c>
      <c r="E111" s="2" t="s">
        <v>16</v>
      </c>
      <c r="F111" s="8">
        <v>3400000</v>
      </c>
      <c r="G111" s="2" t="s">
        <v>38</v>
      </c>
      <c r="H111" s="2" t="s">
        <v>17</v>
      </c>
      <c r="I111" s="2"/>
      <c r="J111" s="2" t="s">
        <v>16</v>
      </c>
    </row>
    <row r="112" spans="1:11" ht="15.75" customHeight="1">
      <c r="A112" s="1">
        <v>2012</v>
      </c>
      <c r="B112" s="3" t="s">
        <v>35</v>
      </c>
      <c r="C112" s="2" t="s">
        <v>30</v>
      </c>
      <c r="D112" s="2" t="s">
        <v>31</v>
      </c>
      <c r="E112" s="3" t="s">
        <v>14</v>
      </c>
      <c r="F112" s="8">
        <v>85400000</v>
      </c>
      <c r="G112" s="2" t="s">
        <v>35</v>
      </c>
      <c r="H112" s="2" t="s">
        <v>36</v>
      </c>
    </row>
    <row r="113" spans="1:11" ht="15.75" customHeight="1">
      <c r="A113" s="20">
        <v>2012</v>
      </c>
      <c r="B113" s="2" t="s">
        <v>38</v>
      </c>
      <c r="C113" s="2" t="s">
        <v>38</v>
      </c>
      <c r="D113" s="2" t="s">
        <v>39</v>
      </c>
      <c r="E113" s="3" t="s">
        <v>15</v>
      </c>
      <c r="F113" s="23">
        <v>298900000</v>
      </c>
      <c r="G113" s="2" t="s">
        <v>38</v>
      </c>
      <c r="H113" s="16" t="s">
        <v>17</v>
      </c>
    </row>
    <row r="114" spans="1:11" ht="15.75" customHeight="1">
      <c r="A114" s="20">
        <v>2012</v>
      </c>
      <c r="B114" s="2" t="s">
        <v>30</v>
      </c>
      <c r="C114" s="2" t="s">
        <v>30</v>
      </c>
      <c r="D114" s="2" t="s">
        <v>31</v>
      </c>
      <c r="E114" s="2" t="s">
        <v>16</v>
      </c>
      <c r="F114" s="8">
        <v>1800000</v>
      </c>
      <c r="G114" s="2" t="s">
        <v>30</v>
      </c>
      <c r="H114" s="2" t="s">
        <v>17</v>
      </c>
      <c r="I114" s="2"/>
      <c r="J114" s="2" t="s">
        <v>16</v>
      </c>
    </row>
    <row r="115" spans="1:11" ht="15.75" customHeight="1">
      <c r="A115" s="9">
        <v>2012</v>
      </c>
      <c r="B115" s="3" t="s">
        <v>35</v>
      </c>
      <c r="C115" s="2" t="s">
        <v>30</v>
      </c>
      <c r="D115" s="2" t="s">
        <v>31</v>
      </c>
      <c r="E115" s="2" t="s">
        <v>16</v>
      </c>
      <c r="F115" s="8">
        <v>223000</v>
      </c>
      <c r="G115" s="2" t="s">
        <v>35</v>
      </c>
      <c r="H115" s="2" t="s">
        <v>36</v>
      </c>
      <c r="I115" s="2"/>
      <c r="J115" s="2" t="s">
        <v>16</v>
      </c>
    </row>
    <row r="116" spans="1:11" ht="15.75" customHeight="1">
      <c r="A116" s="20">
        <v>2012</v>
      </c>
      <c r="B116" s="3" t="s">
        <v>40</v>
      </c>
      <c r="C116" s="2" t="s">
        <v>41</v>
      </c>
      <c r="D116" s="2" t="s">
        <v>42</v>
      </c>
      <c r="E116" s="3" t="s">
        <v>14</v>
      </c>
      <c r="F116" s="8">
        <v>80500000</v>
      </c>
      <c r="G116" s="2" t="s">
        <v>40</v>
      </c>
      <c r="H116" s="2"/>
    </row>
    <row r="117" spans="1:11" ht="15.75" customHeight="1">
      <c r="A117" s="9">
        <v>2012</v>
      </c>
      <c r="B117" s="3" t="s">
        <v>40</v>
      </c>
      <c r="C117" s="2" t="s">
        <v>41</v>
      </c>
      <c r="D117" s="2" t="s">
        <v>42</v>
      </c>
      <c r="E117" s="3" t="s">
        <v>15</v>
      </c>
      <c r="F117" s="8">
        <v>345700000</v>
      </c>
      <c r="G117" s="2" t="s">
        <v>40</v>
      </c>
      <c r="H117" s="2"/>
    </row>
    <row r="118" spans="1:11" ht="15.75" customHeight="1">
      <c r="A118" s="20">
        <v>2012</v>
      </c>
      <c r="B118" s="3" t="s">
        <v>40</v>
      </c>
      <c r="C118" s="2" t="s">
        <v>41</v>
      </c>
      <c r="D118" s="2" t="s">
        <v>42</v>
      </c>
      <c r="E118" s="2" t="s">
        <v>16</v>
      </c>
      <c r="F118" s="8">
        <v>1300000</v>
      </c>
      <c r="G118" s="2" t="s">
        <v>40</v>
      </c>
      <c r="H118" s="2"/>
      <c r="I118" s="2"/>
      <c r="J118" s="2" t="s">
        <v>16</v>
      </c>
    </row>
    <row r="119" spans="1:11" ht="15.75" customHeight="1">
      <c r="A119" s="20">
        <v>2012</v>
      </c>
      <c r="B119" s="2" t="s">
        <v>41</v>
      </c>
      <c r="C119" s="2" t="s">
        <v>41</v>
      </c>
      <c r="D119" s="2" t="s">
        <v>42</v>
      </c>
      <c r="E119" s="3" t="s">
        <v>14</v>
      </c>
      <c r="F119" s="8">
        <v>102801363</v>
      </c>
      <c r="G119" s="2" t="s">
        <v>41</v>
      </c>
      <c r="H119" s="2" t="s">
        <v>13</v>
      </c>
    </row>
    <row r="120" spans="1:11" ht="15.75" customHeight="1">
      <c r="A120" s="20">
        <v>2012</v>
      </c>
      <c r="B120" s="2" t="s">
        <v>41</v>
      </c>
      <c r="C120" s="2" t="s">
        <v>41</v>
      </c>
      <c r="D120" s="2" t="s">
        <v>42</v>
      </c>
      <c r="E120" s="3" t="s">
        <v>15</v>
      </c>
      <c r="F120" s="4">
        <v>195136527</v>
      </c>
      <c r="G120" s="2" t="s">
        <v>41</v>
      </c>
      <c r="H120" s="2" t="s">
        <v>13</v>
      </c>
      <c r="I120" s="15"/>
      <c r="J120" s="15"/>
      <c r="K120" s="6"/>
    </row>
    <row r="121" spans="1:11" ht="15.75" customHeight="1">
      <c r="A121" s="20">
        <v>2012</v>
      </c>
      <c r="B121" s="14" t="s">
        <v>41</v>
      </c>
      <c r="C121" s="14" t="s">
        <v>41</v>
      </c>
      <c r="D121" s="2" t="s">
        <v>42</v>
      </c>
      <c r="E121" s="3" t="s">
        <v>15</v>
      </c>
      <c r="F121" s="4">
        <v>149882707</v>
      </c>
      <c r="G121" s="14" t="s">
        <v>41</v>
      </c>
      <c r="H121" s="2" t="s">
        <v>13</v>
      </c>
    </row>
    <row r="122" spans="1:11" ht="15.75" customHeight="1">
      <c r="A122" s="20">
        <v>2012</v>
      </c>
      <c r="B122" s="14" t="s">
        <v>41</v>
      </c>
      <c r="C122" s="14" t="s">
        <v>41</v>
      </c>
      <c r="D122" s="2" t="s">
        <v>42</v>
      </c>
      <c r="E122" s="14" t="s">
        <v>14</v>
      </c>
      <c r="F122" s="4">
        <v>73220547</v>
      </c>
      <c r="G122" s="14" t="s">
        <v>41</v>
      </c>
      <c r="H122" s="2" t="s">
        <v>13</v>
      </c>
    </row>
    <row r="123" spans="1:11" ht="15.75" customHeight="1">
      <c r="A123" s="20">
        <v>2012</v>
      </c>
      <c r="B123" s="3" t="s">
        <v>41</v>
      </c>
      <c r="C123" s="2" t="s">
        <v>41</v>
      </c>
      <c r="D123" s="2" t="s">
        <v>42</v>
      </c>
      <c r="E123" s="3" t="s">
        <v>12</v>
      </c>
      <c r="F123" s="8">
        <v>1621183</v>
      </c>
      <c r="G123" s="3" t="s">
        <v>41</v>
      </c>
      <c r="H123" s="2" t="s">
        <v>13</v>
      </c>
      <c r="I123" s="3"/>
      <c r="J123" s="3" t="s">
        <v>16</v>
      </c>
    </row>
    <row r="124" spans="1:11" ht="15.75" customHeight="1">
      <c r="A124" s="20">
        <v>2012</v>
      </c>
      <c r="B124" s="2" t="s">
        <v>41</v>
      </c>
      <c r="C124" s="2" t="s">
        <v>41</v>
      </c>
      <c r="D124" s="2" t="s">
        <v>42</v>
      </c>
      <c r="E124" s="3" t="s">
        <v>14</v>
      </c>
      <c r="F124" s="8">
        <v>76649802</v>
      </c>
      <c r="G124" s="2" t="s">
        <v>41</v>
      </c>
      <c r="H124" s="2" t="s">
        <v>13</v>
      </c>
    </row>
    <row r="125" spans="1:11" ht="15.75" customHeight="1">
      <c r="A125" s="9">
        <v>2012</v>
      </c>
      <c r="B125" s="2" t="s">
        <v>41</v>
      </c>
      <c r="C125" s="2" t="s">
        <v>41</v>
      </c>
      <c r="D125" s="2" t="s">
        <v>42</v>
      </c>
      <c r="E125" s="3" t="s">
        <v>15</v>
      </c>
      <c r="F125" s="4">
        <v>124011764</v>
      </c>
      <c r="G125" s="2" t="s">
        <v>41</v>
      </c>
      <c r="H125" s="2" t="s">
        <v>13</v>
      </c>
      <c r="I125" s="15"/>
      <c r="J125" s="15"/>
      <c r="K125" s="6"/>
    </row>
    <row r="126" spans="1:11" ht="15.75" customHeight="1">
      <c r="A126" s="9">
        <v>2012</v>
      </c>
      <c r="B126" s="2" t="s">
        <v>41</v>
      </c>
      <c r="C126" s="2" t="s">
        <v>41</v>
      </c>
      <c r="D126" s="2" t="s">
        <v>42</v>
      </c>
      <c r="E126" s="3" t="s">
        <v>12</v>
      </c>
      <c r="F126" s="8">
        <v>1920000</v>
      </c>
      <c r="G126" s="2" t="s">
        <v>41</v>
      </c>
      <c r="H126" s="2" t="s">
        <v>13</v>
      </c>
      <c r="I126" s="3"/>
      <c r="J126" s="3" t="s">
        <v>16</v>
      </c>
    </row>
    <row r="127" spans="1:11" ht="15.75" customHeight="1">
      <c r="A127" s="20">
        <v>2012</v>
      </c>
      <c r="B127" s="2" t="s">
        <v>41</v>
      </c>
      <c r="C127" s="2" t="s">
        <v>41</v>
      </c>
      <c r="D127" s="2" t="s">
        <v>42</v>
      </c>
      <c r="E127" s="3" t="s">
        <v>12</v>
      </c>
      <c r="F127" s="8">
        <v>1600000</v>
      </c>
      <c r="G127" s="2" t="s">
        <v>41</v>
      </c>
      <c r="H127" s="2" t="s">
        <v>13</v>
      </c>
      <c r="I127" s="3"/>
      <c r="J127" s="3" t="s">
        <v>16</v>
      </c>
    </row>
    <row r="128" spans="1:11" ht="15.75" customHeight="1">
      <c r="A128" s="20">
        <v>2012</v>
      </c>
      <c r="B128" s="2" t="s">
        <v>41</v>
      </c>
      <c r="C128" s="2" t="s">
        <v>41</v>
      </c>
      <c r="D128" s="2" t="s">
        <v>42</v>
      </c>
      <c r="E128" s="3" t="s">
        <v>14</v>
      </c>
      <c r="F128" s="8">
        <v>378700000</v>
      </c>
      <c r="G128" s="2" t="s">
        <v>41</v>
      </c>
      <c r="H128" s="2"/>
    </row>
    <row r="129" spans="1:11" ht="15.75" customHeight="1">
      <c r="A129" s="20">
        <v>2012</v>
      </c>
      <c r="B129" s="2" t="s">
        <v>41</v>
      </c>
      <c r="C129" s="2" t="s">
        <v>41</v>
      </c>
      <c r="D129" s="2" t="s">
        <v>42</v>
      </c>
      <c r="E129" s="3" t="s">
        <v>15</v>
      </c>
      <c r="F129" s="8">
        <v>555400000</v>
      </c>
      <c r="G129" s="2" t="s">
        <v>41</v>
      </c>
      <c r="H129" s="2"/>
    </row>
    <row r="130" spans="1:11" ht="15.75" customHeight="1">
      <c r="A130" s="20">
        <v>2012</v>
      </c>
      <c r="B130" s="2" t="s">
        <v>41</v>
      </c>
      <c r="C130" s="2" t="s">
        <v>41</v>
      </c>
      <c r="D130" s="2" t="s">
        <v>42</v>
      </c>
      <c r="E130" s="2" t="s">
        <v>16</v>
      </c>
      <c r="F130" s="8">
        <v>2200000</v>
      </c>
      <c r="G130" s="2" t="s">
        <v>41</v>
      </c>
      <c r="H130" s="2"/>
      <c r="I130" s="2"/>
      <c r="J130" s="2" t="s">
        <v>16</v>
      </c>
    </row>
    <row r="131" spans="1:11" ht="15.75" customHeight="1">
      <c r="A131" s="20">
        <v>2012</v>
      </c>
      <c r="B131" s="2" t="s">
        <v>41</v>
      </c>
      <c r="C131" s="2" t="s">
        <v>41</v>
      </c>
      <c r="D131" s="2" t="s">
        <v>42</v>
      </c>
      <c r="E131" s="3" t="s">
        <v>14</v>
      </c>
      <c r="F131" s="8">
        <v>301100000</v>
      </c>
      <c r="G131" s="2" t="s">
        <v>41</v>
      </c>
      <c r="H131" s="2"/>
    </row>
    <row r="132" spans="1:11" ht="15.75" customHeight="1">
      <c r="A132" s="20">
        <v>2012</v>
      </c>
      <c r="B132" s="2" t="s">
        <v>41</v>
      </c>
      <c r="C132" s="2" t="s">
        <v>41</v>
      </c>
      <c r="D132" s="2" t="s">
        <v>42</v>
      </c>
      <c r="E132" s="3" t="s">
        <v>15</v>
      </c>
      <c r="F132" s="8">
        <v>613000000</v>
      </c>
      <c r="G132" s="2" t="s">
        <v>41</v>
      </c>
      <c r="H132" s="2"/>
    </row>
    <row r="133" spans="1:11" ht="15.75" customHeight="1">
      <c r="A133" s="20">
        <v>2012</v>
      </c>
      <c r="B133" s="2" t="s">
        <v>41</v>
      </c>
      <c r="C133" s="2" t="s">
        <v>41</v>
      </c>
      <c r="D133" s="2" t="s">
        <v>42</v>
      </c>
      <c r="E133" s="3" t="s">
        <v>15</v>
      </c>
      <c r="F133" s="8">
        <v>331200000</v>
      </c>
      <c r="G133" s="3" t="s">
        <v>43</v>
      </c>
      <c r="H133" s="2"/>
    </row>
    <row r="134" spans="1:11" ht="15.75" customHeight="1">
      <c r="A134" s="20">
        <v>2012</v>
      </c>
      <c r="B134" s="2" t="s">
        <v>41</v>
      </c>
      <c r="C134" s="2" t="s">
        <v>41</v>
      </c>
      <c r="D134" s="2" t="s">
        <v>42</v>
      </c>
      <c r="E134" s="2" t="s">
        <v>16</v>
      </c>
      <c r="F134" s="8">
        <v>2700000</v>
      </c>
      <c r="G134" s="2" t="s">
        <v>41</v>
      </c>
      <c r="H134" s="2"/>
      <c r="I134" s="2"/>
      <c r="J134" s="2" t="s">
        <v>16</v>
      </c>
    </row>
    <row r="135" spans="1:11" ht="15.75" customHeight="1">
      <c r="A135" s="20">
        <v>2012</v>
      </c>
      <c r="B135" s="2" t="s">
        <v>41</v>
      </c>
      <c r="C135" s="2" t="s">
        <v>41</v>
      </c>
      <c r="D135" s="2" t="s">
        <v>42</v>
      </c>
      <c r="E135" s="3" t="s">
        <v>14</v>
      </c>
      <c r="F135" s="8">
        <v>180900000</v>
      </c>
      <c r="G135" s="2" t="s">
        <v>41</v>
      </c>
      <c r="H135" s="2"/>
    </row>
    <row r="136" spans="1:11" ht="15.75" customHeight="1">
      <c r="A136" s="20">
        <v>2012</v>
      </c>
      <c r="B136" s="2" t="s">
        <v>41</v>
      </c>
      <c r="C136" s="2" t="s">
        <v>41</v>
      </c>
      <c r="D136" s="2" t="s">
        <v>42</v>
      </c>
      <c r="E136" s="3" t="s">
        <v>15</v>
      </c>
      <c r="F136" s="8">
        <v>531500000</v>
      </c>
      <c r="G136" s="2" t="s">
        <v>41</v>
      </c>
      <c r="H136" s="2"/>
    </row>
    <row r="137" spans="1:11" ht="15.75" customHeight="1">
      <c r="A137" s="20">
        <v>2012</v>
      </c>
      <c r="B137" s="2" t="s">
        <v>41</v>
      </c>
      <c r="C137" s="2" t="s">
        <v>41</v>
      </c>
      <c r="D137" s="2" t="s">
        <v>42</v>
      </c>
      <c r="E137" s="2" t="s">
        <v>16</v>
      </c>
      <c r="F137" s="8">
        <v>2400000</v>
      </c>
      <c r="G137" s="2" t="s">
        <v>41</v>
      </c>
      <c r="H137" s="2"/>
      <c r="I137" s="2"/>
      <c r="J137" s="2" t="s">
        <v>16</v>
      </c>
    </row>
    <row r="138" spans="1:11" ht="15.75" customHeight="1">
      <c r="A138" s="20">
        <v>2012</v>
      </c>
      <c r="B138" s="2" t="s">
        <v>41</v>
      </c>
      <c r="C138" s="2" t="s">
        <v>41</v>
      </c>
      <c r="D138" s="2" t="s">
        <v>42</v>
      </c>
      <c r="E138" s="3" t="s">
        <v>14</v>
      </c>
      <c r="F138" s="8">
        <v>181400000</v>
      </c>
      <c r="G138" s="2" t="s">
        <v>41</v>
      </c>
      <c r="H138" s="2" t="s">
        <v>17</v>
      </c>
    </row>
    <row r="139" spans="1:11" ht="15.75" customHeight="1">
      <c r="A139" s="9">
        <v>2012</v>
      </c>
      <c r="B139" s="2" t="s">
        <v>41</v>
      </c>
      <c r="C139" s="2" t="s">
        <v>41</v>
      </c>
      <c r="D139" s="2" t="s">
        <v>42</v>
      </c>
      <c r="E139" s="3" t="s">
        <v>15</v>
      </c>
      <c r="F139" s="8">
        <v>497300000</v>
      </c>
      <c r="G139" s="2" t="s">
        <v>41</v>
      </c>
      <c r="H139" s="2" t="s">
        <v>17</v>
      </c>
    </row>
    <row r="140" spans="1:11" ht="15.75" customHeight="1">
      <c r="A140" s="9">
        <v>2012</v>
      </c>
      <c r="B140" s="2" t="s">
        <v>41</v>
      </c>
      <c r="C140" s="2" t="s">
        <v>41</v>
      </c>
      <c r="D140" s="2" t="s">
        <v>42</v>
      </c>
      <c r="E140" s="2" t="s">
        <v>16</v>
      </c>
      <c r="F140" s="8">
        <v>2400000</v>
      </c>
      <c r="G140" s="3" t="s">
        <v>41</v>
      </c>
      <c r="H140" s="2" t="s">
        <v>17</v>
      </c>
      <c r="I140" s="2"/>
      <c r="J140" s="2" t="s">
        <v>16</v>
      </c>
    </row>
    <row r="141" spans="1:11" ht="15.75" customHeight="1">
      <c r="A141" s="20">
        <v>2012</v>
      </c>
      <c r="B141" s="3" t="s">
        <v>41</v>
      </c>
      <c r="C141" s="2" t="s">
        <v>41</v>
      </c>
      <c r="D141" s="2" t="s">
        <v>42</v>
      </c>
      <c r="E141" s="3" t="s">
        <v>14</v>
      </c>
      <c r="F141" s="8">
        <v>70000000</v>
      </c>
      <c r="G141" s="3" t="s">
        <v>43</v>
      </c>
      <c r="H141" s="2"/>
    </row>
    <row r="142" spans="1:11" ht="15.75" customHeight="1">
      <c r="A142" s="20">
        <v>2012</v>
      </c>
      <c r="B142" s="2" t="s">
        <v>41</v>
      </c>
      <c r="C142" s="2" t="s">
        <v>41</v>
      </c>
      <c r="D142" s="2" t="s">
        <v>42</v>
      </c>
      <c r="E142" s="3" t="s">
        <v>14</v>
      </c>
      <c r="F142" s="8">
        <v>240600000</v>
      </c>
      <c r="G142" s="2" t="s">
        <v>41</v>
      </c>
      <c r="H142" s="2" t="s">
        <v>17</v>
      </c>
    </row>
    <row r="143" spans="1:11" ht="15.75" customHeight="1">
      <c r="A143" s="20">
        <v>2012</v>
      </c>
      <c r="B143" s="2" t="s">
        <v>41</v>
      </c>
      <c r="C143" s="2" t="s">
        <v>41</v>
      </c>
      <c r="D143" s="2" t="s">
        <v>42</v>
      </c>
      <c r="E143" s="3" t="s">
        <v>15</v>
      </c>
      <c r="F143" s="8">
        <v>515600000</v>
      </c>
      <c r="G143" s="2" t="s">
        <v>41</v>
      </c>
      <c r="H143" s="2" t="s">
        <v>17</v>
      </c>
      <c r="I143" s="5"/>
      <c r="J143" s="5"/>
      <c r="K143" s="5"/>
    </row>
    <row r="144" spans="1:11" ht="15.75" customHeight="1">
      <c r="A144" s="20">
        <v>2012</v>
      </c>
      <c r="B144" s="2" t="s">
        <v>41</v>
      </c>
      <c r="C144" s="2" t="s">
        <v>41</v>
      </c>
      <c r="D144" s="2" t="s">
        <v>42</v>
      </c>
      <c r="E144" s="2" t="s">
        <v>16</v>
      </c>
      <c r="F144" s="8">
        <v>2900000</v>
      </c>
      <c r="G144" s="2" t="s">
        <v>41</v>
      </c>
      <c r="H144" s="2" t="s">
        <v>17</v>
      </c>
      <c r="I144" s="2"/>
      <c r="J144" s="2" t="s">
        <v>16</v>
      </c>
      <c r="K144" s="5"/>
    </row>
    <row r="145" spans="1:28" ht="15.75" customHeight="1">
      <c r="A145" s="20">
        <v>2012</v>
      </c>
      <c r="B145" s="24" t="s">
        <v>30</v>
      </c>
      <c r="C145" s="24" t="s">
        <v>30</v>
      </c>
      <c r="D145" s="25" t="s">
        <v>31</v>
      </c>
      <c r="E145" s="26" t="s">
        <v>16</v>
      </c>
      <c r="F145" s="27">
        <v>1740000</v>
      </c>
      <c r="G145" s="24" t="s">
        <v>30</v>
      </c>
      <c r="H145" s="26" t="s">
        <v>17</v>
      </c>
      <c r="I145" s="25"/>
      <c r="J145" s="26" t="s">
        <v>16</v>
      </c>
    </row>
    <row r="146" spans="1:28" ht="15.75" customHeight="1">
      <c r="A146" s="20">
        <v>2012</v>
      </c>
      <c r="B146" s="2" t="s">
        <v>41</v>
      </c>
      <c r="C146" s="2" t="s">
        <v>41</v>
      </c>
      <c r="D146" s="2" t="s">
        <v>42</v>
      </c>
      <c r="E146" s="3" t="s">
        <v>15</v>
      </c>
      <c r="F146" s="8">
        <v>430700000</v>
      </c>
      <c r="G146" s="2" t="s">
        <v>41</v>
      </c>
      <c r="H146" s="2" t="s">
        <v>17</v>
      </c>
    </row>
    <row r="147" spans="1:28" ht="15.75" customHeight="1">
      <c r="A147" s="20">
        <v>2012</v>
      </c>
      <c r="B147" s="17" t="s">
        <v>24</v>
      </c>
      <c r="C147" s="17" t="s">
        <v>24</v>
      </c>
      <c r="D147" s="3" t="s">
        <v>25</v>
      </c>
      <c r="E147" s="2" t="s">
        <v>15</v>
      </c>
      <c r="F147" s="12">
        <v>607400000</v>
      </c>
      <c r="G147" s="17" t="s">
        <v>24</v>
      </c>
      <c r="H147" s="2" t="s">
        <v>23</v>
      </c>
      <c r="I147" s="3"/>
      <c r="J147" s="2" t="s">
        <v>15</v>
      </c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</row>
    <row r="148" spans="1:28" ht="15.75" customHeight="1">
      <c r="A148" s="9">
        <v>2012</v>
      </c>
      <c r="B148" s="3" t="s">
        <v>41</v>
      </c>
      <c r="C148" s="2" t="s">
        <v>41</v>
      </c>
      <c r="D148" s="14" t="s">
        <v>42</v>
      </c>
      <c r="E148" s="3" t="s">
        <v>14</v>
      </c>
      <c r="F148" s="8">
        <v>65171054</v>
      </c>
      <c r="G148" s="3" t="s">
        <v>41</v>
      </c>
      <c r="H148" s="2" t="s">
        <v>13</v>
      </c>
    </row>
    <row r="149" spans="1:28" ht="15.75" customHeight="1">
      <c r="A149" s="20">
        <v>2012</v>
      </c>
      <c r="B149" s="2" t="s">
        <v>41</v>
      </c>
      <c r="C149" s="3" t="s">
        <v>41</v>
      </c>
      <c r="D149" s="2" t="s">
        <v>42</v>
      </c>
      <c r="E149" s="3" t="s">
        <v>15</v>
      </c>
      <c r="F149" s="4">
        <v>141947471</v>
      </c>
      <c r="G149" s="2" t="s">
        <v>41</v>
      </c>
      <c r="H149" s="2" t="s">
        <v>13</v>
      </c>
      <c r="I149" s="15"/>
      <c r="J149" s="15"/>
    </row>
    <row r="150" spans="1:28" ht="15.75" customHeight="1">
      <c r="A150" s="20">
        <v>2012</v>
      </c>
      <c r="B150" s="3" t="s">
        <v>44</v>
      </c>
      <c r="C150" s="2" t="s">
        <v>44</v>
      </c>
      <c r="D150" s="14" t="s">
        <v>45</v>
      </c>
      <c r="E150" s="3" t="s">
        <v>14</v>
      </c>
      <c r="F150" s="8">
        <v>314112102</v>
      </c>
      <c r="G150" s="3" t="s">
        <v>44</v>
      </c>
      <c r="H150" s="2" t="s">
        <v>13</v>
      </c>
    </row>
    <row r="151" spans="1:28" ht="15.75" customHeight="1">
      <c r="A151" s="20">
        <v>2012</v>
      </c>
      <c r="B151" s="14" t="s">
        <v>44</v>
      </c>
      <c r="C151" s="14" t="s">
        <v>44</v>
      </c>
      <c r="D151" s="14" t="s">
        <v>45</v>
      </c>
      <c r="E151" s="3" t="s">
        <v>15</v>
      </c>
      <c r="F151" s="4">
        <v>544088494</v>
      </c>
      <c r="G151" s="14" t="s">
        <v>44</v>
      </c>
      <c r="H151" s="14" t="s">
        <v>13</v>
      </c>
    </row>
    <row r="152" spans="1:28" ht="15.75" customHeight="1">
      <c r="A152" s="20">
        <v>2012</v>
      </c>
      <c r="B152" s="14" t="s">
        <v>44</v>
      </c>
      <c r="C152" s="14" t="s">
        <v>44</v>
      </c>
      <c r="D152" s="14" t="s">
        <v>45</v>
      </c>
      <c r="E152" s="14" t="s">
        <v>14</v>
      </c>
      <c r="F152" s="4">
        <v>326279750</v>
      </c>
      <c r="G152" s="14" t="s">
        <v>44</v>
      </c>
      <c r="H152" s="14" t="s">
        <v>13</v>
      </c>
    </row>
    <row r="153" spans="1:28" ht="15.75" customHeight="1">
      <c r="A153" s="20">
        <v>2012</v>
      </c>
      <c r="B153" s="3" t="s">
        <v>44</v>
      </c>
      <c r="C153" s="2" t="s">
        <v>44</v>
      </c>
      <c r="D153" s="14" t="s">
        <v>45</v>
      </c>
      <c r="E153" s="3" t="s">
        <v>12</v>
      </c>
      <c r="F153" s="8">
        <v>2283310</v>
      </c>
      <c r="G153" s="3" t="s">
        <v>44</v>
      </c>
      <c r="H153" s="14" t="s">
        <v>13</v>
      </c>
      <c r="I153" s="3"/>
      <c r="J153" s="3" t="s">
        <v>16</v>
      </c>
    </row>
    <row r="154" spans="1:28" ht="15.75" customHeight="1">
      <c r="A154" s="9">
        <v>2012</v>
      </c>
      <c r="B154" s="2" t="s">
        <v>44</v>
      </c>
      <c r="C154" s="2" t="s">
        <v>44</v>
      </c>
      <c r="D154" s="14" t="s">
        <v>45</v>
      </c>
      <c r="E154" s="3" t="s">
        <v>14</v>
      </c>
      <c r="F154" s="8">
        <v>356072026</v>
      </c>
      <c r="G154" s="2" t="s">
        <v>44</v>
      </c>
      <c r="H154" s="14" t="s">
        <v>13</v>
      </c>
    </row>
    <row r="155" spans="1:28" ht="15.75" customHeight="1">
      <c r="A155" s="20">
        <v>2012</v>
      </c>
      <c r="B155" s="2" t="s">
        <v>44</v>
      </c>
      <c r="C155" s="2" t="s">
        <v>44</v>
      </c>
      <c r="D155" s="14" t="s">
        <v>45</v>
      </c>
      <c r="E155" s="3" t="s">
        <v>15</v>
      </c>
      <c r="F155" s="8">
        <v>571946997</v>
      </c>
      <c r="G155" s="2" t="s">
        <v>44</v>
      </c>
      <c r="H155" s="14" t="s">
        <v>13</v>
      </c>
    </row>
    <row r="156" spans="1:28" ht="15.75" customHeight="1">
      <c r="A156" s="9">
        <v>2012</v>
      </c>
      <c r="B156" s="2" t="s">
        <v>44</v>
      </c>
      <c r="C156" s="2" t="s">
        <v>44</v>
      </c>
      <c r="D156" s="14" t="s">
        <v>45</v>
      </c>
      <c r="E156" s="3" t="s">
        <v>12</v>
      </c>
      <c r="F156" s="8">
        <v>2989000</v>
      </c>
      <c r="G156" s="2" t="s">
        <v>44</v>
      </c>
      <c r="H156" s="14" t="s">
        <v>13</v>
      </c>
      <c r="I156" s="3"/>
      <c r="J156" s="3" t="s">
        <v>16</v>
      </c>
    </row>
    <row r="157" spans="1:28" ht="15.75" customHeight="1">
      <c r="A157" s="9">
        <v>2012</v>
      </c>
      <c r="B157" s="2" t="s">
        <v>44</v>
      </c>
      <c r="C157" s="2" t="s">
        <v>44</v>
      </c>
      <c r="D157" s="14" t="s">
        <v>45</v>
      </c>
      <c r="E157" s="3" t="s">
        <v>14</v>
      </c>
      <c r="F157" s="8">
        <v>297860990</v>
      </c>
      <c r="G157" s="2" t="s">
        <v>44</v>
      </c>
      <c r="H157" s="14" t="s">
        <v>13</v>
      </c>
    </row>
    <row r="158" spans="1:28" ht="15.75" customHeight="1">
      <c r="A158" s="9">
        <v>2012</v>
      </c>
      <c r="B158" s="2" t="s">
        <v>44</v>
      </c>
      <c r="C158" s="2" t="s">
        <v>44</v>
      </c>
      <c r="D158" s="14" t="s">
        <v>45</v>
      </c>
      <c r="E158" s="3" t="s">
        <v>15</v>
      </c>
      <c r="F158" s="8">
        <v>509937289</v>
      </c>
      <c r="G158" s="2" t="s">
        <v>44</v>
      </c>
      <c r="H158" s="14" t="s">
        <v>13</v>
      </c>
    </row>
    <row r="159" spans="1:28" ht="15.75" customHeight="1">
      <c r="A159" s="9">
        <v>2012</v>
      </c>
      <c r="B159" s="2" t="s">
        <v>44</v>
      </c>
      <c r="C159" s="2" t="s">
        <v>44</v>
      </c>
      <c r="D159" s="14" t="s">
        <v>45</v>
      </c>
      <c r="E159" s="2" t="s">
        <v>12</v>
      </c>
      <c r="F159" s="4">
        <v>4200000</v>
      </c>
      <c r="G159" s="2" t="s">
        <v>44</v>
      </c>
      <c r="H159" s="14" t="s">
        <v>13</v>
      </c>
      <c r="I159" s="2"/>
      <c r="J159" s="2" t="s">
        <v>16</v>
      </c>
      <c r="K159" s="6"/>
    </row>
    <row r="160" spans="1:28" ht="15.75" customHeight="1">
      <c r="A160" s="20">
        <v>2012</v>
      </c>
      <c r="B160" s="2" t="s">
        <v>44</v>
      </c>
      <c r="C160" s="2" t="s">
        <v>44</v>
      </c>
      <c r="D160" s="14" t="s">
        <v>45</v>
      </c>
      <c r="E160" s="3" t="s">
        <v>14</v>
      </c>
      <c r="F160" s="8">
        <v>226500000</v>
      </c>
      <c r="G160" s="2" t="s">
        <v>44</v>
      </c>
      <c r="H160" s="2"/>
    </row>
    <row r="161" spans="1:10" ht="15.75" customHeight="1">
      <c r="A161" s="20">
        <v>2012</v>
      </c>
      <c r="B161" s="2" t="s">
        <v>44</v>
      </c>
      <c r="C161" s="2" t="s">
        <v>44</v>
      </c>
      <c r="D161" s="14" t="s">
        <v>45</v>
      </c>
      <c r="E161" s="3" t="s">
        <v>15</v>
      </c>
      <c r="F161" s="8">
        <v>618500000</v>
      </c>
      <c r="G161" s="2" t="s">
        <v>44</v>
      </c>
      <c r="H161" s="2"/>
    </row>
    <row r="162" spans="1:10" ht="15.75" customHeight="1">
      <c r="A162" s="9">
        <v>2012</v>
      </c>
      <c r="B162" s="2" t="s">
        <v>44</v>
      </c>
      <c r="C162" s="2" t="s">
        <v>44</v>
      </c>
      <c r="D162" s="14" t="s">
        <v>45</v>
      </c>
      <c r="E162" s="2" t="s">
        <v>16</v>
      </c>
      <c r="F162" s="8">
        <v>2870000</v>
      </c>
      <c r="G162" s="2" t="s">
        <v>44</v>
      </c>
      <c r="H162" s="2"/>
      <c r="I162" s="2"/>
      <c r="J162" s="2" t="s">
        <v>16</v>
      </c>
    </row>
    <row r="163" spans="1:10" ht="15.75" customHeight="1">
      <c r="A163" s="9">
        <v>2012</v>
      </c>
      <c r="B163" s="2" t="s">
        <v>44</v>
      </c>
      <c r="C163" s="2" t="s">
        <v>44</v>
      </c>
      <c r="D163" s="14" t="s">
        <v>45</v>
      </c>
      <c r="E163" s="3" t="s">
        <v>14</v>
      </c>
      <c r="F163" s="8">
        <v>250700000</v>
      </c>
      <c r="G163" s="2" t="s">
        <v>44</v>
      </c>
      <c r="H163" s="2"/>
    </row>
    <row r="164" spans="1:10" ht="15.75" customHeight="1">
      <c r="A164" s="20">
        <v>2012</v>
      </c>
      <c r="B164" s="2" t="s">
        <v>44</v>
      </c>
      <c r="C164" s="2" t="s">
        <v>44</v>
      </c>
      <c r="D164" s="14" t="s">
        <v>45</v>
      </c>
      <c r="E164" s="3" t="s">
        <v>15</v>
      </c>
      <c r="F164" s="8">
        <v>571600000</v>
      </c>
      <c r="G164" s="2" t="s">
        <v>44</v>
      </c>
      <c r="H164" s="2"/>
    </row>
    <row r="165" spans="1:10" ht="15.75" customHeight="1">
      <c r="A165" s="9">
        <v>2012</v>
      </c>
      <c r="B165" s="2" t="s">
        <v>44</v>
      </c>
      <c r="C165" s="2" t="s">
        <v>44</v>
      </c>
      <c r="D165" s="14" t="s">
        <v>45</v>
      </c>
      <c r="E165" s="2" t="s">
        <v>16</v>
      </c>
      <c r="F165" s="8">
        <v>3000000</v>
      </c>
      <c r="G165" s="2" t="s">
        <v>44</v>
      </c>
      <c r="H165" s="2"/>
      <c r="I165" s="2"/>
      <c r="J165" s="2" t="s">
        <v>16</v>
      </c>
    </row>
    <row r="166" spans="1:10" ht="15.75" customHeight="1">
      <c r="A166" s="20">
        <v>2012</v>
      </c>
      <c r="B166" s="2" t="s">
        <v>44</v>
      </c>
      <c r="C166" s="2" t="s">
        <v>44</v>
      </c>
      <c r="D166" s="14" t="s">
        <v>45</v>
      </c>
      <c r="E166" s="3" t="s">
        <v>14</v>
      </c>
      <c r="F166" s="8">
        <v>210500000</v>
      </c>
      <c r="G166" s="2" t="s">
        <v>44</v>
      </c>
      <c r="H166" s="2"/>
    </row>
    <row r="167" spans="1:10" ht="15.75" customHeight="1">
      <c r="A167" s="20">
        <v>2012</v>
      </c>
      <c r="B167" s="2" t="s">
        <v>44</v>
      </c>
      <c r="C167" s="2" t="s">
        <v>44</v>
      </c>
      <c r="D167" s="14" t="s">
        <v>45</v>
      </c>
      <c r="E167" s="3" t="s">
        <v>15</v>
      </c>
      <c r="F167" s="8">
        <v>541300000</v>
      </c>
      <c r="G167" s="2" t="s">
        <v>44</v>
      </c>
      <c r="H167" s="2"/>
    </row>
    <row r="168" spans="1:10" ht="15.75" customHeight="1">
      <c r="A168" s="9">
        <v>2012</v>
      </c>
      <c r="B168" s="2" t="s">
        <v>44</v>
      </c>
      <c r="C168" s="2" t="s">
        <v>44</v>
      </c>
      <c r="D168" s="14" t="s">
        <v>45</v>
      </c>
      <c r="E168" s="2" t="s">
        <v>16</v>
      </c>
      <c r="F168" s="8">
        <v>2300000</v>
      </c>
      <c r="G168" s="2" t="s">
        <v>44</v>
      </c>
      <c r="H168" s="2"/>
      <c r="I168" s="2"/>
      <c r="J168" s="2" t="s">
        <v>16</v>
      </c>
    </row>
    <row r="169" spans="1:10" ht="15.75" customHeight="1">
      <c r="A169" s="20">
        <v>2012</v>
      </c>
      <c r="B169" s="2" t="s">
        <v>44</v>
      </c>
      <c r="C169" s="2" t="s">
        <v>44</v>
      </c>
      <c r="D169" s="14" t="s">
        <v>45</v>
      </c>
      <c r="E169" s="3" t="s">
        <v>14</v>
      </c>
      <c r="F169" s="8">
        <v>227000000</v>
      </c>
      <c r="G169" s="2" t="s">
        <v>44</v>
      </c>
      <c r="H169" s="2" t="s">
        <v>17</v>
      </c>
    </row>
    <row r="170" spans="1:10" ht="15.75" customHeight="1">
      <c r="A170" s="20">
        <v>2012</v>
      </c>
      <c r="B170" s="2" t="s">
        <v>44</v>
      </c>
      <c r="C170" s="2" t="s">
        <v>44</v>
      </c>
      <c r="D170" s="14" t="s">
        <v>45</v>
      </c>
      <c r="E170" s="3" t="s">
        <v>15</v>
      </c>
      <c r="F170" s="8">
        <v>588600000</v>
      </c>
      <c r="G170" s="2" t="s">
        <v>44</v>
      </c>
      <c r="H170" s="2" t="s">
        <v>17</v>
      </c>
    </row>
    <row r="171" spans="1:10" ht="15.75" customHeight="1">
      <c r="A171" s="9">
        <v>2012</v>
      </c>
      <c r="B171" s="2" t="s">
        <v>44</v>
      </c>
      <c r="C171" s="2" t="s">
        <v>44</v>
      </c>
      <c r="D171" s="14" t="s">
        <v>45</v>
      </c>
      <c r="E171" s="2" t="s">
        <v>16</v>
      </c>
      <c r="F171" s="8">
        <v>4700000</v>
      </c>
      <c r="G171" s="2" t="s">
        <v>44</v>
      </c>
      <c r="H171" s="2" t="s">
        <v>17</v>
      </c>
      <c r="I171" s="2"/>
      <c r="J171" s="2" t="s">
        <v>16</v>
      </c>
    </row>
    <row r="172" spans="1:10" ht="15.75" customHeight="1">
      <c r="A172" s="20">
        <v>2012</v>
      </c>
      <c r="B172" s="2" t="s">
        <v>44</v>
      </c>
      <c r="C172" s="2" t="s">
        <v>44</v>
      </c>
      <c r="D172" s="14" t="s">
        <v>45</v>
      </c>
      <c r="E172" s="3" t="s">
        <v>14</v>
      </c>
      <c r="F172" s="8">
        <v>255100000</v>
      </c>
      <c r="G172" s="2" t="s">
        <v>44</v>
      </c>
      <c r="H172" s="2" t="s">
        <v>17</v>
      </c>
    </row>
    <row r="173" spans="1:10" ht="15.75" customHeight="1">
      <c r="A173" s="20">
        <v>2012</v>
      </c>
      <c r="B173" s="2" t="s">
        <v>44</v>
      </c>
      <c r="C173" s="2" t="s">
        <v>44</v>
      </c>
      <c r="D173" s="14" t="s">
        <v>45</v>
      </c>
      <c r="E173" s="3" t="s">
        <v>15</v>
      </c>
      <c r="F173" s="8">
        <v>543800000</v>
      </c>
      <c r="G173" s="2" t="s">
        <v>44</v>
      </c>
      <c r="H173" s="2" t="s">
        <v>17</v>
      </c>
    </row>
    <row r="174" spans="1:10" ht="15.75" customHeight="1">
      <c r="A174" s="20">
        <v>2012</v>
      </c>
      <c r="B174" s="2" t="s">
        <v>44</v>
      </c>
      <c r="C174" s="2" t="s">
        <v>44</v>
      </c>
      <c r="D174" s="14" t="s">
        <v>45</v>
      </c>
      <c r="E174" s="2" t="s">
        <v>16</v>
      </c>
      <c r="F174" s="8">
        <v>4900000</v>
      </c>
      <c r="G174" s="2" t="s">
        <v>44</v>
      </c>
      <c r="H174" s="2" t="s">
        <v>17</v>
      </c>
      <c r="I174" s="2"/>
      <c r="J174" s="2" t="s">
        <v>16</v>
      </c>
    </row>
    <row r="175" spans="1:10" ht="15.75" customHeight="1">
      <c r="A175" s="20">
        <v>2012</v>
      </c>
      <c r="B175" s="24" t="s">
        <v>46</v>
      </c>
      <c r="C175" s="25" t="s">
        <v>30</v>
      </c>
      <c r="D175" s="26" t="s">
        <v>31</v>
      </c>
      <c r="E175" s="26" t="s">
        <v>16</v>
      </c>
      <c r="F175" s="29">
        <v>250000</v>
      </c>
      <c r="G175" s="24" t="s">
        <v>46</v>
      </c>
      <c r="H175" s="30" t="s">
        <v>47</v>
      </c>
      <c r="I175" s="26"/>
      <c r="J175" s="26" t="s">
        <v>16</v>
      </c>
    </row>
    <row r="176" spans="1:10" ht="15.75" customHeight="1">
      <c r="A176" s="9">
        <v>2012</v>
      </c>
      <c r="B176" s="2" t="s">
        <v>44</v>
      </c>
      <c r="C176" s="2" t="s">
        <v>44</v>
      </c>
      <c r="D176" s="14" t="s">
        <v>45</v>
      </c>
      <c r="E176" s="3" t="s">
        <v>15</v>
      </c>
      <c r="F176" s="8">
        <v>476600000</v>
      </c>
      <c r="G176" s="2" t="s">
        <v>44</v>
      </c>
      <c r="H176" s="2" t="s">
        <v>17</v>
      </c>
    </row>
    <row r="177" spans="1:11" ht="15.75" customHeight="1">
      <c r="A177" s="9">
        <v>2012</v>
      </c>
      <c r="B177" s="2" t="s">
        <v>30</v>
      </c>
      <c r="C177" s="2" t="s">
        <v>30</v>
      </c>
      <c r="D177" s="2" t="s">
        <v>31</v>
      </c>
      <c r="E177" s="3" t="s">
        <v>15</v>
      </c>
      <c r="F177" s="8">
        <v>104000000</v>
      </c>
      <c r="G177" s="2" t="s">
        <v>30</v>
      </c>
      <c r="H177" s="2" t="s">
        <v>17</v>
      </c>
    </row>
    <row r="178" spans="1:11" ht="15.75" customHeight="1">
      <c r="A178" s="20">
        <v>2012</v>
      </c>
      <c r="B178" s="2" t="s">
        <v>38</v>
      </c>
      <c r="C178" s="2" t="s">
        <v>38</v>
      </c>
      <c r="D178" s="2" t="s">
        <v>39</v>
      </c>
      <c r="E178" s="3" t="s">
        <v>14</v>
      </c>
      <c r="F178" s="8">
        <v>123600000</v>
      </c>
      <c r="G178" s="2" t="s">
        <v>38</v>
      </c>
      <c r="H178" s="2" t="s">
        <v>17</v>
      </c>
    </row>
    <row r="179" spans="1:11" ht="15.75" customHeight="1">
      <c r="A179" s="9">
        <v>2012</v>
      </c>
      <c r="B179" s="2" t="s">
        <v>44</v>
      </c>
      <c r="C179" s="2" t="s">
        <v>44</v>
      </c>
      <c r="D179" s="2" t="s">
        <v>45</v>
      </c>
      <c r="E179" s="3" t="s">
        <v>15</v>
      </c>
      <c r="F179" s="4">
        <v>535276140</v>
      </c>
      <c r="G179" s="2" t="s">
        <v>44</v>
      </c>
      <c r="H179" s="2" t="s">
        <v>13</v>
      </c>
      <c r="I179" s="15"/>
      <c r="J179" s="15"/>
    </row>
    <row r="180" spans="1:11" ht="15.75" customHeight="1">
      <c r="A180" s="1">
        <v>2013</v>
      </c>
      <c r="B180" s="2" t="s">
        <v>38</v>
      </c>
      <c r="C180" s="2" t="s">
        <v>38</v>
      </c>
      <c r="D180" s="2" t="s">
        <v>39</v>
      </c>
      <c r="E180" s="2" t="s">
        <v>16</v>
      </c>
      <c r="F180" s="8">
        <v>4300000</v>
      </c>
      <c r="G180" s="2" t="s">
        <v>38</v>
      </c>
      <c r="H180" s="2" t="s">
        <v>17</v>
      </c>
      <c r="I180" s="2"/>
      <c r="J180" s="2" t="s">
        <v>16</v>
      </c>
    </row>
    <row r="181" spans="1:11" ht="15.75" customHeight="1">
      <c r="A181" s="1">
        <v>2013</v>
      </c>
      <c r="B181" s="18" t="s">
        <v>48</v>
      </c>
      <c r="C181" s="2" t="s">
        <v>48</v>
      </c>
      <c r="D181" s="2" t="s">
        <v>49</v>
      </c>
      <c r="E181" s="2" t="s">
        <v>14</v>
      </c>
      <c r="F181" s="10">
        <v>101406953</v>
      </c>
      <c r="G181" s="18" t="s">
        <v>48</v>
      </c>
      <c r="H181" s="3" t="s">
        <v>13</v>
      </c>
      <c r="K181" s="6"/>
    </row>
    <row r="182" spans="1:11" ht="15.75" customHeight="1">
      <c r="A182" s="1">
        <v>2013</v>
      </c>
      <c r="B182" s="2" t="s">
        <v>48</v>
      </c>
      <c r="C182" s="2" t="s">
        <v>48</v>
      </c>
      <c r="D182" s="2" t="s">
        <v>49</v>
      </c>
      <c r="E182" s="3" t="s">
        <v>15</v>
      </c>
      <c r="F182" s="8">
        <v>160691683</v>
      </c>
      <c r="G182" s="2" t="s">
        <v>48</v>
      </c>
      <c r="H182" s="2" t="s">
        <v>13</v>
      </c>
    </row>
    <row r="183" spans="1:11" ht="15.75" customHeight="1">
      <c r="A183" s="31">
        <v>2013</v>
      </c>
      <c r="B183" s="2" t="s">
        <v>48</v>
      </c>
      <c r="C183" s="2" t="s">
        <v>48</v>
      </c>
      <c r="D183" s="2" t="s">
        <v>49</v>
      </c>
      <c r="E183" s="3" t="s">
        <v>12</v>
      </c>
      <c r="F183" s="8">
        <v>1143502</v>
      </c>
      <c r="G183" s="2" t="s">
        <v>48</v>
      </c>
      <c r="H183" s="2" t="s">
        <v>13</v>
      </c>
      <c r="I183" s="3"/>
      <c r="J183" s="3" t="s">
        <v>16</v>
      </c>
    </row>
    <row r="184" spans="1:11" ht="15.75" customHeight="1">
      <c r="A184" s="20">
        <v>2013</v>
      </c>
      <c r="B184" s="2" t="s">
        <v>50</v>
      </c>
      <c r="C184" s="2" t="s">
        <v>50</v>
      </c>
      <c r="D184" s="2" t="s">
        <v>51</v>
      </c>
      <c r="E184" s="3" t="s">
        <v>14</v>
      </c>
      <c r="F184" s="8">
        <v>10300000</v>
      </c>
      <c r="G184" s="2" t="s">
        <v>50</v>
      </c>
      <c r="H184" s="2" t="s">
        <v>22</v>
      </c>
    </row>
    <row r="185" spans="1:11" ht="15.75" customHeight="1">
      <c r="A185" s="20">
        <v>2013</v>
      </c>
      <c r="B185" s="2" t="s">
        <v>50</v>
      </c>
      <c r="C185" s="2" t="s">
        <v>50</v>
      </c>
      <c r="D185" s="2" t="s">
        <v>51</v>
      </c>
      <c r="E185" s="3" t="s">
        <v>15</v>
      </c>
      <c r="F185" s="8">
        <v>55600000</v>
      </c>
      <c r="G185" s="2" t="s">
        <v>50</v>
      </c>
      <c r="H185" s="2" t="s">
        <v>22</v>
      </c>
    </row>
    <row r="186" spans="1:11" ht="15.75" customHeight="1">
      <c r="A186" s="20">
        <v>2013</v>
      </c>
      <c r="B186" s="2" t="s">
        <v>50</v>
      </c>
      <c r="C186" s="2" t="s">
        <v>50</v>
      </c>
      <c r="D186" s="2" t="s">
        <v>51</v>
      </c>
      <c r="E186" s="2" t="s">
        <v>16</v>
      </c>
      <c r="F186" s="8">
        <v>9485235</v>
      </c>
      <c r="G186" s="2" t="s">
        <v>50</v>
      </c>
      <c r="H186" s="2" t="s">
        <v>22</v>
      </c>
      <c r="I186" s="2"/>
      <c r="J186" s="2" t="s">
        <v>16</v>
      </c>
    </row>
    <row r="187" spans="1:11" ht="15.75" customHeight="1">
      <c r="A187" s="9">
        <v>2013</v>
      </c>
      <c r="B187" s="2" t="s">
        <v>50</v>
      </c>
      <c r="C187" s="3" t="s">
        <v>50</v>
      </c>
      <c r="D187" s="2" t="s">
        <v>51</v>
      </c>
      <c r="E187" s="2" t="s">
        <v>14</v>
      </c>
      <c r="F187" s="8">
        <v>12250508</v>
      </c>
      <c r="G187" s="2" t="s">
        <v>52</v>
      </c>
      <c r="H187" s="2" t="s">
        <v>22</v>
      </c>
    </row>
    <row r="188" spans="1:11" ht="15.75" customHeight="1">
      <c r="A188" s="20">
        <v>2013</v>
      </c>
      <c r="B188" s="2" t="s">
        <v>50</v>
      </c>
      <c r="C188" s="3" t="s">
        <v>50</v>
      </c>
      <c r="D188" s="2" t="s">
        <v>51</v>
      </c>
      <c r="E188" s="3" t="s">
        <v>15</v>
      </c>
      <c r="F188" s="8">
        <v>30392419</v>
      </c>
      <c r="G188" s="2" t="s">
        <v>52</v>
      </c>
      <c r="H188" s="2" t="s">
        <v>22</v>
      </c>
    </row>
    <row r="189" spans="1:11" ht="15.75" customHeight="1">
      <c r="A189" s="20">
        <v>2013</v>
      </c>
      <c r="B189" s="2" t="s">
        <v>53</v>
      </c>
      <c r="C189" s="2" t="s">
        <v>53</v>
      </c>
      <c r="D189" s="2" t="s">
        <v>54</v>
      </c>
      <c r="E189" s="3" t="s">
        <v>14</v>
      </c>
      <c r="F189" s="8">
        <v>23000000</v>
      </c>
      <c r="G189" s="2" t="s">
        <v>53</v>
      </c>
      <c r="H189" s="2"/>
    </row>
    <row r="190" spans="1:11" ht="15.75" customHeight="1">
      <c r="A190" s="20">
        <v>2013</v>
      </c>
      <c r="B190" s="2" t="s">
        <v>53</v>
      </c>
      <c r="C190" s="2" t="s">
        <v>53</v>
      </c>
      <c r="D190" s="2" t="s">
        <v>54</v>
      </c>
      <c r="E190" s="3" t="s">
        <v>15</v>
      </c>
      <c r="F190" s="8">
        <v>111000000</v>
      </c>
      <c r="G190" s="2" t="s">
        <v>53</v>
      </c>
      <c r="H190" s="2"/>
    </row>
    <row r="191" spans="1:11" ht="15.75" customHeight="1">
      <c r="A191" s="9">
        <v>2013</v>
      </c>
      <c r="B191" s="2" t="s">
        <v>53</v>
      </c>
      <c r="C191" s="2" t="s">
        <v>53</v>
      </c>
      <c r="D191" s="2" t="s">
        <v>54</v>
      </c>
      <c r="E191" s="3" t="s">
        <v>14</v>
      </c>
      <c r="F191" s="8">
        <v>30600000</v>
      </c>
      <c r="G191" s="2" t="s">
        <v>53</v>
      </c>
      <c r="H191" s="2" t="s">
        <v>22</v>
      </c>
    </row>
    <row r="192" spans="1:11" ht="15.75" customHeight="1">
      <c r="A192" s="9">
        <v>2013</v>
      </c>
      <c r="B192" s="2" t="s">
        <v>53</v>
      </c>
      <c r="C192" s="2" t="s">
        <v>53</v>
      </c>
      <c r="D192" s="2" t="s">
        <v>54</v>
      </c>
      <c r="E192" s="3" t="s">
        <v>15</v>
      </c>
      <c r="F192" s="8">
        <v>113500000</v>
      </c>
      <c r="G192" s="2" t="s">
        <v>53</v>
      </c>
      <c r="H192" s="2" t="s">
        <v>22</v>
      </c>
    </row>
    <row r="193" spans="1:11" ht="15.75" customHeight="1">
      <c r="A193" s="9">
        <v>2013</v>
      </c>
      <c r="B193" s="2" t="s">
        <v>53</v>
      </c>
      <c r="C193" s="2" t="s">
        <v>53</v>
      </c>
      <c r="D193" s="2" t="s">
        <v>54</v>
      </c>
      <c r="E193" s="2" t="s">
        <v>16</v>
      </c>
      <c r="F193" s="8">
        <v>18000000</v>
      </c>
      <c r="G193" s="2" t="s">
        <v>53</v>
      </c>
      <c r="H193" s="2" t="s">
        <v>22</v>
      </c>
      <c r="I193" s="2"/>
      <c r="J193" s="2" t="s">
        <v>16</v>
      </c>
    </row>
    <row r="194" spans="1:11" ht="15.75" customHeight="1">
      <c r="A194" s="20">
        <v>2013</v>
      </c>
      <c r="B194" s="2" t="s">
        <v>53</v>
      </c>
      <c r="C194" s="2" t="s">
        <v>53</v>
      </c>
      <c r="D194" s="2" t="s">
        <v>54</v>
      </c>
      <c r="E194" s="3" t="s">
        <v>14</v>
      </c>
      <c r="F194" s="8">
        <v>26200000</v>
      </c>
      <c r="G194" s="2" t="s">
        <v>53</v>
      </c>
      <c r="H194" s="32" t="s">
        <v>22</v>
      </c>
    </row>
    <row r="195" spans="1:11" ht="15.75" customHeight="1">
      <c r="A195" s="20">
        <v>2013</v>
      </c>
      <c r="B195" s="2" t="s">
        <v>53</v>
      </c>
      <c r="C195" s="2" t="s">
        <v>53</v>
      </c>
      <c r="D195" s="2" t="s">
        <v>54</v>
      </c>
      <c r="E195" s="3" t="s">
        <v>15</v>
      </c>
      <c r="F195" s="8">
        <v>111200000</v>
      </c>
      <c r="G195" s="2" t="s">
        <v>53</v>
      </c>
      <c r="H195" s="32" t="s">
        <v>22</v>
      </c>
    </row>
    <row r="196" spans="1:11" ht="15.75" customHeight="1">
      <c r="A196" s="20">
        <v>2013</v>
      </c>
      <c r="B196" s="2" t="s">
        <v>53</v>
      </c>
      <c r="C196" s="2" t="s">
        <v>53</v>
      </c>
      <c r="D196" s="2" t="s">
        <v>54</v>
      </c>
      <c r="E196" s="2" t="s">
        <v>16</v>
      </c>
      <c r="F196" s="8">
        <v>10300000</v>
      </c>
      <c r="G196" s="2" t="s">
        <v>53</v>
      </c>
      <c r="H196" s="32" t="s">
        <v>22</v>
      </c>
      <c r="I196" s="2"/>
      <c r="J196" s="2" t="s">
        <v>16</v>
      </c>
    </row>
    <row r="197" spans="1:11" ht="15.75" customHeight="1">
      <c r="A197" s="20">
        <v>2013</v>
      </c>
      <c r="B197" s="11" t="s">
        <v>38</v>
      </c>
      <c r="C197" s="11" t="s">
        <v>38</v>
      </c>
      <c r="D197" s="3" t="s">
        <v>39</v>
      </c>
      <c r="E197" s="2" t="s">
        <v>16</v>
      </c>
      <c r="F197" s="12">
        <v>6200000</v>
      </c>
      <c r="G197" s="11" t="s">
        <v>38</v>
      </c>
      <c r="H197" s="2" t="s">
        <v>17</v>
      </c>
      <c r="I197" s="3"/>
      <c r="J197" s="2" t="s">
        <v>16</v>
      </c>
    </row>
    <row r="198" spans="1:11" ht="15.75" customHeight="1">
      <c r="A198" s="20">
        <v>2013</v>
      </c>
      <c r="B198" s="2" t="s">
        <v>53</v>
      </c>
      <c r="C198" s="2" t="s">
        <v>53</v>
      </c>
      <c r="D198" s="2" t="s">
        <v>54</v>
      </c>
      <c r="E198" s="3" t="s">
        <v>15</v>
      </c>
      <c r="F198" s="8">
        <v>120300000</v>
      </c>
      <c r="G198" s="2" t="s">
        <v>53</v>
      </c>
      <c r="H198" s="2" t="s">
        <v>22</v>
      </c>
    </row>
    <row r="199" spans="1:11" ht="15.75" customHeight="1">
      <c r="A199" s="9">
        <v>2013</v>
      </c>
      <c r="B199" s="17" t="s">
        <v>30</v>
      </c>
      <c r="C199" s="17" t="s">
        <v>30</v>
      </c>
      <c r="D199" s="3" t="s">
        <v>31</v>
      </c>
      <c r="E199" s="2" t="s">
        <v>15</v>
      </c>
      <c r="F199" s="12">
        <v>195647826</v>
      </c>
      <c r="G199" s="17" t="s">
        <v>30</v>
      </c>
      <c r="H199" s="2" t="s">
        <v>23</v>
      </c>
      <c r="I199" s="3"/>
      <c r="J199" s="2" t="s">
        <v>15</v>
      </c>
    </row>
    <row r="200" spans="1:11" ht="15.75" customHeight="1">
      <c r="A200" s="20">
        <v>2013</v>
      </c>
      <c r="B200" s="3" t="s">
        <v>55</v>
      </c>
      <c r="C200" s="2" t="s">
        <v>53</v>
      </c>
      <c r="D200" s="2" t="s">
        <v>54</v>
      </c>
      <c r="E200" s="2" t="s">
        <v>14</v>
      </c>
      <c r="F200" s="8">
        <v>103886477</v>
      </c>
      <c r="G200" s="2" t="s">
        <v>55</v>
      </c>
      <c r="H200" s="2" t="s">
        <v>22</v>
      </c>
    </row>
    <row r="201" spans="1:11" ht="15.75" customHeight="1">
      <c r="A201" s="20">
        <v>2013</v>
      </c>
      <c r="B201" s="3" t="s">
        <v>55</v>
      </c>
      <c r="C201" s="2" t="s">
        <v>53</v>
      </c>
      <c r="D201" s="2" t="s">
        <v>54</v>
      </c>
      <c r="E201" s="3" t="s">
        <v>15</v>
      </c>
      <c r="F201" s="8">
        <v>198066562</v>
      </c>
      <c r="G201" s="2" t="s">
        <v>55</v>
      </c>
      <c r="H201" s="2" t="s">
        <v>22</v>
      </c>
    </row>
    <row r="202" spans="1:11" ht="15.75" customHeight="1">
      <c r="A202" s="20">
        <v>2013</v>
      </c>
      <c r="B202" s="2" t="s">
        <v>56</v>
      </c>
      <c r="C202" s="2" t="s">
        <v>53</v>
      </c>
      <c r="D202" s="2" t="s">
        <v>54</v>
      </c>
      <c r="E202" s="3" t="s">
        <v>15</v>
      </c>
      <c r="F202" s="4">
        <v>218740000</v>
      </c>
      <c r="G202" s="2" t="s">
        <v>56</v>
      </c>
      <c r="H202" s="2" t="s">
        <v>22</v>
      </c>
      <c r="I202" s="15"/>
      <c r="J202" s="15"/>
    </row>
    <row r="203" spans="1:11" ht="15.75" customHeight="1">
      <c r="A203" s="9">
        <v>2013</v>
      </c>
      <c r="B203" s="2" t="s">
        <v>56</v>
      </c>
      <c r="C203" s="2" t="s">
        <v>53</v>
      </c>
      <c r="D203" s="2" t="s">
        <v>54</v>
      </c>
      <c r="E203" s="2" t="s">
        <v>14</v>
      </c>
      <c r="F203" s="4">
        <v>73139091</v>
      </c>
      <c r="G203" s="2" t="s">
        <v>56</v>
      </c>
      <c r="H203" s="2" t="s">
        <v>22</v>
      </c>
      <c r="I203" s="15"/>
      <c r="J203" s="15"/>
    </row>
    <row r="204" spans="1:11" ht="15.75" customHeight="1">
      <c r="A204" s="20">
        <v>2013</v>
      </c>
      <c r="B204" s="18" t="s">
        <v>57</v>
      </c>
      <c r="C204" s="2" t="s">
        <v>57</v>
      </c>
      <c r="D204" s="2" t="s">
        <v>58</v>
      </c>
      <c r="E204" s="2" t="s">
        <v>14</v>
      </c>
      <c r="F204" s="10">
        <v>629381833</v>
      </c>
      <c r="G204" s="18" t="s">
        <v>57</v>
      </c>
      <c r="H204" s="3" t="s">
        <v>13</v>
      </c>
      <c r="K204" s="6"/>
    </row>
    <row r="205" spans="1:11" ht="15.75" customHeight="1">
      <c r="A205" s="9">
        <v>2013</v>
      </c>
      <c r="B205" s="18" t="s">
        <v>57</v>
      </c>
      <c r="C205" s="2" t="s">
        <v>57</v>
      </c>
      <c r="D205" s="2" t="s">
        <v>58</v>
      </c>
      <c r="E205" s="3" t="s">
        <v>15</v>
      </c>
      <c r="F205" s="8">
        <v>892643970</v>
      </c>
      <c r="G205" s="2" t="s">
        <v>57</v>
      </c>
      <c r="H205" s="2" t="s">
        <v>13</v>
      </c>
    </row>
    <row r="206" spans="1:11" ht="15.75" customHeight="1">
      <c r="A206" s="20">
        <v>2013</v>
      </c>
      <c r="B206" s="18" t="s">
        <v>57</v>
      </c>
      <c r="C206" s="2" t="s">
        <v>57</v>
      </c>
      <c r="D206" s="2" t="s">
        <v>58</v>
      </c>
      <c r="E206" s="2" t="s">
        <v>16</v>
      </c>
      <c r="F206" s="8">
        <v>6400000</v>
      </c>
      <c r="G206" s="2" t="s">
        <v>57</v>
      </c>
      <c r="H206" s="2"/>
      <c r="I206" s="2"/>
      <c r="J206" s="2" t="s">
        <v>16</v>
      </c>
    </row>
    <row r="207" spans="1:11" ht="15.75" customHeight="1">
      <c r="A207" s="20">
        <v>2013</v>
      </c>
      <c r="B207" s="18" t="s">
        <v>57</v>
      </c>
      <c r="C207" s="2" t="s">
        <v>57</v>
      </c>
      <c r="D207" s="2" t="s">
        <v>58</v>
      </c>
      <c r="E207" s="2" t="s">
        <v>16</v>
      </c>
      <c r="F207" s="8">
        <v>7000000</v>
      </c>
      <c r="G207" s="2" t="s">
        <v>57</v>
      </c>
      <c r="H207" s="2"/>
      <c r="I207" s="2"/>
      <c r="J207" s="2" t="s">
        <v>16</v>
      </c>
    </row>
    <row r="208" spans="1:11" ht="15.75" customHeight="1">
      <c r="A208" s="20">
        <v>2013</v>
      </c>
      <c r="B208" s="14" t="s">
        <v>57</v>
      </c>
      <c r="C208" s="14" t="s">
        <v>57</v>
      </c>
      <c r="D208" s="2" t="s">
        <v>58</v>
      </c>
      <c r="E208" s="3" t="s">
        <v>15</v>
      </c>
      <c r="F208" s="4">
        <v>827616628</v>
      </c>
      <c r="G208" s="14" t="s">
        <v>57</v>
      </c>
      <c r="H208" s="14" t="s">
        <v>13</v>
      </c>
    </row>
    <row r="209" spans="1:11" ht="15.75" customHeight="1">
      <c r="A209" s="20">
        <v>2013</v>
      </c>
      <c r="B209" s="14" t="s">
        <v>57</v>
      </c>
      <c r="C209" s="14" t="s">
        <v>57</v>
      </c>
      <c r="D209" s="2" t="s">
        <v>58</v>
      </c>
      <c r="E209" s="14" t="s">
        <v>14</v>
      </c>
      <c r="F209" s="4">
        <v>521026865</v>
      </c>
      <c r="G209" s="14" t="s">
        <v>57</v>
      </c>
      <c r="H209" s="14" t="s">
        <v>13</v>
      </c>
    </row>
    <row r="210" spans="1:11" ht="15.75" customHeight="1">
      <c r="A210" s="20">
        <v>2013</v>
      </c>
      <c r="B210" s="3" t="s">
        <v>57</v>
      </c>
      <c r="C210" s="2" t="s">
        <v>57</v>
      </c>
      <c r="D210" s="2" t="s">
        <v>58</v>
      </c>
      <c r="E210" s="3" t="s">
        <v>12</v>
      </c>
      <c r="F210" s="8">
        <v>7500000</v>
      </c>
      <c r="G210" s="3" t="s">
        <v>57</v>
      </c>
      <c r="H210" s="2" t="s">
        <v>13</v>
      </c>
      <c r="I210" s="3"/>
      <c r="J210" s="3" t="s">
        <v>16</v>
      </c>
    </row>
    <row r="211" spans="1:11" ht="15.75" customHeight="1">
      <c r="A211" s="20">
        <v>2013</v>
      </c>
      <c r="B211" s="2" t="s">
        <v>57</v>
      </c>
      <c r="C211" s="2" t="s">
        <v>57</v>
      </c>
      <c r="D211" s="2" t="s">
        <v>58</v>
      </c>
      <c r="E211" s="3" t="s">
        <v>14</v>
      </c>
      <c r="F211" s="8">
        <v>584431727</v>
      </c>
      <c r="G211" s="2" t="s">
        <v>57</v>
      </c>
      <c r="H211" s="2" t="s">
        <v>13</v>
      </c>
    </row>
    <row r="212" spans="1:11" ht="15.75" customHeight="1">
      <c r="A212" s="9">
        <v>2013</v>
      </c>
      <c r="B212" s="3" t="s">
        <v>57</v>
      </c>
      <c r="C212" s="2" t="s">
        <v>57</v>
      </c>
      <c r="D212" s="2" t="s">
        <v>58</v>
      </c>
      <c r="E212" s="3" t="s">
        <v>15</v>
      </c>
      <c r="F212" s="10">
        <v>791331026</v>
      </c>
      <c r="G212" s="18" t="s">
        <v>57</v>
      </c>
      <c r="H212" s="3" t="s">
        <v>13</v>
      </c>
      <c r="K212" s="6"/>
    </row>
    <row r="213" spans="1:11" ht="15.75" customHeight="1">
      <c r="A213" s="9">
        <v>2013</v>
      </c>
      <c r="B213" s="2" t="s">
        <v>57</v>
      </c>
      <c r="C213" s="2" t="s">
        <v>57</v>
      </c>
      <c r="D213" s="2" t="s">
        <v>58</v>
      </c>
      <c r="E213" s="3" t="s">
        <v>12</v>
      </c>
      <c r="F213" s="8">
        <v>5310000</v>
      </c>
      <c r="G213" s="2" t="s">
        <v>57</v>
      </c>
      <c r="H213" s="2" t="s">
        <v>13</v>
      </c>
      <c r="I213" s="3"/>
      <c r="J213" s="3" t="s">
        <v>16</v>
      </c>
    </row>
    <row r="214" spans="1:11" ht="15.75" customHeight="1">
      <c r="A214" s="9">
        <v>2013</v>
      </c>
      <c r="B214" s="2" t="s">
        <v>57</v>
      </c>
      <c r="C214" s="2" t="s">
        <v>57</v>
      </c>
      <c r="D214" s="2" t="s">
        <v>58</v>
      </c>
      <c r="E214" s="3" t="s">
        <v>12</v>
      </c>
      <c r="F214" s="8">
        <v>14700000</v>
      </c>
      <c r="G214" s="2" t="s">
        <v>57</v>
      </c>
      <c r="H214" s="2" t="s">
        <v>13</v>
      </c>
      <c r="I214" s="3"/>
      <c r="J214" s="3" t="s">
        <v>16</v>
      </c>
    </row>
    <row r="215" spans="1:11" ht="15.75" customHeight="1">
      <c r="A215" s="9">
        <v>2013</v>
      </c>
      <c r="B215" s="16" t="s">
        <v>57</v>
      </c>
      <c r="C215" s="2" t="s">
        <v>57</v>
      </c>
      <c r="D215" s="2" t="s">
        <v>58</v>
      </c>
      <c r="E215" s="3" t="s">
        <v>14</v>
      </c>
      <c r="F215" s="8">
        <v>392900000</v>
      </c>
      <c r="G215" s="2" t="s">
        <v>57</v>
      </c>
      <c r="H215" s="2"/>
    </row>
    <row r="216" spans="1:11" ht="15.75" customHeight="1">
      <c r="A216" s="20">
        <v>2013</v>
      </c>
      <c r="B216" s="16" t="s">
        <v>57</v>
      </c>
      <c r="C216" s="2" t="s">
        <v>57</v>
      </c>
      <c r="D216" s="2" t="s">
        <v>58</v>
      </c>
      <c r="E216" s="3" t="s">
        <v>15</v>
      </c>
      <c r="F216" s="8">
        <v>832100000</v>
      </c>
      <c r="G216" s="2" t="s">
        <v>57</v>
      </c>
      <c r="H216" s="2"/>
    </row>
    <row r="217" spans="1:11" ht="15.75" customHeight="1">
      <c r="A217" s="20">
        <v>2013</v>
      </c>
      <c r="B217" s="2" t="s">
        <v>59</v>
      </c>
      <c r="C217" s="2" t="s">
        <v>60</v>
      </c>
      <c r="D217" s="2" t="s">
        <v>61</v>
      </c>
      <c r="E217" s="3" t="s">
        <v>14</v>
      </c>
      <c r="F217" s="8">
        <v>15100000</v>
      </c>
      <c r="G217" s="2" t="s">
        <v>59</v>
      </c>
      <c r="H217" s="2" t="s">
        <v>17</v>
      </c>
    </row>
    <row r="218" spans="1:11" ht="15.75" customHeight="1">
      <c r="A218" s="20">
        <v>2013</v>
      </c>
      <c r="B218" s="2" t="s">
        <v>59</v>
      </c>
      <c r="C218" s="2" t="s">
        <v>60</v>
      </c>
      <c r="D218" s="2" t="s">
        <v>61</v>
      </c>
      <c r="E218" s="3" t="s">
        <v>15</v>
      </c>
      <c r="F218" s="8">
        <v>31100000</v>
      </c>
      <c r="G218" s="2" t="s">
        <v>59</v>
      </c>
      <c r="H218" s="2" t="s">
        <v>17</v>
      </c>
    </row>
    <row r="219" spans="1:11" ht="15.75" customHeight="1">
      <c r="A219" s="20">
        <v>2013</v>
      </c>
      <c r="B219" s="2" t="s">
        <v>57</v>
      </c>
      <c r="C219" s="2" t="s">
        <v>57</v>
      </c>
      <c r="D219" s="2" t="s">
        <v>58</v>
      </c>
      <c r="E219" s="3" t="s">
        <v>14</v>
      </c>
      <c r="F219" s="8">
        <v>373400000</v>
      </c>
      <c r="G219" s="2" t="s">
        <v>57</v>
      </c>
      <c r="H219" s="2"/>
    </row>
    <row r="220" spans="1:11" ht="15.75" customHeight="1">
      <c r="A220" s="20">
        <v>2013</v>
      </c>
      <c r="B220" s="2" t="s">
        <v>57</v>
      </c>
      <c r="C220" s="2" t="s">
        <v>57</v>
      </c>
      <c r="D220" s="2" t="s">
        <v>58</v>
      </c>
      <c r="E220" s="3" t="s">
        <v>15</v>
      </c>
      <c r="F220" s="8">
        <v>692000000</v>
      </c>
      <c r="G220" s="2" t="s">
        <v>57</v>
      </c>
      <c r="H220" s="2"/>
    </row>
    <row r="221" spans="1:11" ht="15.75" customHeight="1">
      <c r="A221" s="20">
        <v>2013</v>
      </c>
      <c r="B221" s="2" t="s">
        <v>57</v>
      </c>
      <c r="C221" s="2" t="s">
        <v>57</v>
      </c>
      <c r="D221" s="2" t="s">
        <v>58</v>
      </c>
      <c r="E221" s="3" t="s">
        <v>14</v>
      </c>
      <c r="F221" s="8">
        <v>374600000</v>
      </c>
      <c r="G221" s="2" t="s">
        <v>57</v>
      </c>
      <c r="H221" s="2"/>
    </row>
    <row r="222" spans="1:11" ht="15.75" customHeight="1">
      <c r="A222" s="9">
        <v>2013</v>
      </c>
      <c r="B222" s="2" t="s">
        <v>57</v>
      </c>
      <c r="C222" s="2" t="s">
        <v>57</v>
      </c>
      <c r="D222" s="2" t="s">
        <v>58</v>
      </c>
      <c r="E222" s="3" t="s">
        <v>15</v>
      </c>
      <c r="F222" s="8">
        <v>690000000</v>
      </c>
      <c r="G222" s="2" t="s">
        <v>57</v>
      </c>
      <c r="H222" s="2"/>
    </row>
    <row r="223" spans="1:11" ht="15.75" customHeight="1">
      <c r="A223" s="20">
        <v>2013</v>
      </c>
      <c r="B223" s="2" t="s">
        <v>57</v>
      </c>
      <c r="C223" s="2" t="s">
        <v>57</v>
      </c>
      <c r="D223" s="2" t="s">
        <v>58</v>
      </c>
      <c r="E223" s="2" t="s">
        <v>16</v>
      </c>
      <c r="F223" s="8">
        <v>7500000</v>
      </c>
      <c r="G223" s="2" t="s">
        <v>57</v>
      </c>
      <c r="H223" s="2"/>
      <c r="I223" s="2"/>
      <c r="J223" s="2" t="s">
        <v>16</v>
      </c>
    </row>
    <row r="224" spans="1:11" ht="15.75" customHeight="1">
      <c r="A224" s="20">
        <v>2013</v>
      </c>
      <c r="B224" s="2" t="s">
        <v>57</v>
      </c>
      <c r="C224" s="2" t="s">
        <v>57</v>
      </c>
      <c r="D224" s="2" t="s">
        <v>58</v>
      </c>
      <c r="E224" s="3" t="s">
        <v>14</v>
      </c>
      <c r="F224" s="8">
        <v>388400000</v>
      </c>
      <c r="G224" s="2" t="s">
        <v>57</v>
      </c>
      <c r="H224" s="2" t="s">
        <v>17</v>
      </c>
      <c r="K224" s="5"/>
    </row>
    <row r="225" spans="1:10" ht="15.75" customHeight="1">
      <c r="A225" s="20">
        <v>2013</v>
      </c>
      <c r="B225" s="2" t="s">
        <v>57</v>
      </c>
      <c r="C225" s="2" t="s">
        <v>57</v>
      </c>
      <c r="D225" s="2" t="s">
        <v>58</v>
      </c>
      <c r="E225" s="3" t="s">
        <v>15</v>
      </c>
      <c r="F225" s="8">
        <v>812600000</v>
      </c>
      <c r="G225" s="2" t="s">
        <v>57</v>
      </c>
      <c r="H225" s="2" t="s">
        <v>17</v>
      </c>
    </row>
    <row r="226" spans="1:10" ht="15.75" customHeight="1">
      <c r="A226" s="20">
        <v>2013</v>
      </c>
      <c r="B226" s="2" t="s">
        <v>57</v>
      </c>
      <c r="C226" s="2" t="s">
        <v>57</v>
      </c>
      <c r="D226" s="2" t="s">
        <v>58</v>
      </c>
      <c r="E226" s="2" t="s">
        <v>16</v>
      </c>
      <c r="F226" s="8">
        <v>8500000</v>
      </c>
      <c r="G226" s="2" t="s">
        <v>57</v>
      </c>
      <c r="H226" s="2" t="s">
        <v>17</v>
      </c>
      <c r="I226" s="2"/>
      <c r="J226" s="2" t="s">
        <v>16</v>
      </c>
    </row>
    <row r="227" spans="1:10" ht="15.75" customHeight="1">
      <c r="A227" s="20">
        <v>2013</v>
      </c>
      <c r="B227" s="2" t="s">
        <v>57</v>
      </c>
      <c r="C227" s="2" t="s">
        <v>57</v>
      </c>
      <c r="D227" s="2" t="s">
        <v>58</v>
      </c>
      <c r="E227" s="3" t="s">
        <v>14</v>
      </c>
      <c r="F227" s="8">
        <v>733300000</v>
      </c>
      <c r="G227" s="2" t="s">
        <v>57</v>
      </c>
      <c r="H227" s="2" t="s">
        <v>17</v>
      </c>
    </row>
    <row r="228" spans="1:10" ht="15.75" customHeight="1">
      <c r="A228" s="20">
        <v>2013</v>
      </c>
      <c r="B228" s="2" t="s">
        <v>57</v>
      </c>
      <c r="C228" s="2" t="s">
        <v>57</v>
      </c>
      <c r="D228" s="2" t="s">
        <v>58</v>
      </c>
      <c r="E228" s="3" t="s">
        <v>15</v>
      </c>
      <c r="F228" s="8">
        <v>1680000000</v>
      </c>
      <c r="G228" s="2" t="s">
        <v>57</v>
      </c>
      <c r="H228" s="2" t="s">
        <v>17</v>
      </c>
    </row>
    <row r="229" spans="1:10" ht="15.75" customHeight="1">
      <c r="A229" s="9">
        <v>2013</v>
      </c>
      <c r="B229" s="2" t="s">
        <v>57</v>
      </c>
      <c r="C229" s="2" t="s">
        <v>57</v>
      </c>
      <c r="D229" s="2" t="s">
        <v>58</v>
      </c>
      <c r="E229" s="2" t="s">
        <v>16</v>
      </c>
      <c r="F229" s="8">
        <v>13100000</v>
      </c>
      <c r="G229" s="2" t="s">
        <v>57</v>
      </c>
      <c r="H229" s="2" t="s">
        <v>17</v>
      </c>
      <c r="I229" s="2"/>
      <c r="J229" s="2" t="s">
        <v>16</v>
      </c>
    </row>
    <row r="230" spans="1:10" ht="15.75" customHeight="1">
      <c r="A230" s="20">
        <v>2013</v>
      </c>
      <c r="B230" s="2" t="s">
        <v>41</v>
      </c>
      <c r="C230" s="2" t="s">
        <v>41</v>
      </c>
      <c r="D230" s="2" t="s">
        <v>42</v>
      </c>
      <c r="E230" s="3" t="s">
        <v>14</v>
      </c>
      <c r="F230" s="8">
        <v>287200000</v>
      </c>
      <c r="G230" s="2" t="s">
        <v>41</v>
      </c>
      <c r="H230" s="2" t="s">
        <v>17</v>
      </c>
    </row>
    <row r="231" spans="1:10" ht="15.75" customHeight="1">
      <c r="A231" s="20">
        <v>2013</v>
      </c>
      <c r="B231" s="2" t="s">
        <v>57</v>
      </c>
      <c r="C231" s="2" t="s">
        <v>57</v>
      </c>
      <c r="D231" s="2" t="s">
        <v>58</v>
      </c>
      <c r="E231" s="3" t="s">
        <v>15</v>
      </c>
      <c r="F231" s="8">
        <v>1650000000</v>
      </c>
      <c r="G231" s="2" t="s">
        <v>57</v>
      </c>
      <c r="H231" s="2" t="s">
        <v>17</v>
      </c>
    </row>
    <row r="232" spans="1:10" ht="15.75" customHeight="1">
      <c r="A232" s="20">
        <v>2013</v>
      </c>
      <c r="B232" s="2" t="s">
        <v>41</v>
      </c>
      <c r="C232" s="2" t="s">
        <v>41</v>
      </c>
      <c r="D232" s="2" t="s">
        <v>42</v>
      </c>
      <c r="E232" s="2" t="s">
        <v>16</v>
      </c>
      <c r="F232" s="8">
        <v>2900000</v>
      </c>
      <c r="G232" s="2" t="s">
        <v>41</v>
      </c>
      <c r="H232" s="2" t="s">
        <v>17</v>
      </c>
      <c r="I232" s="2"/>
      <c r="J232" s="2" t="s">
        <v>16</v>
      </c>
    </row>
    <row r="233" spans="1:10" ht="15.75" customHeight="1">
      <c r="A233" s="9">
        <v>2020</v>
      </c>
      <c r="B233" s="2" t="s">
        <v>62</v>
      </c>
      <c r="C233" s="2" t="s">
        <v>62</v>
      </c>
      <c r="D233" s="2" t="s">
        <v>63</v>
      </c>
      <c r="E233" s="3" t="s">
        <v>14</v>
      </c>
      <c r="F233" s="8">
        <v>4400000</v>
      </c>
      <c r="G233" s="2" t="s">
        <v>62</v>
      </c>
      <c r="H233" s="2"/>
    </row>
    <row r="234" spans="1:10" ht="15.75" customHeight="1">
      <c r="A234" s="9">
        <v>2020</v>
      </c>
      <c r="B234" s="2" t="s">
        <v>62</v>
      </c>
      <c r="C234" s="2" t="s">
        <v>62</v>
      </c>
      <c r="D234" s="2" t="s">
        <v>63</v>
      </c>
      <c r="E234" s="3" t="s">
        <v>15</v>
      </c>
      <c r="F234" s="8">
        <v>18300000</v>
      </c>
      <c r="G234" s="2" t="s">
        <v>62</v>
      </c>
      <c r="H234" s="2"/>
    </row>
    <row r="235" spans="1:10" ht="15.75" customHeight="1">
      <c r="A235" s="9">
        <v>2020</v>
      </c>
      <c r="B235" s="2" t="s">
        <v>62</v>
      </c>
      <c r="C235" s="2" t="s">
        <v>62</v>
      </c>
      <c r="D235" s="2" t="s">
        <v>63</v>
      </c>
      <c r="E235" s="2" t="s">
        <v>16</v>
      </c>
      <c r="F235" s="8">
        <v>289235</v>
      </c>
      <c r="G235" s="2" t="s">
        <v>62</v>
      </c>
      <c r="H235" s="2"/>
      <c r="I235" s="2"/>
      <c r="J235" s="2" t="s">
        <v>16</v>
      </c>
    </row>
    <row r="236" spans="1:10" ht="15.75" customHeight="1">
      <c r="A236" s="9">
        <v>2020</v>
      </c>
      <c r="B236" s="2" t="s">
        <v>62</v>
      </c>
      <c r="C236" s="2" t="s">
        <v>62</v>
      </c>
      <c r="D236" s="2" t="s">
        <v>63</v>
      </c>
      <c r="E236" s="3" t="s">
        <v>14</v>
      </c>
      <c r="F236" s="8">
        <v>1100000</v>
      </c>
      <c r="G236" s="2" t="s">
        <v>62</v>
      </c>
      <c r="H236" s="2"/>
    </row>
    <row r="237" spans="1:10" ht="15.75" customHeight="1">
      <c r="A237" s="9">
        <v>2020</v>
      </c>
      <c r="B237" s="2" t="s">
        <v>62</v>
      </c>
      <c r="C237" s="2" t="s">
        <v>62</v>
      </c>
      <c r="D237" s="2" t="s">
        <v>63</v>
      </c>
      <c r="E237" s="3" t="s">
        <v>15</v>
      </c>
      <c r="F237" s="8">
        <v>23700000</v>
      </c>
      <c r="G237" s="2" t="s">
        <v>62</v>
      </c>
      <c r="H237" s="2"/>
    </row>
    <row r="238" spans="1:10" ht="15.75" customHeight="1">
      <c r="A238" s="9">
        <v>2020</v>
      </c>
      <c r="B238" s="2" t="s">
        <v>62</v>
      </c>
      <c r="C238" s="2" t="s">
        <v>62</v>
      </c>
      <c r="D238" s="2" t="s">
        <v>63</v>
      </c>
      <c r="E238" s="2" t="s">
        <v>16</v>
      </c>
      <c r="F238" s="8">
        <v>566868</v>
      </c>
      <c r="G238" s="2" t="s">
        <v>62</v>
      </c>
      <c r="H238" s="2"/>
      <c r="I238" s="2"/>
      <c r="J238" s="2" t="s">
        <v>16</v>
      </c>
    </row>
    <row r="239" spans="1:10" ht="15.75" customHeight="1">
      <c r="A239" s="9">
        <v>2020</v>
      </c>
      <c r="B239" s="2" t="s">
        <v>62</v>
      </c>
      <c r="C239" s="2" t="s">
        <v>62</v>
      </c>
      <c r="D239" s="2" t="s">
        <v>63</v>
      </c>
      <c r="E239" s="3" t="s">
        <v>14</v>
      </c>
      <c r="F239" s="8">
        <v>440200</v>
      </c>
      <c r="G239" s="2" t="s">
        <v>62</v>
      </c>
      <c r="H239" s="2"/>
    </row>
    <row r="240" spans="1:10" ht="15.75" customHeight="1">
      <c r="A240" s="9">
        <v>2020</v>
      </c>
      <c r="B240" s="2" t="s">
        <v>62</v>
      </c>
      <c r="C240" s="2" t="s">
        <v>62</v>
      </c>
      <c r="D240" s="2" t="s">
        <v>63</v>
      </c>
      <c r="E240" s="3" t="s">
        <v>15</v>
      </c>
      <c r="F240" s="8">
        <v>11500000</v>
      </c>
      <c r="G240" s="2" t="s">
        <v>62</v>
      </c>
      <c r="H240" s="2"/>
    </row>
    <row r="241" spans="1:11" ht="15.75" customHeight="1">
      <c r="A241" s="9">
        <v>2020</v>
      </c>
      <c r="B241" s="2" t="s">
        <v>62</v>
      </c>
      <c r="C241" s="2" t="s">
        <v>62</v>
      </c>
      <c r="D241" s="2" t="s">
        <v>63</v>
      </c>
      <c r="E241" s="2" t="s">
        <v>16</v>
      </c>
      <c r="F241" s="8">
        <v>181858</v>
      </c>
      <c r="G241" s="2" t="s">
        <v>62</v>
      </c>
      <c r="H241" s="2"/>
      <c r="I241" s="2"/>
      <c r="J241" s="2" t="s">
        <v>16</v>
      </c>
    </row>
    <row r="242" spans="1:11" ht="15.75" customHeight="1">
      <c r="A242" s="9">
        <v>2013</v>
      </c>
      <c r="B242" s="2" t="s">
        <v>64</v>
      </c>
      <c r="C242" s="2" t="s">
        <v>64</v>
      </c>
      <c r="D242" s="2" t="s">
        <v>65</v>
      </c>
      <c r="E242" s="3" t="s">
        <v>14</v>
      </c>
      <c r="F242" s="8">
        <v>10100000</v>
      </c>
      <c r="G242" s="2" t="s">
        <v>64</v>
      </c>
      <c r="H242" s="2"/>
    </row>
    <row r="243" spans="1:11" ht="15.75" customHeight="1">
      <c r="A243" s="20">
        <v>2013</v>
      </c>
      <c r="B243" s="2" t="s">
        <v>64</v>
      </c>
      <c r="C243" s="2" t="s">
        <v>64</v>
      </c>
      <c r="D243" s="2" t="s">
        <v>65</v>
      </c>
      <c r="E243" s="3" t="s">
        <v>15</v>
      </c>
      <c r="F243" s="8">
        <v>23800000</v>
      </c>
      <c r="G243" s="2" t="s">
        <v>64</v>
      </c>
      <c r="H243" s="2"/>
    </row>
    <row r="244" spans="1:11" ht="15.75" customHeight="1">
      <c r="A244" s="20">
        <v>2013</v>
      </c>
      <c r="B244" s="2" t="s">
        <v>64</v>
      </c>
      <c r="C244" s="2" t="s">
        <v>64</v>
      </c>
      <c r="D244" s="2" t="s">
        <v>65</v>
      </c>
      <c r="E244" s="3" t="s">
        <v>14</v>
      </c>
      <c r="F244" s="8">
        <v>15900000</v>
      </c>
      <c r="G244" s="2" t="s">
        <v>64</v>
      </c>
      <c r="H244" s="2"/>
    </row>
    <row r="245" spans="1:11" ht="15.75" customHeight="1">
      <c r="A245" s="9">
        <v>2013</v>
      </c>
      <c r="B245" s="2" t="s">
        <v>64</v>
      </c>
      <c r="C245" s="2" t="s">
        <v>64</v>
      </c>
      <c r="D245" s="2" t="s">
        <v>65</v>
      </c>
      <c r="E245" s="3" t="s">
        <v>15</v>
      </c>
      <c r="F245" s="8">
        <v>56700000</v>
      </c>
      <c r="G245" s="2" t="s">
        <v>64</v>
      </c>
      <c r="H245" s="2"/>
    </row>
    <row r="246" spans="1:11" ht="15.75" customHeight="1">
      <c r="A246" s="7">
        <v>2014</v>
      </c>
      <c r="B246" s="2" t="s">
        <v>64</v>
      </c>
      <c r="C246" s="2" t="s">
        <v>64</v>
      </c>
      <c r="D246" s="2" t="s">
        <v>65</v>
      </c>
      <c r="E246" s="2" t="s">
        <v>16</v>
      </c>
      <c r="F246" s="8">
        <v>1500000</v>
      </c>
      <c r="G246" s="2" t="s">
        <v>64</v>
      </c>
      <c r="H246" s="2"/>
      <c r="I246" s="2"/>
      <c r="J246" s="2" t="s">
        <v>16</v>
      </c>
    </row>
    <row r="247" spans="1:11" ht="15.75" customHeight="1">
      <c r="A247" s="7">
        <v>2014</v>
      </c>
      <c r="B247" s="14" t="s">
        <v>66</v>
      </c>
      <c r="C247" s="14" t="s">
        <v>64</v>
      </c>
      <c r="D247" s="2" t="s">
        <v>65</v>
      </c>
      <c r="E247" s="3" t="s">
        <v>15</v>
      </c>
      <c r="F247" s="4">
        <v>16701505</v>
      </c>
      <c r="G247" s="14" t="s">
        <v>66</v>
      </c>
      <c r="H247" s="14" t="s">
        <v>67</v>
      </c>
    </row>
    <row r="248" spans="1:11" ht="15.75" customHeight="1">
      <c r="A248" s="7">
        <v>2014</v>
      </c>
      <c r="B248" s="14" t="s">
        <v>66</v>
      </c>
      <c r="C248" s="14" t="s">
        <v>64</v>
      </c>
      <c r="D248" s="2" t="s">
        <v>65</v>
      </c>
      <c r="E248" s="14" t="s">
        <v>14</v>
      </c>
      <c r="F248" s="4">
        <v>8103006</v>
      </c>
      <c r="G248" s="14" t="s">
        <v>66</v>
      </c>
      <c r="H248" s="14" t="s">
        <v>67</v>
      </c>
    </row>
    <row r="249" spans="1:11" ht="15.75" customHeight="1">
      <c r="A249" s="9">
        <v>2014</v>
      </c>
      <c r="B249" s="14" t="s">
        <v>68</v>
      </c>
      <c r="C249" s="14" t="s">
        <v>64</v>
      </c>
      <c r="D249" s="2" t="s">
        <v>65</v>
      </c>
      <c r="E249" s="3" t="s">
        <v>15</v>
      </c>
      <c r="F249" s="4">
        <v>34193050</v>
      </c>
      <c r="G249" s="14" t="s">
        <v>68</v>
      </c>
      <c r="H249" s="14" t="s">
        <v>13</v>
      </c>
    </row>
    <row r="250" spans="1:11" ht="15.75" customHeight="1">
      <c r="A250" s="9">
        <v>2014</v>
      </c>
      <c r="B250" s="14" t="s">
        <v>68</v>
      </c>
      <c r="C250" s="14" t="s">
        <v>64</v>
      </c>
      <c r="D250" s="2" t="s">
        <v>65</v>
      </c>
      <c r="E250" s="14" t="s">
        <v>14</v>
      </c>
      <c r="F250" s="4">
        <v>8238535</v>
      </c>
      <c r="G250" s="14" t="s">
        <v>68</v>
      </c>
      <c r="H250" s="14" t="s">
        <v>13</v>
      </c>
    </row>
    <row r="251" spans="1:11" ht="15.75" customHeight="1">
      <c r="A251" s="9">
        <v>2014</v>
      </c>
      <c r="B251" s="2" t="s">
        <v>69</v>
      </c>
      <c r="C251" s="2" t="s">
        <v>69</v>
      </c>
      <c r="D251" s="2" t="s">
        <v>70</v>
      </c>
      <c r="E251" s="3" t="s">
        <v>14</v>
      </c>
      <c r="F251" s="8">
        <v>7100000</v>
      </c>
      <c r="G251" s="2" t="s">
        <v>69</v>
      </c>
      <c r="H251" s="2"/>
    </row>
    <row r="252" spans="1:11" ht="15.75" customHeight="1">
      <c r="A252" s="9">
        <v>2014</v>
      </c>
      <c r="B252" s="2" t="s">
        <v>69</v>
      </c>
      <c r="C252" s="2" t="s">
        <v>69</v>
      </c>
      <c r="D252" s="2" t="s">
        <v>70</v>
      </c>
      <c r="E252" s="3" t="s">
        <v>15</v>
      </c>
      <c r="F252" s="8">
        <v>13200000</v>
      </c>
      <c r="G252" s="2" t="s">
        <v>69</v>
      </c>
      <c r="H252" s="2"/>
    </row>
    <row r="253" spans="1:11" ht="15.75" customHeight="1">
      <c r="A253" s="9">
        <v>2014</v>
      </c>
      <c r="B253" s="2" t="s">
        <v>69</v>
      </c>
      <c r="C253" s="2" t="s">
        <v>69</v>
      </c>
      <c r="D253" s="2" t="s">
        <v>70</v>
      </c>
      <c r="E253" s="3" t="s">
        <v>14</v>
      </c>
      <c r="F253" s="8">
        <v>5300000</v>
      </c>
      <c r="G253" s="2" t="s">
        <v>69</v>
      </c>
      <c r="H253" s="2"/>
    </row>
    <row r="254" spans="1:11" ht="15.75" customHeight="1">
      <c r="A254" s="9">
        <v>2014</v>
      </c>
      <c r="B254" s="2" t="s">
        <v>69</v>
      </c>
      <c r="C254" s="2" t="s">
        <v>69</v>
      </c>
      <c r="D254" s="2" t="s">
        <v>70</v>
      </c>
      <c r="E254" s="3" t="s">
        <v>15</v>
      </c>
      <c r="F254" s="8">
        <v>44200000</v>
      </c>
      <c r="G254" s="2" t="s">
        <v>69</v>
      </c>
      <c r="H254" s="2"/>
    </row>
    <row r="255" spans="1:11" ht="15.75" customHeight="1">
      <c r="A255" s="9">
        <v>2014</v>
      </c>
      <c r="B255" s="2" t="s">
        <v>69</v>
      </c>
      <c r="C255" s="2" t="s">
        <v>69</v>
      </c>
      <c r="D255" s="2" t="s">
        <v>70</v>
      </c>
      <c r="E255" s="2" t="s">
        <v>16</v>
      </c>
      <c r="F255" s="8">
        <v>1400000</v>
      </c>
      <c r="G255" s="2" t="s">
        <v>69</v>
      </c>
      <c r="H255" s="2"/>
      <c r="I255" s="2"/>
      <c r="J255" s="2" t="s">
        <v>16</v>
      </c>
    </row>
    <row r="256" spans="1:11" ht="15.75" customHeight="1">
      <c r="A256" s="9">
        <v>2014</v>
      </c>
      <c r="B256" s="33" t="s">
        <v>41</v>
      </c>
      <c r="C256" s="33" t="s">
        <v>41</v>
      </c>
      <c r="D256" s="34" t="s">
        <v>42</v>
      </c>
      <c r="E256" s="2" t="s">
        <v>16</v>
      </c>
      <c r="F256" s="12">
        <v>2600000</v>
      </c>
      <c r="G256" s="33" t="s">
        <v>41</v>
      </c>
      <c r="H256" s="2" t="s">
        <v>17</v>
      </c>
      <c r="I256" s="3"/>
      <c r="J256" s="2" t="s">
        <v>16</v>
      </c>
      <c r="K256" s="5"/>
    </row>
    <row r="257" spans="1:11" ht="15.75" customHeight="1">
      <c r="A257" s="9">
        <v>2014</v>
      </c>
      <c r="B257" s="2" t="s">
        <v>57</v>
      </c>
      <c r="C257" s="2" t="s">
        <v>57</v>
      </c>
      <c r="D257" s="2" t="s">
        <v>58</v>
      </c>
      <c r="E257" s="3" t="s">
        <v>15</v>
      </c>
      <c r="F257" s="8">
        <v>676800000</v>
      </c>
      <c r="G257" s="3" t="s">
        <v>71</v>
      </c>
      <c r="H257" s="2" t="s">
        <v>36</v>
      </c>
    </row>
    <row r="258" spans="1:11" ht="15.75" customHeight="1">
      <c r="A258" s="9">
        <v>2014</v>
      </c>
      <c r="B258" s="17" t="s">
        <v>72</v>
      </c>
      <c r="C258" s="17" t="s">
        <v>30</v>
      </c>
      <c r="D258" s="3" t="s">
        <v>31</v>
      </c>
      <c r="E258" s="2" t="s">
        <v>15</v>
      </c>
      <c r="F258" s="12">
        <v>208889587</v>
      </c>
      <c r="G258" s="17" t="s">
        <v>30</v>
      </c>
      <c r="H258" s="2" t="s">
        <v>73</v>
      </c>
      <c r="I258" s="3"/>
      <c r="J258" s="2" t="s">
        <v>15</v>
      </c>
    </row>
    <row r="259" spans="1:11" ht="15.75" customHeight="1">
      <c r="A259" s="9">
        <v>2014</v>
      </c>
      <c r="B259" s="3" t="s">
        <v>35</v>
      </c>
      <c r="C259" s="2" t="s">
        <v>30</v>
      </c>
      <c r="D259" s="2" t="s">
        <v>31</v>
      </c>
      <c r="E259" s="3" t="s">
        <v>15</v>
      </c>
      <c r="F259" s="8">
        <v>235800000</v>
      </c>
      <c r="G259" s="2" t="s">
        <v>35</v>
      </c>
      <c r="H259" s="2" t="s">
        <v>36</v>
      </c>
    </row>
    <row r="260" spans="1:11" ht="15.75" customHeight="1">
      <c r="A260" s="9">
        <v>2014</v>
      </c>
      <c r="B260" s="3" t="s">
        <v>71</v>
      </c>
      <c r="C260" s="2" t="s">
        <v>57</v>
      </c>
      <c r="D260" s="2" t="s">
        <v>58</v>
      </c>
      <c r="E260" s="3" t="s">
        <v>14</v>
      </c>
      <c r="F260" s="8">
        <v>164100000</v>
      </c>
      <c r="G260" s="3" t="s">
        <v>71</v>
      </c>
      <c r="H260" s="2" t="s">
        <v>36</v>
      </c>
    </row>
    <row r="261" spans="1:11" ht="15.75" customHeight="1">
      <c r="A261" s="9">
        <v>2014</v>
      </c>
      <c r="B261" s="3" t="s">
        <v>71</v>
      </c>
      <c r="C261" s="2" t="s">
        <v>57</v>
      </c>
      <c r="D261" s="2" t="s">
        <v>58</v>
      </c>
      <c r="E261" s="3" t="s">
        <v>15</v>
      </c>
      <c r="F261" s="8">
        <v>547000000</v>
      </c>
      <c r="G261" s="3" t="s">
        <v>71</v>
      </c>
      <c r="H261" s="2" t="s">
        <v>36</v>
      </c>
    </row>
    <row r="262" spans="1:11" ht="15.75" customHeight="1">
      <c r="A262" s="9">
        <v>2014</v>
      </c>
      <c r="B262" s="3" t="s">
        <v>71</v>
      </c>
      <c r="C262" s="2" t="s">
        <v>57</v>
      </c>
      <c r="D262" s="2" t="s">
        <v>58</v>
      </c>
      <c r="E262" s="2" t="s">
        <v>16</v>
      </c>
      <c r="F262" s="8">
        <v>941000</v>
      </c>
      <c r="G262" s="3" t="s">
        <v>71</v>
      </c>
      <c r="H262" s="2" t="s">
        <v>36</v>
      </c>
      <c r="I262" s="2"/>
      <c r="J262" s="2" t="s">
        <v>16</v>
      </c>
    </row>
    <row r="263" spans="1:11" ht="15.75" customHeight="1">
      <c r="A263" s="9">
        <v>2014</v>
      </c>
      <c r="B263" s="3" t="s">
        <v>57</v>
      </c>
      <c r="C263" s="2" t="s">
        <v>57</v>
      </c>
      <c r="D263" s="2" t="s">
        <v>58</v>
      </c>
      <c r="E263" s="3" t="s">
        <v>14</v>
      </c>
      <c r="F263" s="8">
        <v>488391703</v>
      </c>
      <c r="G263" s="3" t="s">
        <v>57</v>
      </c>
      <c r="H263" s="2" t="s">
        <v>13</v>
      </c>
    </row>
    <row r="264" spans="1:11" ht="15.75" customHeight="1">
      <c r="A264" s="9">
        <v>2014</v>
      </c>
      <c r="B264" s="2" t="s">
        <v>57</v>
      </c>
      <c r="C264" s="2" t="s">
        <v>57</v>
      </c>
      <c r="D264" s="2" t="s">
        <v>58</v>
      </c>
      <c r="E264" s="3" t="s">
        <v>15</v>
      </c>
      <c r="F264" s="4">
        <v>735754098</v>
      </c>
      <c r="G264" s="2" t="s">
        <v>57</v>
      </c>
      <c r="H264" s="2" t="s">
        <v>13</v>
      </c>
      <c r="I264" s="15"/>
      <c r="J264" s="15"/>
    </row>
    <row r="265" spans="1:11" ht="15.75" customHeight="1">
      <c r="A265" s="9">
        <v>2020</v>
      </c>
      <c r="B265" s="2" t="s">
        <v>74</v>
      </c>
      <c r="C265" s="2" t="s">
        <v>74</v>
      </c>
      <c r="D265" s="2" t="s">
        <v>75</v>
      </c>
      <c r="E265" s="3" t="s">
        <v>14</v>
      </c>
      <c r="F265" s="8">
        <v>24753575</v>
      </c>
      <c r="G265" s="2" t="s">
        <v>74</v>
      </c>
      <c r="H265" s="2" t="s">
        <v>13</v>
      </c>
    </row>
    <row r="266" spans="1:11" ht="15.75" customHeight="1">
      <c r="A266" s="9">
        <v>2020</v>
      </c>
      <c r="B266" s="3" t="s">
        <v>74</v>
      </c>
      <c r="C266" s="2" t="s">
        <v>74</v>
      </c>
      <c r="D266" s="2" t="s">
        <v>75</v>
      </c>
      <c r="E266" s="3" t="s">
        <v>15</v>
      </c>
      <c r="F266" s="10">
        <v>69982984</v>
      </c>
      <c r="G266" s="18" t="s">
        <v>74</v>
      </c>
      <c r="H266" s="3" t="s">
        <v>13</v>
      </c>
      <c r="K266" s="6"/>
    </row>
    <row r="267" spans="1:11" ht="15.75" customHeight="1">
      <c r="A267" s="9">
        <v>2020</v>
      </c>
      <c r="B267" s="2" t="s">
        <v>74</v>
      </c>
      <c r="C267" s="2" t="s">
        <v>74</v>
      </c>
      <c r="D267" s="2" t="s">
        <v>75</v>
      </c>
      <c r="E267" s="2" t="s">
        <v>12</v>
      </c>
      <c r="F267" s="4">
        <v>300000</v>
      </c>
      <c r="G267" s="2" t="s">
        <v>74</v>
      </c>
      <c r="H267" s="2" t="s">
        <v>13</v>
      </c>
      <c r="I267" s="2"/>
      <c r="J267" s="2" t="s">
        <v>16</v>
      </c>
    </row>
    <row r="268" spans="1:11" ht="15.75" customHeight="1">
      <c r="A268" s="9">
        <v>2020</v>
      </c>
      <c r="B268" s="2" t="s">
        <v>74</v>
      </c>
      <c r="C268" s="2" t="s">
        <v>74</v>
      </c>
      <c r="D268" s="2" t="s">
        <v>75</v>
      </c>
      <c r="E268" s="3" t="s">
        <v>14</v>
      </c>
      <c r="F268" s="8">
        <v>21000000</v>
      </c>
      <c r="G268" s="2" t="s">
        <v>74</v>
      </c>
      <c r="H268" s="2"/>
    </row>
    <row r="269" spans="1:11" ht="15.75" customHeight="1">
      <c r="A269" s="9">
        <v>2020</v>
      </c>
      <c r="B269" s="16" t="s">
        <v>74</v>
      </c>
      <c r="C269" s="2" t="s">
        <v>74</v>
      </c>
      <c r="D269" s="2" t="s">
        <v>75</v>
      </c>
      <c r="E269" s="3" t="s">
        <v>15</v>
      </c>
      <c r="F269" s="8">
        <v>74100000</v>
      </c>
      <c r="G269" s="2" t="s">
        <v>74</v>
      </c>
      <c r="H269" s="2"/>
    </row>
    <row r="270" spans="1:11" ht="15.75" customHeight="1">
      <c r="A270" s="9">
        <v>2020</v>
      </c>
      <c r="B270" s="2" t="s">
        <v>74</v>
      </c>
      <c r="C270" s="2" t="s">
        <v>74</v>
      </c>
      <c r="D270" s="2" t="s">
        <v>75</v>
      </c>
      <c r="E270" s="2" t="s">
        <v>16</v>
      </c>
      <c r="F270" s="8">
        <v>300000</v>
      </c>
      <c r="G270" s="2" t="s">
        <v>74</v>
      </c>
      <c r="H270" s="2"/>
      <c r="I270" s="2"/>
      <c r="J270" s="2" t="s">
        <v>16</v>
      </c>
    </row>
    <row r="271" spans="1:11" ht="15.75" customHeight="1">
      <c r="A271" s="9">
        <v>2020</v>
      </c>
      <c r="B271" s="2" t="s">
        <v>74</v>
      </c>
      <c r="C271" s="2" t="s">
        <v>74</v>
      </c>
      <c r="D271" s="2" t="s">
        <v>75</v>
      </c>
      <c r="E271" s="3" t="s">
        <v>14</v>
      </c>
      <c r="F271" s="8">
        <v>17300000</v>
      </c>
      <c r="G271" s="2" t="s">
        <v>74</v>
      </c>
      <c r="H271" s="2"/>
    </row>
    <row r="272" spans="1:11" ht="15.75" customHeight="1">
      <c r="A272" s="9">
        <v>2020</v>
      </c>
      <c r="B272" s="16" t="s">
        <v>74</v>
      </c>
      <c r="C272" s="2" t="s">
        <v>74</v>
      </c>
      <c r="D272" s="2" t="s">
        <v>75</v>
      </c>
      <c r="E272" s="3" t="s">
        <v>15</v>
      </c>
      <c r="F272" s="8">
        <v>82000000</v>
      </c>
      <c r="G272" s="2" t="s">
        <v>74</v>
      </c>
      <c r="H272" s="2"/>
    </row>
    <row r="273" spans="1:28" ht="15.75" customHeight="1">
      <c r="A273" s="9">
        <v>2020</v>
      </c>
      <c r="B273" s="2" t="s">
        <v>74</v>
      </c>
      <c r="C273" s="2" t="s">
        <v>74</v>
      </c>
      <c r="D273" s="2" t="s">
        <v>75</v>
      </c>
      <c r="E273" s="2" t="s">
        <v>16</v>
      </c>
      <c r="F273" s="8">
        <v>300000</v>
      </c>
      <c r="G273" s="2" t="s">
        <v>74</v>
      </c>
      <c r="H273" s="2"/>
      <c r="I273" s="2"/>
      <c r="J273" s="2" t="s">
        <v>16</v>
      </c>
    </row>
    <row r="274" spans="1:28" ht="15.75" customHeight="1">
      <c r="A274" s="9">
        <v>2020</v>
      </c>
      <c r="B274" s="2" t="s">
        <v>74</v>
      </c>
      <c r="C274" s="2" t="s">
        <v>74</v>
      </c>
      <c r="D274" s="2" t="s">
        <v>75</v>
      </c>
      <c r="E274" s="3" t="s">
        <v>14</v>
      </c>
      <c r="F274" s="8">
        <v>26300000</v>
      </c>
      <c r="G274" s="2" t="s">
        <v>74</v>
      </c>
      <c r="H274" s="2"/>
    </row>
    <row r="275" spans="1:28" ht="15.75" customHeight="1">
      <c r="A275" s="9">
        <v>2020</v>
      </c>
      <c r="B275" s="2" t="s">
        <v>74</v>
      </c>
      <c r="C275" s="2" t="s">
        <v>74</v>
      </c>
      <c r="D275" s="2" t="s">
        <v>75</v>
      </c>
      <c r="E275" s="3" t="s">
        <v>15</v>
      </c>
      <c r="F275" s="8">
        <v>74800000</v>
      </c>
      <c r="G275" s="2" t="s">
        <v>74</v>
      </c>
      <c r="H275" s="2"/>
    </row>
    <row r="276" spans="1:28" ht="15.75" customHeight="1">
      <c r="A276" s="9">
        <v>2020</v>
      </c>
      <c r="B276" s="2" t="s">
        <v>74</v>
      </c>
      <c r="C276" s="2" t="s">
        <v>74</v>
      </c>
      <c r="D276" s="2" t="s">
        <v>75</v>
      </c>
      <c r="E276" s="2" t="s">
        <v>16</v>
      </c>
      <c r="F276" s="8">
        <v>282417</v>
      </c>
      <c r="G276" s="2" t="s">
        <v>74</v>
      </c>
      <c r="H276" s="2"/>
      <c r="I276" s="2"/>
      <c r="J276" s="2" t="s">
        <v>16</v>
      </c>
    </row>
    <row r="277" spans="1:28" ht="15.75" customHeight="1">
      <c r="A277" s="9">
        <v>2020</v>
      </c>
      <c r="B277" s="2" t="s">
        <v>74</v>
      </c>
      <c r="C277" s="2" t="s">
        <v>74</v>
      </c>
      <c r="D277" s="2" t="s">
        <v>75</v>
      </c>
      <c r="E277" s="3" t="s">
        <v>14</v>
      </c>
      <c r="F277" s="8">
        <v>11100000</v>
      </c>
      <c r="G277" s="2" t="s">
        <v>74</v>
      </c>
      <c r="H277" s="2" t="s">
        <v>17</v>
      </c>
    </row>
    <row r="278" spans="1:28" ht="15.75" customHeight="1">
      <c r="A278" s="9">
        <v>2020</v>
      </c>
      <c r="B278" s="2" t="s">
        <v>74</v>
      </c>
      <c r="C278" s="2" t="s">
        <v>74</v>
      </c>
      <c r="D278" s="2" t="s">
        <v>75</v>
      </c>
      <c r="E278" s="3" t="s">
        <v>15</v>
      </c>
      <c r="F278" s="8">
        <v>43000000</v>
      </c>
      <c r="G278" s="2" t="s">
        <v>74</v>
      </c>
      <c r="H278" s="2" t="s">
        <v>17</v>
      </c>
    </row>
    <row r="279" spans="1:28" ht="15.75" customHeight="1">
      <c r="A279" s="9">
        <v>2020</v>
      </c>
      <c r="B279" s="2" t="s">
        <v>74</v>
      </c>
      <c r="C279" s="2" t="s">
        <v>74</v>
      </c>
      <c r="D279" s="2" t="s">
        <v>75</v>
      </c>
      <c r="E279" s="2" t="s">
        <v>16</v>
      </c>
      <c r="F279" s="8">
        <v>289000</v>
      </c>
      <c r="G279" s="2" t="s">
        <v>74</v>
      </c>
      <c r="H279" s="2" t="s">
        <v>17</v>
      </c>
      <c r="I279" s="2"/>
      <c r="J279" s="2" t="s">
        <v>16</v>
      </c>
    </row>
    <row r="280" spans="1:28" ht="15.75" customHeight="1">
      <c r="A280" s="9">
        <v>2020</v>
      </c>
      <c r="B280" s="2" t="s">
        <v>76</v>
      </c>
      <c r="C280" s="2" t="s">
        <v>74</v>
      </c>
      <c r="D280" s="2" t="s">
        <v>75</v>
      </c>
      <c r="E280" s="3" t="s">
        <v>14</v>
      </c>
      <c r="F280" s="8">
        <v>40222828</v>
      </c>
      <c r="G280" s="2" t="s">
        <v>76</v>
      </c>
      <c r="H280" s="2" t="s">
        <v>13</v>
      </c>
    </row>
    <row r="281" spans="1:28" ht="15.75" customHeight="1">
      <c r="A281" s="9">
        <v>2020</v>
      </c>
      <c r="B281" s="2" t="s">
        <v>76</v>
      </c>
      <c r="C281" s="2" t="s">
        <v>74</v>
      </c>
      <c r="D281" s="2" t="s">
        <v>75</v>
      </c>
      <c r="E281" s="3" t="s">
        <v>15</v>
      </c>
      <c r="F281" s="8">
        <v>79310556</v>
      </c>
      <c r="G281" s="2" t="s">
        <v>76</v>
      </c>
      <c r="H281" s="2" t="s">
        <v>13</v>
      </c>
    </row>
    <row r="282" spans="1:28" ht="15.75" customHeight="1">
      <c r="A282" s="9">
        <v>2020</v>
      </c>
      <c r="B282" s="2" t="s">
        <v>76</v>
      </c>
      <c r="C282" s="2" t="s">
        <v>74</v>
      </c>
      <c r="D282" s="2" t="s">
        <v>75</v>
      </c>
      <c r="E282" s="3" t="s">
        <v>12</v>
      </c>
      <c r="F282" s="8">
        <v>206000</v>
      </c>
      <c r="G282" s="2" t="s">
        <v>76</v>
      </c>
      <c r="H282" s="2" t="s">
        <v>13</v>
      </c>
      <c r="I282" s="3"/>
      <c r="J282" s="3" t="s">
        <v>16</v>
      </c>
    </row>
    <row r="283" spans="1:28" ht="15.75" customHeight="1">
      <c r="A283" s="9">
        <v>2020</v>
      </c>
      <c r="B283" s="3" t="s">
        <v>77</v>
      </c>
      <c r="C283" s="2" t="s">
        <v>74</v>
      </c>
      <c r="D283" s="2" t="s">
        <v>75</v>
      </c>
      <c r="E283" s="3" t="s">
        <v>12</v>
      </c>
      <c r="F283" s="8">
        <v>120000</v>
      </c>
      <c r="G283" s="3" t="s">
        <v>77</v>
      </c>
      <c r="H283" s="2" t="s">
        <v>13</v>
      </c>
      <c r="I283" s="3"/>
      <c r="J283" s="3" t="s">
        <v>16</v>
      </c>
    </row>
    <row r="284" spans="1:28" ht="15.75" customHeight="1">
      <c r="A284" s="9">
        <v>2020</v>
      </c>
      <c r="B284" s="3" t="s">
        <v>77</v>
      </c>
      <c r="C284" s="3" t="s">
        <v>74</v>
      </c>
      <c r="D284" s="2" t="s">
        <v>75</v>
      </c>
      <c r="E284" s="3" t="s">
        <v>14</v>
      </c>
      <c r="F284" s="8">
        <v>19370114</v>
      </c>
      <c r="G284" s="3" t="s">
        <v>77</v>
      </c>
      <c r="H284" s="2" t="s">
        <v>13</v>
      </c>
    </row>
    <row r="285" spans="1:28" ht="15.75" customHeight="1">
      <c r="A285" s="9">
        <v>2014</v>
      </c>
      <c r="B285" s="2" t="s">
        <v>44</v>
      </c>
      <c r="C285" s="2" t="s">
        <v>44</v>
      </c>
      <c r="D285" s="14" t="s">
        <v>45</v>
      </c>
      <c r="E285" s="3" t="s">
        <v>14</v>
      </c>
      <c r="F285" s="8">
        <v>231900000</v>
      </c>
      <c r="G285" s="2" t="s">
        <v>44</v>
      </c>
      <c r="H285" s="2" t="s">
        <v>17</v>
      </c>
    </row>
    <row r="286" spans="1:28" ht="15.75" customHeight="1">
      <c r="A286" s="9">
        <v>2014</v>
      </c>
      <c r="B286" s="2" t="s">
        <v>44</v>
      </c>
      <c r="C286" s="2" t="s">
        <v>44</v>
      </c>
      <c r="D286" s="14" t="s">
        <v>45</v>
      </c>
      <c r="E286" s="2" t="s">
        <v>16</v>
      </c>
      <c r="F286" s="8">
        <v>4300000</v>
      </c>
      <c r="G286" s="2" t="s">
        <v>44</v>
      </c>
      <c r="H286" s="2" t="s">
        <v>17</v>
      </c>
      <c r="I286" s="2"/>
      <c r="J286" s="2" t="s">
        <v>16</v>
      </c>
    </row>
    <row r="287" spans="1:28" ht="15.75" customHeight="1">
      <c r="A287" s="9">
        <v>2020</v>
      </c>
      <c r="B287" s="2" t="s">
        <v>77</v>
      </c>
      <c r="C287" s="2" t="s">
        <v>74</v>
      </c>
      <c r="D287" s="2" t="s">
        <v>75</v>
      </c>
      <c r="E287" s="3" t="s">
        <v>15</v>
      </c>
      <c r="F287" s="4">
        <v>33264338</v>
      </c>
      <c r="G287" s="2" t="s">
        <v>77</v>
      </c>
      <c r="H287" s="2" t="s">
        <v>13</v>
      </c>
      <c r="I287" s="15"/>
      <c r="J287" s="15"/>
    </row>
    <row r="288" spans="1:28" ht="15.75" customHeight="1">
      <c r="A288" s="9">
        <v>2014</v>
      </c>
      <c r="B288" s="11" t="s">
        <v>44</v>
      </c>
      <c r="C288" s="11" t="s">
        <v>44</v>
      </c>
      <c r="D288" s="3" t="s">
        <v>45</v>
      </c>
      <c r="E288" s="2" t="s">
        <v>16</v>
      </c>
      <c r="F288" s="12">
        <v>6400000</v>
      </c>
      <c r="G288" s="11" t="s">
        <v>44</v>
      </c>
      <c r="H288" s="2" t="s">
        <v>17</v>
      </c>
      <c r="I288" s="3"/>
      <c r="J288" s="2" t="s">
        <v>16</v>
      </c>
      <c r="Z288" s="14"/>
      <c r="AA288" s="14"/>
      <c r="AB288" s="14"/>
    </row>
    <row r="289" spans="1:11" ht="15.75" customHeight="1">
      <c r="A289" s="9">
        <v>2014</v>
      </c>
      <c r="B289" s="2" t="s">
        <v>78</v>
      </c>
      <c r="C289" s="2" t="s">
        <v>78</v>
      </c>
      <c r="D289" s="2" t="s">
        <v>79</v>
      </c>
      <c r="E289" s="3" t="s">
        <v>14</v>
      </c>
      <c r="F289" s="8">
        <v>1061000000</v>
      </c>
      <c r="G289" s="2" t="s">
        <v>78</v>
      </c>
      <c r="H289" s="2"/>
    </row>
    <row r="290" spans="1:11" ht="15.75" customHeight="1">
      <c r="A290" s="9">
        <v>2014</v>
      </c>
      <c r="B290" s="2" t="s">
        <v>78</v>
      </c>
      <c r="C290" s="2" t="s">
        <v>78</v>
      </c>
      <c r="D290" s="2" t="s">
        <v>79</v>
      </c>
      <c r="E290" s="3" t="s">
        <v>15</v>
      </c>
      <c r="F290" s="8">
        <v>1600000000</v>
      </c>
      <c r="G290" s="2" t="s">
        <v>78</v>
      </c>
      <c r="H290" s="2"/>
    </row>
    <row r="291" spans="1:11" ht="15.75" customHeight="1">
      <c r="A291" s="9">
        <v>2014</v>
      </c>
      <c r="B291" s="2" t="s">
        <v>78</v>
      </c>
      <c r="C291" s="2" t="s">
        <v>78</v>
      </c>
      <c r="D291" s="2" t="s">
        <v>79</v>
      </c>
      <c r="E291" s="2" t="s">
        <v>16</v>
      </c>
      <c r="F291" s="8">
        <v>10000000</v>
      </c>
      <c r="G291" s="2" t="s">
        <v>78</v>
      </c>
      <c r="H291" s="2"/>
      <c r="I291" s="2"/>
      <c r="J291" s="2" t="s">
        <v>16</v>
      </c>
    </row>
    <row r="292" spans="1:11" ht="15.75" customHeight="1">
      <c r="A292" s="9">
        <v>2014</v>
      </c>
      <c r="B292" s="2" t="s">
        <v>78</v>
      </c>
      <c r="C292" s="2" t="s">
        <v>78</v>
      </c>
      <c r="D292" s="2" t="s">
        <v>79</v>
      </c>
      <c r="E292" s="3" t="s">
        <v>14</v>
      </c>
      <c r="F292" s="8">
        <v>549600000</v>
      </c>
      <c r="G292" s="2" t="s">
        <v>78</v>
      </c>
      <c r="H292" s="2" t="s">
        <v>17</v>
      </c>
    </row>
    <row r="293" spans="1:11" ht="15.75" customHeight="1">
      <c r="A293" s="9">
        <v>2014</v>
      </c>
      <c r="B293" s="2" t="s">
        <v>78</v>
      </c>
      <c r="C293" s="2" t="s">
        <v>78</v>
      </c>
      <c r="D293" s="2" t="s">
        <v>79</v>
      </c>
      <c r="E293" s="3" t="s">
        <v>15</v>
      </c>
      <c r="F293" s="8">
        <v>1420000000</v>
      </c>
      <c r="G293" s="2" t="s">
        <v>78</v>
      </c>
      <c r="H293" s="2" t="s">
        <v>17</v>
      </c>
    </row>
    <row r="294" spans="1:11" ht="15.75" customHeight="1">
      <c r="A294" s="9">
        <v>2014</v>
      </c>
      <c r="B294" s="2" t="s">
        <v>78</v>
      </c>
      <c r="C294" s="2" t="s">
        <v>78</v>
      </c>
      <c r="D294" s="2" t="s">
        <v>79</v>
      </c>
      <c r="E294" s="2" t="s">
        <v>16</v>
      </c>
      <c r="F294" s="8">
        <v>12500000</v>
      </c>
      <c r="G294" s="2" t="s">
        <v>78</v>
      </c>
      <c r="H294" s="2" t="s">
        <v>17</v>
      </c>
      <c r="I294" s="2"/>
      <c r="J294" s="2" t="s">
        <v>16</v>
      </c>
    </row>
    <row r="295" spans="1:11" ht="15.75" customHeight="1">
      <c r="A295" s="9">
        <v>2014</v>
      </c>
      <c r="B295" s="2" t="s">
        <v>78</v>
      </c>
      <c r="C295" s="2" t="s">
        <v>78</v>
      </c>
      <c r="D295" s="2" t="s">
        <v>79</v>
      </c>
      <c r="E295" s="3" t="s">
        <v>14</v>
      </c>
      <c r="F295" s="8">
        <v>635700000</v>
      </c>
      <c r="G295" s="2" t="s">
        <v>78</v>
      </c>
      <c r="H295" s="2" t="s">
        <v>17</v>
      </c>
    </row>
    <row r="296" spans="1:11" ht="15.75" customHeight="1">
      <c r="A296" s="9">
        <v>2014</v>
      </c>
      <c r="B296" s="2" t="s">
        <v>78</v>
      </c>
      <c r="C296" s="2" t="s">
        <v>78</v>
      </c>
      <c r="D296" s="2" t="s">
        <v>79</v>
      </c>
      <c r="E296" s="3" t="s">
        <v>15</v>
      </c>
      <c r="F296" s="8">
        <v>1180000000</v>
      </c>
      <c r="G296" s="2" t="s">
        <v>78</v>
      </c>
      <c r="H296" s="2" t="s">
        <v>17</v>
      </c>
    </row>
    <row r="297" spans="1:11" ht="15.75" customHeight="1">
      <c r="A297" s="9">
        <v>2014</v>
      </c>
      <c r="B297" s="2" t="s">
        <v>78</v>
      </c>
      <c r="C297" s="2" t="s">
        <v>78</v>
      </c>
      <c r="D297" s="2" t="s">
        <v>79</v>
      </c>
      <c r="E297" s="2" t="s">
        <v>16</v>
      </c>
      <c r="F297" s="8">
        <v>7000000</v>
      </c>
      <c r="G297" s="2" t="s">
        <v>78</v>
      </c>
      <c r="H297" s="2" t="s">
        <v>17</v>
      </c>
      <c r="I297" s="2"/>
      <c r="J297" s="2" t="s">
        <v>16</v>
      </c>
    </row>
    <row r="298" spans="1:11" ht="15.75" customHeight="1">
      <c r="A298" s="9">
        <v>2014</v>
      </c>
      <c r="B298" s="2" t="s">
        <v>78</v>
      </c>
      <c r="C298" s="2" t="s">
        <v>78</v>
      </c>
      <c r="D298" s="2" t="s">
        <v>79</v>
      </c>
      <c r="E298" s="3" t="s">
        <v>15</v>
      </c>
      <c r="F298" s="8">
        <v>771500000</v>
      </c>
      <c r="G298" s="2" t="s">
        <v>78</v>
      </c>
      <c r="H298" s="2" t="s">
        <v>17</v>
      </c>
    </row>
    <row r="299" spans="1:11" ht="15.75" customHeight="1">
      <c r="A299" s="9">
        <v>2014</v>
      </c>
      <c r="B299" s="2" t="s">
        <v>38</v>
      </c>
      <c r="C299" s="2" t="s">
        <v>38</v>
      </c>
      <c r="D299" s="2" t="s">
        <v>39</v>
      </c>
      <c r="E299" s="3" t="s">
        <v>15</v>
      </c>
      <c r="F299" s="8">
        <v>317000000</v>
      </c>
      <c r="G299" s="2" t="s">
        <v>38</v>
      </c>
      <c r="H299" s="2" t="s">
        <v>17</v>
      </c>
    </row>
    <row r="300" spans="1:11" ht="15.75" customHeight="1">
      <c r="A300" s="9">
        <v>2014</v>
      </c>
      <c r="B300" s="11" t="s">
        <v>80</v>
      </c>
      <c r="C300" s="11" t="s">
        <v>80</v>
      </c>
      <c r="D300" s="3" t="s">
        <v>81</v>
      </c>
      <c r="E300" s="2" t="s">
        <v>16</v>
      </c>
      <c r="F300" s="12">
        <v>10400000</v>
      </c>
      <c r="G300" s="11" t="s">
        <v>80</v>
      </c>
      <c r="H300" s="2" t="s">
        <v>17</v>
      </c>
      <c r="I300" s="3"/>
      <c r="J300" s="2" t="s">
        <v>16</v>
      </c>
      <c r="K300" s="5"/>
    </row>
    <row r="301" spans="1:11" ht="15.75" customHeight="1">
      <c r="A301" s="9">
        <v>2014</v>
      </c>
      <c r="B301" s="3" t="s">
        <v>82</v>
      </c>
      <c r="C301" s="2" t="s">
        <v>82</v>
      </c>
      <c r="D301" s="2" t="s">
        <v>83</v>
      </c>
      <c r="E301" s="3" t="s">
        <v>12</v>
      </c>
      <c r="F301" s="8">
        <v>2100000</v>
      </c>
      <c r="G301" s="3" t="s">
        <v>82</v>
      </c>
      <c r="H301" s="2" t="s">
        <v>13</v>
      </c>
      <c r="I301" s="3"/>
      <c r="J301" s="3" t="s">
        <v>16</v>
      </c>
    </row>
    <row r="302" spans="1:11" ht="15.75" customHeight="1">
      <c r="A302" s="9">
        <v>2014</v>
      </c>
      <c r="B302" s="2" t="s">
        <v>82</v>
      </c>
      <c r="C302" s="2" t="s">
        <v>82</v>
      </c>
      <c r="D302" s="2" t="s">
        <v>83</v>
      </c>
      <c r="E302" s="3" t="s">
        <v>14</v>
      </c>
      <c r="F302" s="8">
        <v>70311344</v>
      </c>
      <c r="G302" s="2" t="s">
        <v>82</v>
      </c>
      <c r="H302" s="2" t="s">
        <v>13</v>
      </c>
    </row>
    <row r="303" spans="1:11" ht="15.75" customHeight="1">
      <c r="A303" s="9">
        <v>2014</v>
      </c>
      <c r="B303" s="2" t="s">
        <v>82</v>
      </c>
      <c r="C303" s="2" t="s">
        <v>82</v>
      </c>
      <c r="D303" s="2" t="s">
        <v>83</v>
      </c>
      <c r="E303" s="3" t="s">
        <v>15</v>
      </c>
      <c r="F303" s="8">
        <v>151080810</v>
      </c>
      <c r="G303" s="2" t="s">
        <v>82</v>
      </c>
      <c r="H303" s="2" t="s">
        <v>13</v>
      </c>
    </row>
    <row r="304" spans="1:11" ht="15.75" customHeight="1">
      <c r="A304" s="9">
        <v>2014</v>
      </c>
      <c r="B304" s="2" t="s">
        <v>82</v>
      </c>
      <c r="C304" s="2" t="s">
        <v>82</v>
      </c>
      <c r="D304" s="2" t="s">
        <v>83</v>
      </c>
      <c r="E304" s="3" t="s">
        <v>12</v>
      </c>
      <c r="F304" s="8">
        <v>1188000</v>
      </c>
      <c r="G304" s="2" t="s">
        <v>82</v>
      </c>
      <c r="H304" s="2" t="s">
        <v>13</v>
      </c>
      <c r="I304" s="3"/>
      <c r="J304" s="3" t="s">
        <v>16</v>
      </c>
    </row>
    <row r="305" spans="1:10" ht="15.75" customHeight="1">
      <c r="A305" s="9">
        <v>2014</v>
      </c>
      <c r="B305" s="2" t="s">
        <v>82</v>
      </c>
      <c r="C305" s="2" t="s">
        <v>82</v>
      </c>
      <c r="D305" s="2" t="s">
        <v>83</v>
      </c>
      <c r="E305" s="3" t="s">
        <v>14</v>
      </c>
      <c r="F305" s="8">
        <v>89900000</v>
      </c>
      <c r="G305" s="2" t="s">
        <v>82</v>
      </c>
      <c r="H305" s="2"/>
    </row>
    <row r="306" spans="1:10" ht="15.75" customHeight="1">
      <c r="A306" s="9">
        <v>2014</v>
      </c>
      <c r="B306" s="2" t="s">
        <v>82</v>
      </c>
      <c r="C306" s="2" t="s">
        <v>82</v>
      </c>
      <c r="D306" s="2" t="s">
        <v>83</v>
      </c>
      <c r="E306" s="3" t="s">
        <v>15</v>
      </c>
      <c r="F306" s="8">
        <v>157500000</v>
      </c>
      <c r="G306" s="2" t="s">
        <v>82</v>
      </c>
      <c r="H306" s="2"/>
    </row>
    <row r="307" spans="1:10" ht="15.75" customHeight="1">
      <c r="A307" s="9">
        <v>2014</v>
      </c>
      <c r="B307" s="2" t="s">
        <v>82</v>
      </c>
      <c r="C307" s="2" t="s">
        <v>82</v>
      </c>
      <c r="D307" s="2" t="s">
        <v>83</v>
      </c>
      <c r="E307" s="2" t="s">
        <v>16</v>
      </c>
      <c r="F307" s="8">
        <v>817000</v>
      </c>
      <c r="G307" s="2" t="s">
        <v>82</v>
      </c>
      <c r="H307" s="2"/>
      <c r="I307" s="2"/>
      <c r="J307" s="2" t="s">
        <v>16</v>
      </c>
    </row>
    <row r="308" spans="1:10" ht="15.75" customHeight="1">
      <c r="A308" s="9">
        <v>2014</v>
      </c>
      <c r="B308" s="2" t="s">
        <v>82</v>
      </c>
      <c r="C308" s="2" t="s">
        <v>82</v>
      </c>
      <c r="D308" s="2" t="s">
        <v>83</v>
      </c>
      <c r="E308" s="3" t="s">
        <v>14</v>
      </c>
      <c r="F308" s="8">
        <v>62100000</v>
      </c>
      <c r="G308" s="2" t="s">
        <v>82</v>
      </c>
      <c r="H308" s="2"/>
    </row>
    <row r="309" spans="1:10" ht="15.75" customHeight="1">
      <c r="A309" s="9">
        <v>2014</v>
      </c>
      <c r="B309" s="2" t="s">
        <v>82</v>
      </c>
      <c r="C309" s="2" t="s">
        <v>82</v>
      </c>
      <c r="D309" s="2" t="s">
        <v>83</v>
      </c>
      <c r="E309" s="3" t="s">
        <v>15</v>
      </c>
      <c r="F309" s="8">
        <v>193800000</v>
      </c>
      <c r="G309" s="2" t="s">
        <v>82</v>
      </c>
      <c r="H309" s="2"/>
    </row>
    <row r="310" spans="1:10" ht="15.75" customHeight="1">
      <c r="A310" s="9">
        <v>2014</v>
      </c>
      <c r="B310" s="2" t="s">
        <v>82</v>
      </c>
      <c r="C310" s="2" t="s">
        <v>82</v>
      </c>
      <c r="D310" s="2" t="s">
        <v>83</v>
      </c>
      <c r="E310" s="2" t="s">
        <v>16</v>
      </c>
      <c r="F310" s="8">
        <v>1600000</v>
      </c>
      <c r="G310" s="2" t="s">
        <v>82</v>
      </c>
      <c r="H310" s="2"/>
      <c r="I310" s="2"/>
      <c r="J310" s="2" t="s">
        <v>16</v>
      </c>
    </row>
    <row r="311" spans="1:10" ht="15.75" customHeight="1">
      <c r="A311" s="9">
        <v>2014</v>
      </c>
      <c r="B311" s="2" t="s">
        <v>82</v>
      </c>
      <c r="C311" s="2" t="s">
        <v>82</v>
      </c>
      <c r="D311" s="2" t="s">
        <v>83</v>
      </c>
      <c r="E311" s="3" t="s">
        <v>14</v>
      </c>
      <c r="F311" s="8">
        <v>71300000</v>
      </c>
      <c r="G311" s="2" t="s">
        <v>82</v>
      </c>
      <c r="H311" s="2" t="s">
        <v>17</v>
      </c>
    </row>
    <row r="312" spans="1:10" ht="15.75" customHeight="1">
      <c r="A312" s="9">
        <v>2014</v>
      </c>
      <c r="B312" s="2" t="s">
        <v>82</v>
      </c>
      <c r="C312" s="2" t="s">
        <v>82</v>
      </c>
      <c r="D312" s="2" t="s">
        <v>83</v>
      </c>
      <c r="E312" s="3" t="s">
        <v>15</v>
      </c>
      <c r="F312" s="8">
        <v>192200000</v>
      </c>
      <c r="G312" s="2" t="s">
        <v>82</v>
      </c>
      <c r="H312" s="2" t="s">
        <v>17</v>
      </c>
    </row>
    <row r="313" spans="1:10" ht="15.75" customHeight="1">
      <c r="A313" s="9">
        <v>2014</v>
      </c>
      <c r="B313" s="2" t="s">
        <v>82</v>
      </c>
      <c r="C313" s="2" t="s">
        <v>82</v>
      </c>
      <c r="D313" s="2" t="s">
        <v>83</v>
      </c>
      <c r="E313" s="2" t="s">
        <v>16</v>
      </c>
      <c r="F313" s="8">
        <v>2700000</v>
      </c>
      <c r="G313" s="2" t="s">
        <v>82</v>
      </c>
      <c r="H313" s="2" t="s">
        <v>17</v>
      </c>
      <c r="I313" s="2"/>
      <c r="J313" s="2" t="s">
        <v>16</v>
      </c>
    </row>
    <row r="314" spans="1:10" ht="15.75" customHeight="1">
      <c r="A314" s="9">
        <v>2014</v>
      </c>
      <c r="B314" s="2" t="s">
        <v>82</v>
      </c>
      <c r="C314" s="2" t="s">
        <v>82</v>
      </c>
      <c r="D314" s="2" t="s">
        <v>83</v>
      </c>
      <c r="E314" s="3" t="s">
        <v>14</v>
      </c>
      <c r="F314" s="8">
        <v>28200000</v>
      </c>
      <c r="G314" s="2" t="s">
        <v>82</v>
      </c>
      <c r="H314" s="2" t="s">
        <v>17</v>
      </c>
    </row>
    <row r="315" spans="1:10" ht="15.75" customHeight="1">
      <c r="A315" s="9">
        <v>2014</v>
      </c>
      <c r="B315" s="2" t="s">
        <v>82</v>
      </c>
      <c r="C315" s="2" t="s">
        <v>82</v>
      </c>
      <c r="D315" s="2" t="s">
        <v>83</v>
      </c>
      <c r="E315" s="3" t="s">
        <v>15</v>
      </c>
      <c r="F315" s="8">
        <v>252200000</v>
      </c>
      <c r="G315" s="2" t="s">
        <v>82</v>
      </c>
      <c r="H315" s="2" t="s">
        <v>17</v>
      </c>
    </row>
    <row r="316" spans="1:10" ht="15.75" customHeight="1">
      <c r="A316" s="9">
        <v>2014</v>
      </c>
      <c r="B316" s="2" t="s">
        <v>82</v>
      </c>
      <c r="C316" s="2" t="s">
        <v>82</v>
      </c>
      <c r="D316" s="2" t="s">
        <v>83</v>
      </c>
      <c r="E316" s="2" t="s">
        <v>16</v>
      </c>
      <c r="F316" s="8">
        <v>2800000</v>
      </c>
      <c r="G316" s="2" t="s">
        <v>82</v>
      </c>
      <c r="H316" s="2" t="s">
        <v>17</v>
      </c>
      <c r="I316" s="2"/>
      <c r="J316" s="2" t="s">
        <v>16</v>
      </c>
    </row>
    <row r="317" spans="1:10" ht="15.75" customHeight="1">
      <c r="A317" s="9">
        <v>2014</v>
      </c>
      <c r="B317" s="2" t="s">
        <v>53</v>
      </c>
      <c r="C317" s="2" t="s">
        <v>53</v>
      </c>
      <c r="D317" s="2" t="s">
        <v>54</v>
      </c>
      <c r="E317" s="3" t="s">
        <v>14</v>
      </c>
      <c r="F317" s="8">
        <v>32000000</v>
      </c>
      <c r="G317" s="2" t="s">
        <v>53</v>
      </c>
      <c r="H317" s="2" t="s">
        <v>22</v>
      </c>
    </row>
    <row r="318" spans="1:10" ht="15.75" customHeight="1">
      <c r="A318" s="9">
        <v>2014</v>
      </c>
      <c r="B318" s="2" t="s">
        <v>82</v>
      </c>
      <c r="C318" s="2" t="s">
        <v>82</v>
      </c>
      <c r="D318" s="2" t="s">
        <v>83</v>
      </c>
      <c r="E318" s="3" t="s">
        <v>15</v>
      </c>
      <c r="F318" s="8">
        <v>126200000</v>
      </c>
      <c r="G318" s="2" t="s">
        <v>82</v>
      </c>
      <c r="H318" s="2" t="s">
        <v>17</v>
      </c>
    </row>
    <row r="319" spans="1:10" ht="15.75" customHeight="1">
      <c r="A319" s="9">
        <v>2014</v>
      </c>
      <c r="B319" s="17" t="s">
        <v>38</v>
      </c>
      <c r="C319" s="17" t="s">
        <v>38</v>
      </c>
      <c r="D319" s="3" t="s">
        <v>39</v>
      </c>
      <c r="E319" s="2" t="s">
        <v>15</v>
      </c>
      <c r="F319" s="12">
        <v>360000000</v>
      </c>
      <c r="G319" s="17" t="s">
        <v>38</v>
      </c>
      <c r="H319" s="2" t="s">
        <v>23</v>
      </c>
      <c r="I319" s="3"/>
      <c r="J319" s="2" t="s">
        <v>15</v>
      </c>
    </row>
    <row r="320" spans="1:10" ht="15.75" customHeight="1">
      <c r="A320" s="9">
        <v>2014</v>
      </c>
      <c r="B320" s="2" t="s">
        <v>84</v>
      </c>
      <c r="C320" s="2" t="s">
        <v>82</v>
      </c>
      <c r="D320" s="2" t="s">
        <v>83</v>
      </c>
      <c r="E320" s="3" t="s">
        <v>14</v>
      </c>
      <c r="F320" s="8">
        <v>64300000</v>
      </c>
      <c r="G320" s="2" t="s">
        <v>84</v>
      </c>
      <c r="H320" s="2"/>
    </row>
    <row r="321" spans="1:10" ht="15.75" customHeight="1">
      <c r="A321" s="9">
        <v>2014</v>
      </c>
      <c r="B321" s="2" t="s">
        <v>84</v>
      </c>
      <c r="C321" s="2" t="s">
        <v>82</v>
      </c>
      <c r="D321" s="2" t="s">
        <v>83</v>
      </c>
      <c r="E321" s="3" t="s">
        <v>15</v>
      </c>
      <c r="F321" s="8">
        <v>139000000</v>
      </c>
      <c r="G321" s="2" t="s">
        <v>84</v>
      </c>
      <c r="H321" s="2"/>
    </row>
    <row r="322" spans="1:10" ht="15.75" customHeight="1">
      <c r="A322" s="9">
        <v>2014</v>
      </c>
      <c r="B322" s="2" t="s">
        <v>85</v>
      </c>
      <c r="C322" s="2" t="s">
        <v>82</v>
      </c>
      <c r="D322" s="2" t="s">
        <v>83</v>
      </c>
      <c r="E322" s="3" t="s">
        <v>14</v>
      </c>
      <c r="F322" s="8">
        <v>72771635</v>
      </c>
      <c r="G322" s="2" t="s">
        <v>85</v>
      </c>
      <c r="H322" s="2" t="s">
        <v>13</v>
      </c>
    </row>
    <row r="323" spans="1:10" ht="15.75" customHeight="1">
      <c r="A323" s="9">
        <v>2014</v>
      </c>
      <c r="B323" s="14" t="s">
        <v>86</v>
      </c>
      <c r="C323" s="14" t="s">
        <v>87</v>
      </c>
      <c r="D323" s="14" t="s">
        <v>88</v>
      </c>
      <c r="E323" s="3" t="s">
        <v>15</v>
      </c>
      <c r="F323" s="4">
        <v>94231852</v>
      </c>
      <c r="G323" s="14" t="s">
        <v>86</v>
      </c>
      <c r="H323" s="14" t="s">
        <v>67</v>
      </c>
    </row>
    <row r="324" spans="1:10" ht="15.75" customHeight="1">
      <c r="A324" s="9">
        <v>2014</v>
      </c>
      <c r="B324" s="14" t="s">
        <v>86</v>
      </c>
      <c r="C324" s="14" t="s">
        <v>87</v>
      </c>
      <c r="D324" s="14" t="s">
        <v>88</v>
      </c>
      <c r="E324" s="14" t="s">
        <v>14</v>
      </c>
      <c r="F324" s="4">
        <v>68617608</v>
      </c>
      <c r="G324" s="14" t="s">
        <v>86</v>
      </c>
      <c r="H324" s="14" t="s">
        <v>67</v>
      </c>
    </row>
    <row r="325" spans="1:10" ht="15.75" customHeight="1">
      <c r="A325" s="7">
        <v>2015</v>
      </c>
      <c r="B325" s="2" t="s">
        <v>89</v>
      </c>
      <c r="C325" s="2" t="s">
        <v>89</v>
      </c>
      <c r="D325" s="2" t="s">
        <v>90</v>
      </c>
      <c r="E325" s="3" t="s">
        <v>14</v>
      </c>
      <c r="F325" s="8">
        <v>37229017</v>
      </c>
      <c r="G325" s="2" t="s">
        <v>89</v>
      </c>
      <c r="H325" s="2" t="s">
        <v>13</v>
      </c>
    </row>
    <row r="326" spans="1:10" ht="15.75" customHeight="1">
      <c r="A326" s="7">
        <v>2015</v>
      </c>
      <c r="B326" s="2" t="s">
        <v>89</v>
      </c>
      <c r="C326" s="2" t="s">
        <v>89</v>
      </c>
      <c r="D326" s="2" t="s">
        <v>90</v>
      </c>
      <c r="E326" s="3" t="s">
        <v>15</v>
      </c>
      <c r="F326" s="8">
        <v>97912181</v>
      </c>
      <c r="G326" s="2" t="s">
        <v>89</v>
      </c>
      <c r="H326" s="2" t="s">
        <v>13</v>
      </c>
    </row>
    <row r="327" spans="1:10" ht="15.75" customHeight="1">
      <c r="A327" s="7">
        <v>2015</v>
      </c>
      <c r="B327" s="2" t="s">
        <v>89</v>
      </c>
      <c r="C327" s="2" t="s">
        <v>89</v>
      </c>
      <c r="D327" s="2" t="s">
        <v>90</v>
      </c>
      <c r="E327" s="3" t="s">
        <v>12</v>
      </c>
      <c r="F327" s="8">
        <v>200245</v>
      </c>
      <c r="G327" s="2" t="s">
        <v>89</v>
      </c>
      <c r="H327" s="2" t="s">
        <v>13</v>
      </c>
      <c r="I327" s="3"/>
      <c r="J327" s="3" t="s">
        <v>16</v>
      </c>
    </row>
    <row r="328" spans="1:10" ht="15.75" customHeight="1">
      <c r="A328" s="9">
        <v>2015</v>
      </c>
      <c r="B328" s="2" t="s">
        <v>85</v>
      </c>
      <c r="C328" s="2" t="s">
        <v>82</v>
      </c>
      <c r="D328" s="2" t="s">
        <v>83</v>
      </c>
      <c r="E328" s="3" t="s">
        <v>15</v>
      </c>
      <c r="F328" s="8">
        <v>152343810</v>
      </c>
      <c r="G328" s="2" t="s">
        <v>85</v>
      </c>
      <c r="H328" s="2" t="s">
        <v>13</v>
      </c>
    </row>
    <row r="329" spans="1:10" ht="15.75" customHeight="1">
      <c r="A329" s="9">
        <v>2015</v>
      </c>
      <c r="B329" s="2" t="s">
        <v>85</v>
      </c>
      <c r="C329" s="2" t="s">
        <v>82</v>
      </c>
      <c r="D329" s="2" t="s">
        <v>83</v>
      </c>
      <c r="E329" s="3" t="s">
        <v>12</v>
      </c>
      <c r="F329" s="8">
        <v>900000</v>
      </c>
      <c r="G329" s="2" t="s">
        <v>85</v>
      </c>
      <c r="H329" s="2" t="s">
        <v>13</v>
      </c>
      <c r="I329" s="3"/>
      <c r="J329" s="3" t="s">
        <v>16</v>
      </c>
    </row>
    <row r="330" spans="1:10" ht="15.75" customHeight="1">
      <c r="A330" s="9">
        <v>2015</v>
      </c>
      <c r="B330" s="14" t="s">
        <v>91</v>
      </c>
      <c r="C330" s="14" t="s">
        <v>82</v>
      </c>
      <c r="D330" s="2" t="s">
        <v>83</v>
      </c>
      <c r="E330" s="3" t="s">
        <v>15</v>
      </c>
      <c r="F330" s="4">
        <v>1502221330</v>
      </c>
      <c r="G330" s="14" t="s">
        <v>91</v>
      </c>
      <c r="H330" s="14" t="s">
        <v>67</v>
      </c>
    </row>
    <row r="331" spans="1:10" ht="15.75" customHeight="1">
      <c r="A331" s="9">
        <v>2015</v>
      </c>
      <c r="B331" s="14" t="s">
        <v>91</v>
      </c>
      <c r="C331" s="14" t="s">
        <v>82</v>
      </c>
      <c r="D331" s="2" t="s">
        <v>83</v>
      </c>
      <c r="E331" s="14" t="s">
        <v>14</v>
      </c>
      <c r="F331" s="4">
        <v>1108519732</v>
      </c>
      <c r="G331" s="14" t="s">
        <v>91</v>
      </c>
      <c r="H331" s="14" t="s">
        <v>67</v>
      </c>
    </row>
    <row r="332" spans="1:10" ht="15.75" customHeight="1">
      <c r="A332" s="9">
        <v>2015</v>
      </c>
      <c r="B332" s="2" t="s">
        <v>82</v>
      </c>
      <c r="C332" s="2" t="s">
        <v>82</v>
      </c>
      <c r="D332" s="2" t="s">
        <v>83</v>
      </c>
      <c r="E332" s="3" t="s">
        <v>14</v>
      </c>
      <c r="F332" s="8">
        <v>6300000</v>
      </c>
      <c r="G332" s="2" t="s">
        <v>82</v>
      </c>
      <c r="H332" s="2"/>
    </row>
    <row r="333" spans="1:10" ht="15.75" customHeight="1">
      <c r="A333" s="9">
        <v>2015</v>
      </c>
      <c r="B333" s="2" t="s">
        <v>82</v>
      </c>
      <c r="C333" s="2" t="s">
        <v>82</v>
      </c>
      <c r="D333" s="2" t="s">
        <v>83</v>
      </c>
      <c r="E333" s="3" t="s">
        <v>15</v>
      </c>
      <c r="F333" s="8">
        <v>25500000</v>
      </c>
      <c r="G333" s="2" t="s">
        <v>82</v>
      </c>
      <c r="H333" s="2"/>
    </row>
    <row r="334" spans="1:10" ht="15.75" customHeight="1">
      <c r="A334" s="9">
        <v>2015</v>
      </c>
      <c r="B334" s="3" t="s">
        <v>82</v>
      </c>
      <c r="C334" s="2" t="s">
        <v>82</v>
      </c>
      <c r="D334" s="2" t="s">
        <v>83</v>
      </c>
      <c r="E334" s="3" t="s">
        <v>14</v>
      </c>
      <c r="F334" s="8">
        <v>220820927</v>
      </c>
      <c r="G334" s="3" t="s">
        <v>82</v>
      </c>
      <c r="H334" s="2" t="s">
        <v>13</v>
      </c>
    </row>
    <row r="335" spans="1:10" ht="15.75" customHeight="1">
      <c r="A335" s="9">
        <v>2015</v>
      </c>
      <c r="B335" s="2" t="s">
        <v>82</v>
      </c>
      <c r="C335" s="2" t="s">
        <v>82</v>
      </c>
      <c r="D335" s="2" t="s">
        <v>83</v>
      </c>
      <c r="E335" s="3" t="s">
        <v>15</v>
      </c>
      <c r="F335" s="4">
        <v>382390619</v>
      </c>
      <c r="G335" s="2" t="s">
        <v>82</v>
      </c>
      <c r="H335" s="2" t="s">
        <v>13</v>
      </c>
      <c r="I335" s="15"/>
      <c r="J335" s="15"/>
    </row>
    <row r="336" spans="1:10" ht="15.75" customHeight="1">
      <c r="A336" s="9">
        <v>2015</v>
      </c>
      <c r="B336" s="2" t="s">
        <v>92</v>
      </c>
      <c r="C336" s="2" t="s">
        <v>92</v>
      </c>
      <c r="D336" s="2" t="s">
        <v>93</v>
      </c>
      <c r="E336" s="3" t="s">
        <v>14</v>
      </c>
      <c r="F336" s="8">
        <v>16700000</v>
      </c>
      <c r="G336" s="2" t="s">
        <v>92</v>
      </c>
      <c r="H336" s="2" t="s">
        <v>22</v>
      </c>
    </row>
    <row r="337" spans="1:28" ht="15.75" customHeight="1">
      <c r="A337" s="9">
        <v>2015</v>
      </c>
      <c r="B337" s="2" t="s">
        <v>92</v>
      </c>
      <c r="C337" s="2" t="s">
        <v>92</v>
      </c>
      <c r="D337" s="2" t="s">
        <v>93</v>
      </c>
      <c r="E337" s="3" t="s">
        <v>15</v>
      </c>
      <c r="F337" s="8">
        <v>50500000</v>
      </c>
      <c r="G337" s="2" t="s">
        <v>92</v>
      </c>
      <c r="H337" s="2" t="s">
        <v>22</v>
      </c>
    </row>
    <row r="338" spans="1:28" ht="15.75" customHeight="1">
      <c r="A338" s="9">
        <v>2015</v>
      </c>
      <c r="B338" s="2" t="s">
        <v>92</v>
      </c>
      <c r="C338" s="2" t="s">
        <v>92</v>
      </c>
      <c r="D338" s="2" t="s">
        <v>93</v>
      </c>
      <c r="E338" s="2" t="s">
        <v>16</v>
      </c>
      <c r="F338" s="8">
        <v>1500000</v>
      </c>
      <c r="G338" s="2" t="s">
        <v>92</v>
      </c>
      <c r="H338" s="2" t="s">
        <v>22</v>
      </c>
      <c r="I338" s="2"/>
      <c r="J338" s="2" t="s">
        <v>16</v>
      </c>
    </row>
    <row r="339" spans="1:28" ht="15.75" customHeight="1">
      <c r="A339" s="9">
        <v>2015</v>
      </c>
      <c r="B339" s="2" t="s">
        <v>53</v>
      </c>
      <c r="C339" s="2" t="s">
        <v>53</v>
      </c>
      <c r="D339" s="2" t="s">
        <v>54</v>
      </c>
      <c r="E339" s="2" t="s">
        <v>16</v>
      </c>
      <c r="F339" s="8">
        <v>10900000</v>
      </c>
      <c r="G339" s="2" t="s">
        <v>53</v>
      </c>
      <c r="H339" s="2" t="s">
        <v>22</v>
      </c>
      <c r="I339" s="3"/>
      <c r="J339" s="2" t="s">
        <v>16</v>
      </c>
    </row>
    <row r="340" spans="1:28" ht="15.75" customHeight="1">
      <c r="A340" s="9">
        <v>2015</v>
      </c>
      <c r="B340" s="2" t="s">
        <v>94</v>
      </c>
      <c r="C340" s="2" t="s">
        <v>94</v>
      </c>
      <c r="D340" s="2" t="s">
        <v>95</v>
      </c>
      <c r="E340" s="3" t="s">
        <v>15</v>
      </c>
      <c r="F340" s="8">
        <v>25000000</v>
      </c>
      <c r="G340" s="2" t="s">
        <v>94</v>
      </c>
      <c r="H340" s="2" t="s">
        <v>22</v>
      </c>
    </row>
    <row r="341" spans="1:28" ht="15.75" customHeight="1">
      <c r="A341" s="9">
        <v>2015</v>
      </c>
      <c r="B341" s="2" t="s">
        <v>53</v>
      </c>
      <c r="C341" s="2" t="s">
        <v>53</v>
      </c>
      <c r="D341" s="2" t="s">
        <v>54</v>
      </c>
      <c r="E341" s="2" t="s">
        <v>16</v>
      </c>
      <c r="F341" s="8">
        <v>10400000</v>
      </c>
      <c r="G341" s="2" t="s">
        <v>53</v>
      </c>
      <c r="H341" s="2" t="s">
        <v>22</v>
      </c>
      <c r="I341" s="3" t="s">
        <v>28</v>
      </c>
      <c r="J341" s="2" t="s">
        <v>16</v>
      </c>
      <c r="Z341" s="28"/>
      <c r="AA341" s="28"/>
      <c r="AB341" s="28"/>
    </row>
    <row r="342" spans="1:28" ht="15.75" customHeight="1">
      <c r="A342" s="9">
        <v>2015</v>
      </c>
      <c r="B342" s="2" t="s">
        <v>96</v>
      </c>
      <c r="C342" s="2" t="s">
        <v>96</v>
      </c>
      <c r="D342" s="2" t="s">
        <v>97</v>
      </c>
      <c r="E342" s="3" t="s">
        <v>14</v>
      </c>
      <c r="F342" s="8">
        <v>819400000</v>
      </c>
      <c r="G342" s="2" t="s">
        <v>96</v>
      </c>
      <c r="H342" s="2"/>
    </row>
    <row r="343" spans="1:28" ht="15.75" customHeight="1">
      <c r="A343" s="9">
        <v>2015</v>
      </c>
      <c r="B343" s="2" t="s">
        <v>96</v>
      </c>
      <c r="C343" s="2" t="s">
        <v>96</v>
      </c>
      <c r="D343" s="2" t="s">
        <v>97</v>
      </c>
      <c r="E343" s="3" t="s">
        <v>15</v>
      </c>
      <c r="F343" s="8">
        <v>1113300000</v>
      </c>
      <c r="G343" s="2" t="s">
        <v>96</v>
      </c>
      <c r="H343" s="2"/>
    </row>
    <row r="344" spans="1:28" ht="15.75" customHeight="1">
      <c r="A344" s="9">
        <v>2015</v>
      </c>
      <c r="B344" s="2" t="s">
        <v>96</v>
      </c>
      <c r="C344" s="2" t="s">
        <v>96</v>
      </c>
      <c r="D344" s="2" t="s">
        <v>97</v>
      </c>
      <c r="E344" s="2" t="s">
        <v>16</v>
      </c>
      <c r="F344" s="8">
        <v>5200000</v>
      </c>
      <c r="G344" s="2" t="s">
        <v>96</v>
      </c>
      <c r="H344" s="2"/>
      <c r="I344" s="2"/>
      <c r="J344" s="2" t="s">
        <v>16</v>
      </c>
    </row>
    <row r="345" spans="1:28" ht="15.75" customHeight="1">
      <c r="A345" s="9">
        <v>2015</v>
      </c>
      <c r="B345" s="2" t="s">
        <v>96</v>
      </c>
      <c r="C345" s="2" t="s">
        <v>96</v>
      </c>
      <c r="D345" s="2" t="s">
        <v>97</v>
      </c>
      <c r="E345" s="3" t="s">
        <v>14</v>
      </c>
      <c r="F345" s="8">
        <v>439700000</v>
      </c>
      <c r="G345" s="2" t="s">
        <v>96</v>
      </c>
      <c r="H345" s="2"/>
    </row>
    <row r="346" spans="1:28" ht="15.75" customHeight="1">
      <c r="A346" s="9">
        <v>2015</v>
      </c>
      <c r="B346" s="14" t="s">
        <v>98</v>
      </c>
      <c r="C346" s="14" t="s">
        <v>99</v>
      </c>
      <c r="D346" s="14" t="s">
        <v>100</v>
      </c>
      <c r="E346" s="14" t="s">
        <v>14</v>
      </c>
      <c r="F346" s="4">
        <v>153824575</v>
      </c>
      <c r="G346" s="14" t="s">
        <v>98</v>
      </c>
      <c r="H346" s="14" t="s">
        <v>22</v>
      </c>
    </row>
    <row r="347" spans="1:28" ht="15.75" customHeight="1">
      <c r="A347" s="9">
        <v>2015</v>
      </c>
      <c r="B347" s="14" t="s">
        <v>98</v>
      </c>
      <c r="C347" s="14" t="s">
        <v>99</v>
      </c>
      <c r="D347" s="14" t="s">
        <v>100</v>
      </c>
      <c r="E347" s="3" t="s">
        <v>15</v>
      </c>
      <c r="F347" s="4">
        <v>289605365</v>
      </c>
      <c r="G347" s="14" t="s">
        <v>98</v>
      </c>
      <c r="H347" s="14" t="s">
        <v>22</v>
      </c>
    </row>
    <row r="348" spans="1:28" ht="15.75" customHeight="1">
      <c r="A348" s="9">
        <v>2015</v>
      </c>
      <c r="B348" s="2" t="s">
        <v>96</v>
      </c>
      <c r="C348" s="2" t="s">
        <v>96</v>
      </c>
      <c r="D348" s="2" t="s">
        <v>97</v>
      </c>
      <c r="E348" s="3" t="s">
        <v>15</v>
      </c>
      <c r="F348" s="8">
        <v>704300000</v>
      </c>
      <c r="G348" s="2" t="s">
        <v>96</v>
      </c>
      <c r="H348" s="2"/>
    </row>
    <row r="349" spans="1:28" ht="15.75" customHeight="1">
      <c r="A349" s="9">
        <v>2015</v>
      </c>
      <c r="B349" s="2" t="s">
        <v>96</v>
      </c>
      <c r="C349" s="2" t="s">
        <v>96</v>
      </c>
      <c r="D349" s="2" t="s">
        <v>97</v>
      </c>
      <c r="E349" s="2" t="s">
        <v>16</v>
      </c>
      <c r="F349" s="8">
        <v>8200000</v>
      </c>
      <c r="G349" s="2" t="s">
        <v>96</v>
      </c>
      <c r="H349" s="2"/>
      <c r="I349" s="2"/>
      <c r="J349" s="2" t="s">
        <v>16</v>
      </c>
    </row>
    <row r="350" spans="1:28" ht="15.75" customHeight="1">
      <c r="A350" s="9">
        <v>2015</v>
      </c>
      <c r="B350" s="2" t="s">
        <v>96</v>
      </c>
      <c r="C350" s="2" t="s">
        <v>96</v>
      </c>
      <c r="D350" s="2" t="s">
        <v>97</v>
      </c>
      <c r="E350" s="3" t="s">
        <v>14</v>
      </c>
      <c r="F350" s="8">
        <v>663600000</v>
      </c>
      <c r="G350" s="2" t="s">
        <v>96</v>
      </c>
      <c r="H350" s="2"/>
    </row>
    <row r="351" spans="1:28" ht="15.75" customHeight="1">
      <c r="A351" s="9">
        <v>2015</v>
      </c>
      <c r="B351" s="2" t="s">
        <v>96</v>
      </c>
      <c r="C351" s="2" t="s">
        <v>96</v>
      </c>
      <c r="D351" s="2" t="s">
        <v>97</v>
      </c>
      <c r="E351" s="3" t="s">
        <v>15</v>
      </c>
      <c r="F351" s="8">
        <v>860500000</v>
      </c>
      <c r="G351" s="2" t="s">
        <v>96</v>
      </c>
      <c r="H351" s="2"/>
      <c r="K351" s="5"/>
    </row>
    <row r="352" spans="1:28" ht="15.75" customHeight="1">
      <c r="A352" s="9">
        <v>2015</v>
      </c>
      <c r="B352" s="2" t="s">
        <v>101</v>
      </c>
      <c r="C352" s="2" t="s">
        <v>99</v>
      </c>
      <c r="D352" s="14" t="s">
        <v>100</v>
      </c>
      <c r="E352" s="2" t="s">
        <v>14</v>
      </c>
      <c r="F352" s="8">
        <v>40172849</v>
      </c>
      <c r="G352" s="2" t="s">
        <v>101</v>
      </c>
      <c r="H352" s="2" t="s">
        <v>22</v>
      </c>
    </row>
    <row r="353" spans="1:10" ht="15.75" customHeight="1">
      <c r="A353" s="9">
        <v>2015</v>
      </c>
      <c r="B353" s="2" t="s">
        <v>101</v>
      </c>
      <c r="C353" s="2" t="s">
        <v>99</v>
      </c>
      <c r="D353" s="14" t="s">
        <v>100</v>
      </c>
      <c r="E353" s="3" t="s">
        <v>15</v>
      </c>
      <c r="F353" s="8">
        <v>147118508</v>
      </c>
      <c r="G353" s="2" t="s">
        <v>101</v>
      </c>
      <c r="H353" s="2" t="s">
        <v>22</v>
      </c>
    </row>
    <row r="354" spans="1:10" ht="15.75" customHeight="1">
      <c r="A354" s="9">
        <v>2015</v>
      </c>
      <c r="B354" s="2" t="s">
        <v>102</v>
      </c>
      <c r="C354" s="2" t="s">
        <v>103</v>
      </c>
      <c r="D354" s="2" t="s">
        <v>104</v>
      </c>
      <c r="E354" s="3" t="s">
        <v>14</v>
      </c>
      <c r="F354" s="8">
        <v>23805699</v>
      </c>
      <c r="G354" s="2" t="s">
        <v>102</v>
      </c>
      <c r="H354" s="2" t="s">
        <v>67</v>
      </c>
    </row>
    <row r="355" spans="1:10" ht="15.75" customHeight="1">
      <c r="A355" s="9">
        <v>2015</v>
      </c>
      <c r="B355" s="2" t="s">
        <v>102</v>
      </c>
      <c r="C355" s="2" t="s">
        <v>103</v>
      </c>
      <c r="D355" s="2" t="s">
        <v>104</v>
      </c>
      <c r="E355" s="3" t="s">
        <v>15</v>
      </c>
      <c r="F355" s="8">
        <v>38458738</v>
      </c>
      <c r="G355" s="2" t="s">
        <v>102</v>
      </c>
      <c r="H355" s="2" t="s">
        <v>67</v>
      </c>
    </row>
    <row r="356" spans="1:10" ht="15.75" customHeight="1">
      <c r="A356" s="9">
        <v>2015</v>
      </c>
      <c r="B356" s="2" t="s">
        <v>105</v>
      </c>
      <c r="C356" s="2" t="s">
        <v>105</v>
      </c>
      <c r="D356" s="2" t="s">
        <v>106</v>
      </c>
      <c r="E356" s="3" t="s">
        <v>15</v>
      </c>
      <c r="F356" s="8">
        <v>32400000</v>
      </c>
      <c r="G356" s="2" t="s">
        <v>105</v>
      </c>
      <c r="H356" s="2" t="s">
        <v>107</v>
      </c>
    </row>
    <row r="357" spans="1:10" ht="15.75" customHeight="1">
      <c r="A357" s="9">
        <v>2015</v>
      </c>
      <c r="B357" s="2" t="s">
        <v>41</v>
      </c>
      <c r="C357" s="2" t="s">
        <v>41</v>
      </c>
      <c r="D357" s="2" t="s">
        <v>42</v>
      </c>
      <c r="E357" s="3" t="s">
        <v>15</v>
      </c>
      <c r="F357" s="8">
        <v>387800000</v>
      </c>
      <c r="G357" s="2" t="s">
        <v>41</v>
      </c>
      <c r="H357" s="2" t="s">
        <v>17</v>
      </c>
    </row>
    <row r="358" spans="1:10" ht="15.75" customHeight="1">
      <c r="A358" s="9">
        <v>2015</v>
      </c>
      <c r="B358" s="2" t="s">
        <v>108</v>
      </c>
      <c r="C358" s="2" t="s">
        <v>105</v>
      </c>
      <c r="D358" s="2" t="s">
        <v>106</v>
      </c>
      <c r="E358" s="3" t="s">
        <v>14</v>
      </c>
      <c r="F358" s="8">
        <v>13300000</v>
      </c>
      <c r="G358" s="2" t="s">
        <v>108</v>
      </c>
      <c r="H358" s="2" t="s">
        <v>17</v>
      </c>
    </row>
    <row r="359" spans="1:10" ht="15.75" customHeight="1">
      <c r="A359" s="9">
        <v>2015</v>
      </c>
      <c r="B359" s="2" t="s">
        <v>108</v>
      </c>
      <c r="C359" s="2" t="s">
        <v>105</v>
      </c>
      <c r="D359" s="2" t="s">
        <v>106</v>
      </c>
      <c r="E359" s="3" t="s">
        <v>15</v>
      </c>
      <c r="F359" s="8">
        <v>20100000</v>
      </c>
      <c r="G359" s="2" t="s">
        <v>108</v>
      </c>
      <c r="H359" s="2" t="s">
        <v>17</v>
      </c>
    </row>
    <row r="360" spans="1:10" ht="15.75" customHeight="1">
      <c r="A360" s="9">
        <v>2015</v>
      </c>
      <c r="B360" s="2" t="s">
        <v>96</v>
      </c>
      <c r="C360" s="2" t="s">
        <v>96</v>
      </c>
      <c r="D360" s="2" t="s">
        <v>97</v>
      </c>
      <c r="E360" s="2" t="s">
        <v>16</v>
      </c>
      <c r="F360" s="8">
        <v>11000000</v>
      </c>
      <c r="G360" s="2" t="s">
        <v>96</v>
      </c>
      <c r="H360" s="2"/>
      <c r="I360" s="2"/>
      <c r="J360" s="2" t="s">
        <v>16</v>
      </c>
    </row>
    <row r="361" spans="1:10" ht="15.75" customHeight="1">
      <c r="A361" s="9">
        <v>2015</v>
      </c>
      <c r="B361" s="2" t="s">
        <v>96</v>
      </c>
      <c r="C361" s="2" t="s">
        <v>96</v>
      </c>
      <c r="D361" s="2" t="s">
        <v>97</v>
      </c>
      <c r="E361" s="3" t="s">
        <v>14</v>
      </c>
      <c r="F361" s="8">
        <v>808700000</v>
      </c>
      <c r="G361" s="2" t="s">
        <v>96</v>
      </c>
      <c r="H361" s="2" t="s">
        <v>17</v>
      </c>
    </row>
    <row r="362" spans="1:10" ht="15.75" customHeight="1">
      <c r="A362" s="9">
        <v>2015</v>
      </c>
      <c r="B362" s="2" t="s">
        <v>96</v>
      </c>
      <c r="C362" s="2" t="s">
        <v>96</v>
      </c>
      <c r="D362" s="2" t="s">
        <v>97</v>
      </c>
      <c r="E362" s="3" t="s">
        <v>15</v>
      </c>
      <c r="F362" s="8">
        <v>984600000</v>
      </c>
      <c r="G362" s="2" t="s">
        <v>96</v>
      </c>
      <c r="H362" s="2" t="s">
        <v>17</v>
      </c>
    </row>
    <row r="363" spans="1:10" ht="15.75" customHeight="1">
      <c r="A363" s="9">
        <v>2015</v>
      </c>
      <c r="B363" s="2" t="s">
        <v>96</v>
      </c>
      <c r="C363" s="2" t="s">
        <v>96</v>
      </c>
      <c r="D363" s="2" t="s">
        <v>97</v>
      </c>
      <c r="E363" s="2" t="s">
        <v>16</v>
      </c>
      <c r="F363" s="8">
        <v>11000000</v>
      </c>
      <c r="G363" s="2" t="s">
        <v>96</v>
      </c>
      <c r="H363" s="2" t="s">
        <v>17</v>
      </c>
      <c r="I363" s="2"/>
      <c r="J363" s="2" t="s">
        <v>16</v>
      </c>
    </row>
    <row r="364" spans="1:10" ht="15.75" customHeight="1">
      <c r="A364" s="9">
        <v>2015</v>
      </c>
      <c r="B364" s="2" t="s">
        <v>96</v>
      </c>
      <c r="C364" s="2" t="s">
        <v>96</v>
      </c>
      <c r="D364" s="2" t="s">
        <v>97</v>
      </c>
      <c r="E364" s="3" t="s">
        <v>14</v>
      </c>
      <c r="F364" s="8">
        <v>455300000</v>
      </c>
      <c r="G364" s="2" t="s">
        <v>96</v>
      </c>
      <c r="H364" s="2" t="s">
        <v>17</v>
      </c>
    </row>
    <row r="365" spans="1:10" ht="15.75" customHeight="1">
      <c r="A365" s="9">
        <v>2015</v>
      </c>
      <c r="B365" s="2" t="s">
        <v>96</v>
      </c>
      <c r="C365" s="2" t="s">
        <v>96</v>
      </c>
      <c r="D365" s="2" t="s">
        <v>97</v>
      </c>
      <c r="E365" s="3" t="s">
        <v>15</v>
      </c>
      <c r="F365" s="8">
        <v>568700000</v>
      </c>
      <c r="G365" s="2" t="s">
        <v>96</v>
      </c>
      <c r="H365" s="2" t="s">
        <v>17</v>
      </c>
    </row>
    <row r="366" spans="1:10" ht="15.75" customHeight="1">
      <c r="A366" s="9">
        <v>2015</v>
      </c>
      <c r="B366" s="2" t="s">
        <v>96</v>
      </c>
      <c r="C366" s="2" t="s">
        <v>96</v>
      </c>
      <c r="D366" s="2" t="s">
        <v>97</v>
      </c>
      <c r="E366" s="2" t="s">
        <v>16</v>
      </c>
      <c r="F366" s="8">
        <v>8700000</v>
      </c>
      <c r="G366" s="2" t="s">
        <v>96</v>
      </c>
      <c r="H366" s="2" t="s">
        <v>17</v>
      </c>
      <c r="I366" s="2"/>
      <c r="J366" s="2" t="s">
        <v>16</v>
      </c>
    </row>
    <row r="367" spans="1:10" ht="15.75" customHeight="1">
      <c r="A367" s="9">
        <v>2015</v>
      </c>
      <c r="B367" s="2" t="s">
        <v>57</v>
      </c>
      <c r="C367" s="2" t="s">
        <v>57</v>
      </c>
      <c r="D367" s="2" t="s">
        <v>58</v>
      </c>
      <c r="E367" s="3" t="s">
        <v>14</v>
      </c>
      <c r="F367" s="8">
        <v>680900000</v>
      </c>
      <c r="G367" s="2" t="s">
        <v>57</v>
      </c>
      <c r="H367" s="2" t="s">
        <v>17</v>
      </c>
    </row>
    <row r="368" spans="1:10" ht="15.75" customHeight="1">
      <c r="A368" s="9">
        <v>2015</v>
      </c>
      <c r="B368" s="2" t="s">
        <v>96</v>
      </c>
      <c r="C368" s="2" t="s">
        <v>96</v>
      </c>
      <c r="D368" s="2" t="s">
        <v>97</v>
      </c>
      <c r="E368" s="3" t="s">
        <v>15</v>
      </c>
      <c r="F368" s="8">
        <v>701200000</v>
      </c>
      <c r="G368" s="2" t="s">
        <v>96</v>
      </c>
      <c r="H368" s="2" t="s">
        <v>17</v>
      </c>
    </row>
    <row r="369" spans="1:25" ht="15.75" customHeight="1">
      <c r="A369" s="9">
        <v>2015</v>
      </c>
      <c r="B369" s="2" t="s">
        <v>57</v>
      </c>
      <c r="C369" s="2" t="s">
        <v>57</v>
      </c>
      <c r="D369" s="2" t="s">
        <v>58</v>
      </c>
      <c r="E369" s="3" t="s">
        <v>14</v>
      </c>
      <c r="F369" s="8">
        <v>146900000</v>
      </c>
      <c r="G369" s="3" t="s">
        <v>71</v>
      </c>
      <c r="H369" s="2" t="s">
        <v>36</v>
      </c>
    </row>
    <row r="370" spans="1:25" ht="15.75" customHeight="1">
      <c r="A370" s="9">
        <v>2015</v>
      </c>
      <c r="B370" s="2" t="s">
        <v>57</v>
      </c>
      <c r="C370" s="2" t="s">
        <v>57</v>
      </c>
      <c r="D370" s="2" t="s">
        <v>58</v>
      </c>
      <c r="E370" s="2" t="s">
        <v>16</v>
      </c>
      <c r="F370" s="8">
        <v>12800000</v>
      </c>
      <c r="G370" s="2" t="s">
        <v>57</v>
      </c>
      <c r="H370" s="2" t="s">
        <v>17</v>
      </c>
      <c r="I370" s="2"/>
      <c r="J370" s="2" t="s">
        <v>16</v>
      </c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</row>
    <row r="371" spans="1:25" ht="15.75" customHeight="1">
      <c r="A371" s="9">
        <v>2015</v>
      </c>
      <c r="B371" s="14" t="s">
        <v>109</v>
      </c>
      <c r="C371" s="14" t="s">
        <v>96</v>
      </c>
      <c r="D371" s="2" t="s">
        <v>97</v>
      </c>
      <c r="E371" s="14" t="s">
        <v>14</v>
      </c>
      <c r="F371" s="4">
        <v>51113653</v>
      </c>
      <c r="G371" s="14" t="s">
        <v>109</v>
      </c>
      <c r="H371" s="14" t="s">
        <v>22</v>
      </c>
    </row>
    <row r="372" spans="1:25" ht="15.75" customHeight="1">
      <c r="A372" s="9">
        <v>2015</v>
      </c>
      <c r="B372" s="14" t="s">
        <v>109</v>
      </c>
      <c r="C372" s="14" t="s">
        <v>96</v>
      </c>
      <c r="D372" s="2" t="s">
        <v>97</v>
      </c>
      <c r="E372" s="3" t="s">
        <v>15</v>
      </c>
      <c r="F372" s="4">
        <v>187725113</v>
      </c>
      <c r="G372" s="14" t="s">
        <v>109</v>
      </c>
      <c r="H372" s="14" t="s">
        <v>22</v>
      </c>
    </row>
    <row r="373" spans="1:25" ht="15.75" customHeight="1">
      <c r="A373" s="9">
        <v>2015</v>
      </c>
      <c r="B373" s="2" t="s">
        <v>110</v>
      </c>
      <c r="C373" s="2" t="s">
        <v>96</v>
      </c>
      <c r="D373" s="2" t="s">
        <v>97</v>
      </c>
      <c r="E373" s="3" t="s">
        <v>14</v>
      </c>
      <c r="F373" s="8">
        <v>232700000</v>
      </c>
      <c r="G373" s="2" t="s">
        <v>110</v>
      </c>
      <c r="H373" s="2"/>
    </row>
    <row r="374" spans="1:25" ht="15.75" customHeight="1">
      <c r="A374" s="9">
        <v>2015</v>
      </c>
      <c r="B374" s="2" t="s">
        <v>110</v>
      </c>
      <c r="C374" s="2" t="s">
        <v>96</v>
      </c>
      <c r="D374" s="2" t="s">
        <v>97</v>
      </c>
      <c r="E374" s="3" t="s">
        <v>15</v>
      </c>
      <c r="F374" s="8">
        <v>283700000</v>
      </c>
      <c r="G374" s="2" t="s">
        <v>110</v>
      </c>
      <c r="H374" s="2"/>
    </row>
    <row r="375" spans="1:25" ht="15.75" customHeight="1">
      <c r="A375" s="9">
        <v>2015</v>
      </c>
      <c r="B375" s="14" t="s">
        <v>111</v>
      </c>
      <c r="C375" s="14" t="s">
        <v>112</v>
      </c>
      <c r="D375" s="14" t="s">
        <v>113</v>
      </c>
      <c r="E375" s="3" t="s">
        <v>15</v>
      </c>
      <c r="F375" s="4">
        <v>603544553</v>
      </c>
      <c r="G375" s="14" t="s">
        <v>111</v>
      </c>
      <c r="H375" s="14" t="s">
        <v>13</v>
      </c>
    </row>
    <row r="376" spans="1:25" ht="15.75" customHeight="1">
      <c r="A376" s="9">
        <v>2015</v>
      </c>
      <c r="B376" s="14" t="s">
        <v>111</v>
      </c>
      <c r="C376" s="14" t="s">
        <v>112</v>
      </c>
      <c r="D376" s="14" t="s">
        <v>113</v>
      </c>
      <c r="E376" s="14" t="s">
        <v>14</v>
      </c>
      <c r="F376" s="4">
        <v>399288552</v>
      </c>
      <c r="G376" s="14" t="s">
        <v>111</v>
      </c>
      <c r="H376" s="14" t="s">
        <v>13</v>
      </c>
    </row>
    <row r="377" spans="1:25" ht="15.75" customHeight="1">
      <c r="A377" s="9">
        <v>2015</v>
      </c>
      <c r="B377" s="2" t="s">
        <v>111</v>
      </c>
      <c r="C377" s="2" t="s">
        <v>112</v>
      </c>
      <c r="D377" s="14" t="s">
        <v>113</v>
      </c>
      <c r="E377" s="2" t="s">
        <v>12</v>
      </c>
      <c r="F377" s="4">
        <v>1655500</v>
      </c>
      <c r="G377" s="2" t="s">
        <v>111</v>
      </c>
      <c r="H377" s="2" t="s">
        <v>13</v>
      </c>
      <c r="I377" s="2"/>
      <c r="J377" s="2" t="s">
        <v>16</v>
      </c>
    </row>
    <row r="378" spans="1:25" ht="15.75" customHeight="1">
      <c r="A378" s="9">
        <v>2015</v>
      </c>
      <c r="B378" s="2" t="s">
        <v>111</v>
      </c>
      <c r="C378" s="2" t="s">
        <v>112</v>
      </c>
      <c r="D378" s="14" t="s">
        <v>113</v>
      </c>
      <c r="E378" s="3" t="s">
        <v>14</v>
      </c>
      <c r="F378" s="8">
        <v>545023141</v>
      </c>
      <c r="G378" s="2" t="s">
        <v>111</v>
      </c>
      <c r="H378" s="2" t="s">
        <v>13</v>
      </c>
    </row>
    <row r="379" spans="1:25" ht="15.75" customHeight="1">
      <c r="A379" s="9">
        <v>2015</v>
      </c>
      <c r="B379" s="2" t="s">
        <v>111</v>
      </c>
      <c r="C379" s="2" t="s">
        <v>112</v>
      </c>
      <c r="D379" s="14" t="s">
        <v>113</v>
      </c>
      <c r="E379" s="3" t="s">
        <v>15</v>
      </c>
      <c r="F379" s="8">
        <v>796807640</v>
      </c>
      <c r="G379" s="2" t="s">
        <v>111</v>
      </c>
      <c r="H379" s="2" t="s">
        <v>13</v>
      </c>
    </row>
    <row r="380" spans="1:25" ht="15.75" customHeight="1">
      <c r="A380" s="9">
        <v>2015</v>
      </c>
      <c r="B380" s="3" t="s">
        <v>111</v>
      </c>
      <c r="C380" s="2" t="s">
        <v>112</v>
      </c>
      <c r="D380" s="14" t="s">
        <v>113</v>
      </c>
      <c r="E380" s="3" t="s">
        <v>12</v>
      </c>
      <c r="F380" s="10">
        <v>2726000</v>
      </c>
      <c r="G380" s="3" t="s">
        <v>111</v>
      </c>
      <c r="H380" s="3" t="s">
        <v>13</v>
      </c>
      <c r="I380" s="3"/>
      <c r="J380" s="3" t="s">
        <v>16</v>
      </c>
      <c r="K380" s="6"/>
    </row>
    <row r="381" spans="1:25" ht="15.75" customHeight="1">
      <c r="A381" s="9">
        <v>2015</v>
      </c>
      <c r="B381" s="2" t="s">
        <v>111</v>
      </c>
      <c r="C381" s="2" t="s">
        <v>112</v>
      </c>
      <c r="D381" s="14" t="s">
        <v>113</v>
      </c>
      <c r="E381" s="2" t="s">
        <v>14</v>
      </c>
      <c r="F381" s="4">
        <v>372462747</v>
      </c>
      <c r="G381" s="2" t="s">
        <v>111</v>
      </c>
      <c r="H381" s="2" t="s">
        <v>13</v>
      </c>
      <c r="I381" s="15"/>
      <c r="J381" s="15"/>
      <c r="K381" s="6"/>
    </row>
    <row r="382" spans="1:25" ht="15.75" customHeight="1">
      <c r="A382" s="9">
        <v>2015</v>
      </c>
      <c r="B382" s="2" t="s">
        <v>111</v>
      </c>
      <c r="C382" s="2" t="s">
        <v>112</v>
      </c>
      <c r="D382" s="14" t="s">
        <v>113</v>
      </c>
      <c r="E382" s="3" t="s">
        <v>15</v>
      </c>
      <c r="F382" s="8">
        <v>663311782</v>
      </c>
      <c r="G382" s="2" t="s">
        <v>111</v>
      </c>
      <c r="H382" s="2" t="s">
        <v>13</v>
      </c>
    </row>
    <row r="383" spans="1:25" ht="15.75" customHeight="1">
      <c r="A383" s="9">
        <v>2015</v>
      </c>
      <c r="B383" s="2" t="s">
        <v>111</v>
      </c>
      <c r="C383" s="2" t="s">
        <v>112</v>
      </c>
      <c r="D383" s="14" t="s">
        <v>113</v>
      </c>
      <c r="E383" s="2" t="s">
        <v>12</v>
      </c>
      <c r="F383" s="10">
        <v>1700000</v>
      </c>
      <c r="G383" s="2" t="s">
        <v>111</v>
      </c>
      <c r="H383" s="18" t="s">
        <v>13</v>
      </c>
      <c r="I383" s="2"/>
      <c r="J383" s="2" t="s">
        <v>16</v>
      </c>
    </row>
    <row r="384" spans="1:25" ht="15.75" customHeight="1">
      <c r="A384" s="9">
        <v>2015</v>
      </c>
      <c r="B384" s="2" t="s">
        <v>114</v>
      </c>
      <c r="C384" s="2" t="s">
        <v>112</v>
      </c>
      <c r="D384" s="14" t="s">
        <v>113</v>
      </c>
      <c r="E384" s="3" t="s">
        <v>14</v>
      </c>
      <c r="F384" s="8">
        <v>85800000</v>
      </c>
      <c r="G384" s="2" t="s">
        <v>114</v>
      </c>
      <c r="H384" s="2" t="s">
        <v>17</v>
      </c>
    </row>
    <row r="385" spans="1:11" ht="15.75" customHeight="1">
      <c r="A385" s="9">
        <v>2015</v>
      </c>
      <c r="B385" s="2" t="s">
        <v>114</v>
      </c>
      <c r="C385" s="2" t="s">
        <v>112</v>
      </c>
      <c r="D385" s="14" t="s">
        <v>113</v>
      </c>
      <c r="E385" s="3" t="s">
        <v>15</v>
      </c>
      <c r="F385" s="8">
        <v>119900000</v>
      </c>
      <c r="G385" s="2" t="s">
        <v>114</v>
      </c>
      <c r="H385" s="2" t="s">
        <v>17</v>
      </c>
    </row>
    <row r="386" spans="1:11" ht="15.75" customHeight="1">
      <c r="A386" s="9">
        <v>2015</v>
      </c>
      <c r="B386" s="2" t="s">
        <v>111</v>
      </c>
      <c r="C386" s="2" t="s">
        <v>112</v>
      </c>
      <c r="D386" s="14" t="s">
        <v>113</v>
      </c>
      <c r="E386" s="2" t="s">
        <v>14</v>
      </c>
      <c r="F386" s="4">
        <v>532438919</v>
      </c>
      <c r="G386" s="2" t="s">
        <v>111</v>
      </c>
      <c r="H386" s="2" t="s">
        <v>13</v>
      </c>
      <c r="I386" s="15"/>
      <c r="J386" s="15"/>
      <c r="K386" s="5"/>
    </row>
    <row r="387" spans="1:11" ht="15.75" customHeight="1">
      <c r="A387" s="9">
        <v>2015</v>
      </c>
      <c r="B387" s="2" t="s">
        <v>111</v>
      </c>
      <c r="C387" s="2" t="s">
        <v>112</v>
      </c>
      <c r="D387" s="2" t="s">
        <v>113</v>
      </c>
      <c r="E387" s="3" t="s">
        <v>15</v>
      </c>
      <c r="F387" s="4">
        <v>741818150</v>
      </c>
      <c r="G387" s="2" t="s">
        <v>111</v>
      </c>
      <c r="H387" s="2" t="s">
        <v>13</v>
      </c>
      <c r="I387" s="15"/>
      <c r="J387" s="15"/>
    </row>
    <row r="388" spans="1:11" ht="15.75" customHeight="1">
      <c r="A388" s="9">
        <v>2015</v>
      </c>
      <c r="B388" s="2" t="s">
        <v>57</v>
      </c>
      <c r="C388" s="2" t="s">
        <v>57</v>
      </c>
      <c r="D388" s="2" t="s">
        <v>58</v>
      </c>
      <c r="E388" s="2" t="s">
        <v>16</v>
      </c>
      <c r="F388" s="8">
        <v>727000</v>
      </c>
      <c r="G388" s="3" t="s">
        <v>71</v>
      </c>
      <c r="H388" s="35" t="s">
        <v>47</v>
      </c>
      <c r="I388" s="2"/>
      <c r="J388" s="2" t="s">
        <v>16</v>
      </c>
      <c r="K388" s="5"/>
    </row>
    <row r="389" spans="1:11" ht="15.75" customHeight="1">
      <c r="A389" s="9">
        <v>2015</v>
      </c>
      <c r="B389" s="2" t="s">
        <v>115</v>
      </c>
      <c r="C389" s="2" t="s">
        <v>115</v>
      </c>
      <c r="D389" s="2" t="s">
        <v>116</v>
      </c>
      <c r="E389" s="3" t="s">
        <v>14</v>
      </c>
      <c r="F389" s="8">
        <v>13100000</v>
      </c>
      <c r="G389" s="2" t="s">
        <v>115</v>
      </c>
      <c r="H389" s="2"/>
    </row>
    <row r="390" spans="1:11" ht="15.75" customHeight="1">
      <c r="A390" s="9">
        <v>2015</v>
      </c>
      <c r="B390" s="2" t="s">
        <v>115</v>
      </c>
      <c r="C390" s="2" t="s">
        <v>115</v>
      </c>
      <c r="D390" s="2" t="s">
        <v>116</v>
      </c>
      <c r="E390" s="3" t="s">
        <v>15</v>
      </c>
      <c r="F390" s="8">
        <v>35700000</v>
      </c>
      <c r="G390" s="2" t="s">
        <v>115</v>
      </c>
      <c r="H390" s="2"/>
    </row>
    <row r="391" spans="1:11" ht="15.75" customHeight="1">
      <c r="A391" s="9">
        <v>2015</v>
      </c>
      <c r="B391" s="2" t="s">
        <v>115</v>
      </c>
      <c r="C391" s="2" t="s">
        <v>115</v>
      </c>
      <c r="D391" s="2" t="s">
        <v>116</v>
      </c>
      <c r="E391" s="2" t="s">
        <v>16</v>
      </c>
      <c r="F391" s="8">
        <v>331302</v>
      </c>
      <c r="G391" s="2" t="s">
        <v>115</v>
      </c>
      <c r="H391" s="2"/>
      <c r="I391" s="2"/>
      <c r="J391" s="2" t="s">
        <v>16</v>
      </c>
    </row>
    <row r="392" spans="1:11" ht="15.75" customHeight="1">
      <c r="A392" s="9">
        <v>2015</v>
      </c>
      <c r="B392" s="2" t="s">
        <v>115</v>
      </c>
      <c r="C392" s="2" t="s">
        <v>115</v>
      </c>
      <c r="D392" s="2" t="s">
        <v>116</v>
      </c>
      <c r="E392" s="3" t="s">
        <v>14</v>
      </c>
      <c r="F392" s="8">
        <v>48600000</v>
      </c>
      <c r="G392" s="2" t="s">
        <v>115</v>
      </c>
      <c r="H392" s="2"/>
    </row>
    <row r="393" spans="1:11" ht="15.75" customHeight="1">
      <c r="A393" s="9">
        <v>2015</v>
      </c>
      <c r="B393" s="2" t="s">
        <v>115</v>
      </c>
      <c r="C393" s="2" t="s">
        <v>115</v>
      </c>
      <c r="D393" s="2" t="s">
        <v>116</v>
      </c>
      <c r="E393" s="3" t="s">
        <v>15</v>
      </c>
      <c r="F393" s="8">
        <v>172500000</v>
      </c>
      <c r="G393" s="2" t="s">
        <v>115</v>
      </c>
      <c r="H393" s="2"/>
    </row>
    <row r="394" spans="1:11" ht="15.75" customHeight="1">
      <c r="A394" s="9">
        <v>2015</v>
      </c>
      <c r="B394" s="2" t="s">
        <v>115</v>
      </c>
      <c r="C394" s="2" t="s">
        <v>115</v>
      </c>
      <c r="D394" s="2" t="s">
        <v>116</v>
      </c>
      <c r="E394" s="2" t="s">
        <v>16</v>
      </c>
      <c r="F394" s="8">
        <v>2400000</v>
      </c>
      <c r="G394" s="2" t="s">
        <v>115</v>
      </c>
      <c r="H394" s="2"/>
      <c r="I394" s="2"/>
      <c r="J394" s="2" t="s">
        <v>16</v>
      </c>
    </row>
    <row r="395" spans="1:11" ht="15.75" customHeight="1">
      <c r="A395" s="9">
        <v>2015</v>
      </c>
      <c r="B395" s="2" t="s">
        <v>115</v>
      </c>
      <c r="C395" s="2" t="s">
        <v>115</v>
      </c>
      <c r="D395" s="2" t="s">
        <v>116</v>
      </c>
      <c r="E395" s="3" t="s">
        <v>14</v>
      </c>
      <c r="F395" s="8">
        <v>85700000</v>
      </c>
      <c r="G395" s="2" t="s">
        <v>115</v>
      </c>
      <c r="H395" s="2" t="s">
        <v>17</v>
      </c>
    </row>
    <row r="396" spans="1:11" ht="15.75" customHeight="1">
      <c r="A396" s="9">
        <v>2015</v>
      </c>
      <c r="B396" s="2" t="s">
        <v>115</v>
      </c>
      <c r="C396" s="2" t="s">
        <v>115</v>
      </c>
      <c r="D396" s="2" t="s">
        <v>116</v>
      </c>
      <c r="E396" s="3" t="s">
        <v>15</v>
      </c>
      <c r="F396" s="8">
        <v>151000000</v>
      </c>
      <c r="G396" s="2" t="s">
        <v>115</v>
      </c>
      <c r="H396" s="2" t="s">
        <v>17</v>
      </c>
    </row>
    <row r="397" spans="1:11" ht="15.75" customHeight="1">
      <c r="A397" s="9">
        <v>2015</v>
      </c>
      <c r="B397" s="2" t="s">
        <v>115</v>
      </c>
      <c r="C397" s="2" t="s">
        <v>115</v>
      </c>
      <c r="D397" s="2" t="s">
        <v>116</v>
      </c>
      <c r="E397" s="2" t="s">
        <v>16</v>
      </c>
      <c r="F397" s="8">
        <v>1300000</v>
      </c>
      <c r="G397" s="2" t="s">
        <v>115</v>
      </c>
      <c r="H397" s="2" t="s">
        <v>17</v>
      </c>
      <c r="I397" s="2"/>
      <c r="J397" s="2" t="s">
        <v>16</v>
      </c>
    </row>
    <row r="398" spans="1:11" ht="15.75" customHeight="1">
      <c r="A398" s="9">
        <v>2015</v>
      </c>
      <c r="B398" s="2" t="s">
        <v>115</v>
      </c>
      <c r="C398" s="2" t="s">
        <v>115</v>
      </c>
      <c r="D398" s="2" t="s">
        <v>116</v>
      </c>
      <c r="E398" s="3" t="s">
        <v>14</v>
      </c>
      <c r="F398" s="8">
        <v>77600000</v>
      </c>
      <c r="G398" s="2" t="s">
        <v>115</v>
      </c>
      <c r="H398" s="2" t="s">
        <v>17</v>
      </c>
    </row>
    <row r="399" spans="1:11" ht="15.75" customHeight="1">
      <c r="A399" s="9">
        <v>2015</v>
      </c>
      <c r="B399" s="2" t="s">
        <v>115</v>
      </c>
      <c r="C399" s="2" t="s">
        <v>115</v>
      </c>
      <c r="D399" s="2" t="s">
        <v>116</v>
      </c>
      <c r="E399" s="3" t="s">
        <v>15</v>
      </c>
      <c r="F399" s="8">
        <v>312700000</v>
      </c>
      <c r="G399" s="2" t="s">
        <v>115</v>
      </c>
      <c r="H399" s="2" t="s">
        <v>17</v>
      </c>
    </row>
    <row r="400" spans="1:11" ht="15.75" customHeight="1">
      <c r="A400" s="9">
        <v>2015</v>
      </c>
      <c r="B400" s="2" t="s">
        <v>115</v>
      </c>
      <c r="C400" s="2" t="s">
        <v>115</v>
      </c>
      <c r="D400" s="2" t="s">
        <v>116</v>
      </c>
      <c r="E400" s="2" t="s">
        <v>16</v>
      </c>
      <c r="F400" s="8">
        <v>1100000</v>
      </c>
      <c r="G400" s="2" t="s">
        <v>115</v>
      </c>
      <c r="H400" s="2" t="s">
        <v>17</v>
      </c>
      <c r="I400" s="2"/>
      <c r="J400" s="2" t="s">
        <v>16</v>
      </c>
    </row>
    <row r="401" spans="1:10" ht="15.75" customHeight="1">
      <c r="A401" s="9">
        <v>2015</v>
      </c>
      <c r="B401" s="36" t="s">
        <v>57</v>
      </c>
      <c r="C401" s="36" t="s">
        <v>57</v>
      </c>
      <c r="D401" s="25" t="s">
        <v>58</v>
      </c>
      <c r="E401" s="26" t="s">
        <v>16</v>
      </c>
      <c r="F401" s="29">
        <v>25600000</v>
      </c>
      <c r="G401" s="36" t="s">
        <v>57</v>
      </c>
      <c r="H401" s="26" t="s">
        <v>17</v>
      </c>
      <c r="I401" s="25"/>
      <c r="J401" s="26" t="s">
        <v>16</v>
      </c>
    </row>
    <row r="402" spans="1:10" ht="15.75" customHeight="1">
      <c r="A402" s="9">
        <v>2015</v>
      </c>
      <c r="B402" s="2" t="s">
        <v>115</v>
      </c>
      <c r="C402" s="2" t="s">
        <v>115</v>
      </c>
      <c r="D402" s="2" t="s">
        <v>116</v>
      </c>
      <c r="E402" s="3" t="s">
        <v>15</v>
      </c>
      <c r="F402" s="8">
        <v>201600000</v>
      </c>
      <c r="G402" s="2" t="s">
        <v>115</v>
      </c>
      <c r="H402" s="2" t="s">
        <v>17</v>
      </c>
    </row>
    <row r="403" spans="1:10" ht="15.75" customHeight="1">
      <c r="A403" s="9">
        <v>2015</v>
      </c>
      <c r="B403" s="17" t="s">
        <v>41</v>
      </c>
      <c r="C403" s="17" t="s">
        <v>41</v>
      </c>
      <c r="D403" s="3" t="s">
        <v>42</v>
      </c>
      <c r="E403" s="2" t="s">
        <v>15</v>
      </c>
      <c r="F403" s="12">
        <v>444760000</v>
      </c>
      <c r="G403" s="17" t="s">
        <v>41</v>
      </c>
      <c r="H403" s="2" t="s">
        <v>23</v>
      </c>
      <c r="I403" s="3"/>
      <c r="J403" s="2" t="s">
        <v>15</v>
      </c>
    </row>
    <row r="404" spans="1:10" ht="15.75" customHeight="1">
      <c r="A404" s="9">
        <v>2015</v>
      </c>
      <c r="B404" s="2" t="s">
        <v>117</v>
      </c>
      <c r="C404" s="2" t="s">
        <v>115</v>
      </c>
      <c r="D404" s="2" t="s">
        <v>116</v>
      </c>
      <c r="E404" s="3" t="s">
        <v>14</v>
      </c>
      <c r="F404" s="8">
        <v>499000</v>
      </c>
      <c r="G404" s="2" t="s">
        <v>117</v>
      </c>
      <c r="H404" s="2"/>
    </row>
    <row r="405" spans="1:10" ht="15.75" customHeight="1">
      <c r="A405" s="9">
        <v>2015</v>
      </c>
      <c r="B405" s="2" t="s">
        <v>117</v>
      </c>
      <c r="C405" s="2" t="s">
        <v>115</v>
      </c>
      <c r="D405" s="2" t="s">
        <v>116</v>
      </c>
      <c r="E405" s="3" t="s">
        <v>15</v>
      </c>
      <c r="F405" s="8">
        <v>10700000</v>
      </c>
      <c r="G405" s="2" t="s">
        <v>117</v>
      </c>
      <c r="H405" s="2"/>
    </row>
    <row r="406" spans="1:10" ht="15.75" customHeight="1">
      <c r="A406" s="9">
        <v>2015</v>
      </c>
      <c r="B406" s="3" t="s">
        <v>118</v>
      </c>
      <c r="C406" s="3" t="s">
        <v>115</v>
      </c>
      <c r="D406" s="2" t="s">
        <v>116</v>
      </c>
      <c r="E406" s="3" t="s">
        <v>14</v>
      </c>
      <c r="F406" s="8">
        <v>279208324</v>
      </c>
      <c r="G406" s="3" t="s">
        <v>118</v>
      </c>
      <c r="H406" s="2" t="s">
        <v>67</v>
      </c>
    </row>
    <row r="407" spans="1:10" ht="15.75" customHeight="1">
      <c r="A407" s="9">
        <v>2015</v>
      </c>
      <c r="B407" s="2" t="s">
        <v>118</v>
      </c>
      <c r="C407" s="2" t="s">
        <v>115</v>
      </c>
      <c r="D407" s="2" t="s">
        <v>116</v>
      </c>
      <c r="E407" s="3" t="s">
        <v>15</v>
      </c>
      <c r="F407" s="4">
        <v>336182831</v>
      </c>
      <c r="G407" s="2" t="s">
        <v>118</v>
      </c>
      <c r="H407" s="2" t="s">
        <v>67</v>
      </c>
      <c r="I407" s="15"/>
      <c r="J407" s="15"/>
    </row>
    <row r="408" spans="1:10" ht="15.75" customHeight="1">
      <c r="A408" s="9">
        <v>2015</v>
      </c>
      <c r="B408" s="2" t="s">
        <v>44</v>
      </c>
      <c r="C408" s="2" t="s">
        <v>44</v>
      </c>
      <c r="D408" s="14" t="s">
        <v>45</v>
      </c>
      <c r="E408" s="3" t="s">
        <v>15</v>
      </c>
      <c r="F408" s="8">
        <v>500000000</v>
      </c>
      <c r="G408" s="2" t="s">
        <v>44</v>
      </c>
      <c r="H408" s="2" t="s">
        <v>17</v>
      </c>
    </row>
    <row r="409" spans="1:10" ht="15.75" customHeight="1">
      <c r="A409" s="9">
        <v>2015</v>
      </c>
      <c r="B409" s="14" t="s">
        <v>119</v>
      </c>
      <c r="C409" s="14" t="s">
        <v>120</v>
      </c>
      <c r="D409" s="14" t="s">
        <v>121</v>
      </c>
      <c r="E409" s="3" t="s">
        <v>15</v>
      </c>
      <c r="F409" s="4">
        <v>18150794</v>
      </c>
      <c r="G409" s="14" t="s">
        <v>119</v>
      </c>
      <c r="H409" s="14" t="s">
        <v>13</v>
      </c>
    </row>
    <row r="410" spans="1:10" ht="15.75" customHeight="1">
      <c r="A410" s="9">
        <v>2015</v>
      </c>
      <c r="B410" s="14" t="s">
        <v>119</v>
      </c>
      <c r="C410" s="14" t="s">
        <v>120</v>
      </c>
      <c r="D410" s="14" t="s">
        <v>121</v>
      </c>
      <c r="E410" s="14" t="s">
        <v>14</v>
      </c>
      <c r="F410" s="4">
        <v>3379194</v>
      </c>
      <c r="G410" s="14" t="s">
        <v>119</v>
      </c>
      <c r="H410" s="14" t="s">
        <v>13</v>
      </c>
    </row>
    <row r="411" spans="1:10" ht="15.75" customHeight="1">
      <c r="A411" s="9">
        <v>2015</v>
      </c>
      <c r="B411" s="36" t="s">
        <v>122</v>
      </c>
      <c r="C411" s="25" t="s">
        <v>57</v>
      </c>
      <c r="D411" s="26" t="s">
        <v>58</v>
      </c>
      <c r="E411" s="26" t="s">
        <v>16</v>
      </c>
      <c r="F411" s="37">
        <v>741000</v>
      </c>
      <c r="G411" s="38" t="s">
        <v>122</v>
      </c>
      <c r="H411" s="30" t="s">
        <v>47</v>
      </c>
      <c r="I411" s="26"/>
      <c r="J411" s="26" t="s">
        <v>16</v>
      </c>
    </row>
    <row r="412" spans="1:10" ht="15.75" customHeight="1">
      <c r="A412" s="9">
        <v>2015</v>
      </c>
      <c r="B412" s="2" t="s">
        <v>123</v>
      </c>
      <c r="C412" s="2" t="s">
        <v>123</v>
      </c>
      <c r="D412" s="2" t="s">
        <v>124</v>
      </c>
      <c r="E412" s="3" t="s">
        <v>15</v>
      </c>
      <c r="F412" s="8">
        <v>620500000</v>
      </c>
      <c r="G412" s="2" t="s">
        <v>123</v>
      </c>
      <c r="H412" s="2" t="s">
        <v>17</v>
      </c>
    </row>
    <row r="413" spans="1:10" ht="15.75" customHeight="1">
      <c r="A413" s="9">
        <v>2015</v>
      </c>
      <c r="B413" s="26" t="s">
        <v>125</v>
      </c>
      <c r="C413" s="25" t="s">
        <v>74</v>
      </c>
      <c r="D413" s="26" t="s">
        <v>75</v>
      </c>
      <c r="E413" s="26" t="s">
        <v>16</v>
      </c>
      <c r="F413" s="39">
        <v>1150000</v>
      </c>
      <c r="G413" s="26" t="s">
        <v>125</v>
      </c>
      <c r="H413" s="26" t="s">
        <v>27</v>
      </c>
      <c r="I413" s="25" t="s">
        <v>28</v>
      </c>
      <c r="J413" s="26" t="s">
        <v>16</v>
      </c>
    </row>
    <row r="414" spans="1:10" ht="15.75" customHeight="1">
      <c r="A414" s="9">
        <v>2015</v>
      </c>
      <c r="B414" s="2" t="s">
        <v>126</v>
      </c>
      <c r="C414" s="2" t="s">
        <v>123</v>
      </c>
      <c r="D414" s="2" t="s">
        <v>124</v>
      </c>
      <c r="E414" s="3" t="s">
        <v>14</v>
      </c>
      <c r="F414" s="8">
        <v>4600000</v>
      </c>
      <c r="G414" s="2" t="s">
        <v>126</v>
      </c>
      <c r="H414" s="2" t="s">
        <v>17</v>
      </c>
    </row>
    <row r="415" spans="1:10" ht="15.75" customHeight="1">
      <c r="A415" s="9">
        <v>2015</v>
      </c>
      <c r="B415" s="2" t="s">
        <v>126</v>
      </c>
      <c r="C415" s="2" t="s">
        <v>123</v>
      </c>
      <c r="D415" s="2" t="s">
        <v>124</v>
      </c>
      <c r="E415" s="3" t="s">
        <v>15</v>
      </c>
      <c r="F415" s="8">
        <v>10200000</v>
      </c>
      <c r="G415" s="2" t="s">
        <v>126</v>
      </c>
      <c r="H415" s="2" t="s">
        <v>17</v>
      </c>
    </row>
    <row r="416" spans="1:10" ht="15.75" customHeight="1">
      <c r="A416" s="9">
        <v>2020</v>
      </c>
      <c r="B416" s="2" t="s">
        <v>127</v>
      </c>
      <c r="C416" s="2" t="s">
        <v>127</v>
      </c>
      <c r="D416" s="2" t="s">
        <v>128</v>
      </c>
      <c r="E416" s="3" t="s">
        <v>14</v>
      </c>
      <c r="F416" s="8">
        <v>57341522</v>
      </c>
      <c r="G416" s="2" t="s">
        <v>127</v>
      </c>
      <c r="H416" s="2" t="s">
        <v>13</v>
      </c>
    </row>
    <row r="417" spans="1:11" ht="15.75" customHeight="1">
      <c r="A417" s="9">
        <v>2020</v>
      </c>
      <c r="B417" s="2" t="s">
        <v>127</v>
      </c>
      <c r="C417" s="2" t="s">
        <v>127</v>
      </c>
      <c r="D417" s="2" t="s">
        <v>128</v>
      </c>
      <c r="E417" s="3" t="s">
        <v>15</v>
      </c>
      <c r="F417" s="8">
        <v>92362781</v>
      </c>
      <c r="G417" s="2" t="s">
        <v>127</v>
      </c>
      <c r="H417" s="2" t="s">
        <v>13</v>
      </c>
    </row>
    <row r="418" spans="1:11" ht="15.75" customHeight="1">
      <c r="A418" s="9">
        <v>2020</v>
      </c>
      <c r="B418" s="2" t="s">
        <v>127</v>
      </c>
      <c r="C418" s="2" t="s">
        <v>127</v>
      </c>
      <c r="D418" s="2" t="s">
        <v>128</v>
      </c>
      <c r="E418" s="2" t="s">
        <v>12</v>
      </c>
      <c r="F418" s="8">
        <v>848472</v>
      </c>
      <c r="G418" s="2" t="s">
        <v>127</v>
      </c>
      <c r="H418" s="2" t="s">
        <v>13</v>
      </c>
      <c r="I418" s="2"/>
      <c r="J418" s="2" t="s">
        <v>16</v>
      </c>
    </row>
    <row r="419" spans="1:11" ht="15.75" customHeight="1">
      <c r="A419" s="9">
        <v>2020</v>
      </c>
      <c r="B419" s="2" t="s">
        <v>127</v>
      </c>
      <c r="C419" s="2" t="s">
        <v>127</v>
      </c>
      <c r="D419" s="2" t="s">
        <v>128</v>
      </c>
      <c r="E419" s="3" t="s">
        <v>14</v>
      </c>
      <c r="F419" s="8">
        <v>88512172</v>
      </c>
      <c r="G419" s="2" t="s">
        <v>127</v>
      </c>
      <c r="H419" s="2" t="s">
        <v>13</v>
      </c>
    </row>
    <row r="420" spans="1:11" ht="15.75" customHeight="1">
      <c r="A420" s="9">
        <v>2020</v>
      </c>
      <c r="B420" s="2" t="s">
        <v>127</v>
      </c>
      <c r="C420" s="2" t="s">
        <v>127</v>
      </c>
      <c r="D420" s="2" t="s">
        <v>128</v>
      </c>
      <c r="E420" s="3" t="s">
        <v>15</v>
      </c>
      <c r="F420" s="8">
        <v>106793308</v>
      </c>
      <c r="G420" s="2" t="s">
        <v>127</v>
      </c>
      <c r="H420" s="2" t="s">
        <v>13</v>
      </c>
      <c r="K420" s="5"/>
    </row>
    <row r="421" spans="1:11" ht="15.75" customHeight="1">
      <c r="A421" s="9">
        <v>2020</v>
      </c>
      <c r="B421" s="2" t="s">
        <v>127</v>
      </c>
      <c r="C421" s="2" t="s">
        <v>127</v>
      </c>
      <c r="D421" s="2" t="s">
        <v>128</v>
      </c>
      <c r="E421" s="3" t="s">
        <v>12</v>
      </c>
      <c r="F421" s="8">
        <v>400000</v>
      </c>
      <c r="G421" s="2" t="s">
        <v>127</v>
      </c>
      <c r="H421" s="2" t="s">
        <v>13</v>
      </c>
      <c r="I421" s="3"/>
      <c r="J421" s="3" t="s">
        <v>16</v>
      </c>
    </row>
    <row r="422" spans="1:11" ht="15.75" customHeight="1">
      <c r="A422" s="9">
        <v>2020</v>
      </c>
      <c r="B422" s="2" t="s">
        <v>127</v>
      </c>
      <c r="C422" s="2" t="s">
        <v>127</v>
      </c>
      <c r="D422" s="2" t="s">
        <v>128</v>
      </c>
      <c r="E422" s="3" t="s">
        <v>14</v>
      </c>
      <c r="F422" s="8">
        <v>37700000</v>
      </c>
      <c r="G422" s="2" t="s">
        <v>127</v>
      </c>
      <c r="H422" s="2"/>
    </row>
    <row r="423" spans="1:11" ht="15.75" customHeight="1">
      <c r="A423" s="9">
        <v>2020</v>
      </c>
      <c r="B423" s="2" t="s">
        <v>127</v>
      </c>
      <c r="C423" s="2" t="s">
        <v>127</v>
      </c>
      <c r="D423" s="2" t="s">
        <v>128</v>
      </c>
      <c r="E423" s="3" t="s">
        <v>15</v>
      </c>
      <c r="F423" s="8">
        <v>90900000</v>
      </c>
      <c r="G423" s="2" t="s">
        <v>127</v>
      </c>
      <c r="H423" s="2"/>
    </row>
    <row r="424" spans="1:11" ht="15.75" customHeight="1">
      <c r="A424" s="9">
        <v>2020</v>
      </c>
      <c r="B424" s="2" t="s">
        <v>127</v>
      </c>
      <c r="C424" s="2" t="s">
        <v>127</v>
      </c>
      <c r="D424" s="2" t="s">
        <v>128</v>
      </c>
      <c r="E424" s="2" t="s">
        <v>16</v>
      </c>
      <c r="F424" s="8">
        <v>390000</v>
      </c>
      <c r="G424" s="2" t="s">
        <v>127</v>
      </c>
      <c r="H424" s="2"/>
      <c r="I424" s="2"/>
      <c r="J424" s="2" t="s">
        <v>16</v>
      </c>
    </row>
    <row r="425" spans="1:11" ht="15.75" customHeight="1">
      <c r="A425" s="9">
        <v>2020</v>
      </c>
      <c r="B425" s="2" t="s">
        <v>127</v>
      </c>
      <c r="C425" s="2" t="s">
        <v>127</v>
      </c>
      <c r="D425" s="2" t="s">
        <v>128</v>
      </c>
      <c r="E425" s="3" t="s">
        <v>14</v>
      </c>
      <c r="F425" s="8">
        <v>50800000</v>
      </c>
      <c r="G425" s="2" t="s">
        <v>127</v>
      </c>
      <c r="H425" s="2"/>
    </row>
    <row r="426" spans="1:11" ht="15.75" customHeight="1">
      <c r="A426" s="9">
        <v>2020</v>
      </c>
      <c r="B426" s="2" t="s">
        <v>127</v>
      </c>
      <c r="C426" s="2" t="s">
        <v>127</v>
      </c>
      <c r="D426" s="2" t="s">
        <v>128</v>
      </c>
      <c r="E426" s="3" t="s">
        <v>15</v>
      </c>
      <c r="F426" s="8">
        <v>94600000</v>
      </c>
      <c r="G426" s="2" t="s">
        <v>127</v>
      </c>
      <c r="H426" s="2"/>
    </row>
    <row r="427" spans="1:11" ht="15.75" customHeight="1">
      <c r="A427" s="9">
        <v>2020</v>
      </c>
      <c r="B427" s="2" t="s">
        <v>127</v>
      </c>
      <c r="C427" s="2" t="s">
        <v>127</v>
      </c>
      <c r="D427" s="2" t="s">
        <v>128</v>
      </c>
      <c r="E427" s="2" t="s">
        <v>16</v>
      </c>
      <c r="F427" s="8">
        <v>465000</v>
      </c>
      <c r="G427" s="2" t="s">
        <v>127</v>
      </c>
      <c r="H427" s="2"/>
      <c r="I427" s="2"/>
      <c r="J427" s="2" t="s">
        <v>16</v>
      </c>
    </row>
    <row r="428" spans="1:11" ht="15.75" customHeight="1">
      <c r="A428" s="9">
        <v>2020</v>
      </c>
      <c r="B428" s="2" t="s">
        <v>127</v>
      </c>
      <c r="C428" s="2" t="s">
        <v>127</v>
      </c>
      <c r="D428" s="2" t="s">
        <v>128</v>
      </c>
      <c r="E428" s="3" t="s">
        <v>14</v>
      </c>
      <c r="F428" s="8">
        <v>21300000</v>
      </c>
      <c r="G428" s="2" t="s">
        <v>127</v>
      </c>
      <c r="H428" s="2"/>
    </row>
    <row r="429" spans="1:11" ht="15.75" customHeight="1">
      <c r="A429" s="9">
        <v>2020</v>
      </c>
      <c r="B429" s="2" t="s">
        <v>127</v>
      </c>
      <c r="C429" s="2" t="s">
        <v>127</v>
      </c>
      <c r="D429" s="2" t="s">
        <v>128</v>
      </c>
      <c r="E429" s="3" t="s">
        <v>15</v>
      </c>
      <c r="F429" s="8">
        <v>89200000</v>
      </c>
      <c r="G429" s="2" t="s">
        <v>127</v>
      </c>
      <c r="H429" s="2"/>
    </row>
    <row r="430" spans="1:11" ht="15.75" customHeight="1">
      <c r="A430" s="9">
        <v>2020</v>
      </c>
      <c r="B430" s="2" t="s">
        <v>127</v>
      </c>
      <c r="C430" s="2" t="s">
        <v>127</v>
      </c>
      <c r="D430" s="2" t="s">
        <v>128</v>
      </c>
      <c r="E430" s="2" t="s">
        <v>16</v>
      </c>
      <c r="F430" s="8">
        <v>468000</v>
      </c>
      <c r="G430" s="2" t="s">
        <v>127</v>
      </c>
      <c r="H430" s="2"/>
      <c r="I430" s="2"/>
      <c r="J430" s="2" t="s">
        <v>16</v>
      </c>
    </row>
    <row r="431" spans="1:11" ht="15.75" customHeight="1">
      <c r="A431" s="9">
        <v>2020</v>
      </c>
      <c r="B431" s="2" t="s">
        <v>127</v>
      </c>
      <c r="C431" s="2" t="s">
        <v>127</v>
      </c>
      <c r="D431" s="2" t="s">
        <v>128</v>
      </c>
      <c r="E431" s="3" t="s">
        <v>14</v>
      </c>
      <c r="F431" s="8">
        <v>25200000</v>
      </c>
      <c r="G431" s="2" t="s">
        <v>127</v>
      </c>
      <c r="H431" s="2" t="s">
        <v>17</v>
      </c>
    </row>
    <row r="432" spans="1:11" ht="15.75" customHeight="1">
      <c r="A432" s="9">
        <v>2020</v>
      </c>
      <c r="B432" s="2" t="s">
        <v>127</v>
      </c>
      <c r="C432" s="2" t="s">
        <v>127</v>
      </c>
      <c r="D432" s="2" t="s">
        <v>128</v>
      </c>
      <c r="E432" s="3" t="s">
        <v>15</v>
      </c>
      <c r="F432" s="8">
        <v>74500000</v>
      </c>
      <c r="G432" s="2" t="s">
        <v>127</v>
      </c>
      <c r="H432" s="2" t="s">
        <v>17</v>
      </c>
    </row>
    <row r="433" spans="1:11" ht="15.75" customHeight="1">
      <c r="A433" s="9">
        <v>2020</v>
      </c>
      <c r="B433" s="2" t="s">
        <v>127</v>
      </c>
      <c r="C433" s="2" t="s">
        <v>127</v>
      </c>
      <c r="D433" s="2" t="s">
        <v>128</v>
      </c>
      <c r="E433" s="2" t="s">
        <v>16</v>
      </c>
      <c r="F433" s="8">
        <v>539000</v>
      </c>
      <c r="G433" s="2" t="s">
        <v>127</v>
      </c>
      <c r="H433" s="2" t="s">
        <v>17</v>
      </c>
      <c r="I433" s="2"/>
      <c r="J433" s="2" t="s">
        <v>16</v>
      </c>
    </row>
    <row r="434" spans="1:11" ht="15.75" customHeight="1">
      <c r="A434" s="9">
        <v>2020</v>
      </c>
      <c r="B434" s="2" t="s">
        <v>127</v>
      </c>
      <c r="C434" s="2" t="s">
        <v>127</v>
      </c>
      <c r="D434" s="2" t="s">
        <v>128</v>
      </c>
      <c r="E434" s="3" t="s">
        <v>14</v>
      </c>
      <c r="F434" s="8">
        <v>70600000</v>
      </c>
      <c r="G434" s="2" t="s">
        <v>127</v>
      </c>
      <c r="H434" s="2" t="s">
        <v>22</v>
      </c>
    </row>
    <row r="435" spans="1:11" ht="15.75" customHeight="1">
      <c r="A435" s="9">
        <v>2020</v>
      </c>
      <c r="B435" s="2" t="s">
        <v>127</v>
      </c>
      <c r="C435" s="16" t="s">
        <v>127</v>
      </c>
      <c r="D435" s="2" t="s">
        <v>128</v>
      </c>
      <c r="E435" s="3" t="s">
        <v>15</v>
      </c>
      <c r="F435" s="8">
        <v>116000000</v>
      </c>
      <c r="G435" s="16" t="s">
        <v>127</v>
      </c>
      <c r="H435" s="2" t="s">
        <v>22</v>
      </c>
    </row>
    <row r="436" spans="1:11" ht="15.75" customHeight="1">
      <c r="A436" s="9">
        <v>2020</v>
      </c>
      <c r="B436" s="2" t="s">
        <v>127</v>
      </c>
      <c r="C436" s="16" t="s">
        <v>127</v>
      </c>
      <c r="D436" s="2" t="s">
        <v>128</v>
      </c>
      <c r="E436" s="2" t="s">
        <v>16</v>
      </c>
      <c r="F436" s="8">
        <v>830000</v>
      </c>
      <c r="G436" s="16" t="s">
        <v>127</v>
      </c>
      <c r="H436" s="2" t="s">
        <v>22</v>
      </c>
      <c r="I436" s="2"/>
      <c r="J436" s="2" t="s">
        <v>16</v>
      </c>
      <c r="K436" s="5"/>
    </row>
    <row r="437" spans="1:11" ht="15.75" customHeight="1">
      <c r="A437" s="9">
        <v>2016</v>
      </c>
      <c r="B437" s="2" t="s">
        <v>129</v>
      </c>
      <c r="C437" s="2" t="s">
        <v>129</v>
      </c>
      <c r="D437" s="2" t="s">
        <v>130</v>
      </c>
      <c r="E437" s="3" t="s">
        <v>14</v>
      </c>
      <c r="F437" s="10">
        <v>152898473</v>
      </c>
      <c r="G437" s="2" t="s">
        <v>129</v>
      </c>
      <c r="H437" s="3" t="s">
        <v>13</v>
      </c>
      <c r="K437" s="6"/>
    </row>
    <row r="438" spans="1:11" ht="15.75" customHeight="1">
      <c r="A438" s="9">
        <v>2016</v>
      </c>
      <c r="B438" s="2" t="s">
        <v>129</v>
      </c>
      <c r="C438" s="2" t="s">
        <v>129</v>
      </c>
      <c r="D438" s="2" t="s">
        <v>130</v>
      </c>
      <c r="E438" s="3" t="s">
        <v>15</v>
      </c>
      <c r="F438" s="8">
        <v>214562367</v>
      </c>
      <c r="G438" s="2" t="s">
        <v>129</v>
      </c>
      <c r="H438" s="2" t="s">
        <v>13</v>
      </c>
    </row>
    <row r="439" spans="1:11" ht="15.75" customHeight="1">
      <c r="A439" s="9">
        <v>2016</v>
      </c>
      <c r="B439" s="2" t="s">
        <v>129</v>
      </c>
      <c r="C439" s="2" t="s">
        <v>129</v>
      </c>
      <c r="D439" s="2" t="s">
        <v>130</v>
      </c>
      <c r="E439" s="3" t="s">
        <v>12</v>
      </c>
      <c r="F439" s="8">
        <v>6903226</v>
      </c>
      <c r="G439" s="2" t="s">
        <v>129</v>
      </c>
      <c r="H439" s="2" t="s">
        <v>13</v>
      </c>
      <c r="I439" s="3"/>
      <c r="J439" s="3" t="s">
        <v>16</v>
      </c>
    </row>
    <row r="440" spans="1:11" ht="15.75" customHeight="1">
      <c r="A440" s="9">
        <v>2016</v>
      </c>
      <c r="B440" s="2" t="s">
        <v>129</v>
      </c>
      <c r="C440" s="2" t="s">
        <v>129</v>
      </c>
      <c r="D440" s="2" t="s">
        <v>130</v>
      </c>
      <c r="E440" s="3" t="s">
        <v>14</v>
      </c>
      <c r="F440" s="8">
        <v>264726309</v>
      </c>
      <c r="G440" s="2" t="s">
        <v>129</v>
      </c>
      <c r="H440" s="2" t="s">
        <v>13</v>
      </c>
    </row>
    <row r="441" spans="1:11" ht="15.75" customHeight="1">
      <c r="A441" s="9">
        <v>2016</v>
      </c>
      <c r="B441" s="2" t="s">
        <v>129</v>
      </c>
      <c r="C441" s="2" t="s">
        <v>129</v>
      </c>
      <c r="D441" s="2" t="s">
        <v>130</v>
      </c>
      <c r="E441" s="3" t="s">
        <v>15</v>
      </c>
      <c r="F441" s="8">
        <v>476926521</v>
      </c>
      <c r="G441" s="2" t="s">
        <v>129</v>
      </c>
      <c r="H441" s="2" t="s">
        <v>13</v>
      </c>
    </row>
    <row r="442" spans="1:11" ht="15.75" customHeight="1">
      <c r="A442" s="9">
        <v>2016</v>
      </c>
      <c r="B442" s="2" t="s">
        <v>129</v>
      </c>
      <c r="C442" s="2" t="s">
        <v>129</v>
      </c>
      <c r="D442" s="2" t="s">
        <v>130</v>
      </c>
      <c r="E442" s="3" t="s">
        <v>12</v>
      </c>
      <c r="F442" s="8">
        <v>3900000</v>
      </c>
      <c r="G442" s="2" t="s">
        <v>129</v>
      </c>
      <c r="H442" s="2" t="s">
        <v>13</v>
      </c>
      <c r="I442" s="3"/>
      <c r="J442" s="3" t="s">
        <v>16</v>
      </c>
    </row>
    <row r="443" spans="1:11" ht="15.75" customHeight="1">
      <c r="A443" s="9">
        <v>2016</v>
      </c>
      <c r="B443" s="2" t="s">
        <v>129</v>
      </c>
      <c r="C443" s="2" t="s">
        <v>129</v>
      </c>
      <c r="D443" s="2" t="s">
        <v>130</v>
      </c>
      <c r="E443" s="3" t="s">
        <v>14</v>
      </c>
      <c r="F443" s="8">
        <v>238700000</v>
      </c>
      <c r="G443" s="2" t="s">
        <v>129</v>
      </c>
      <c r="H443" s="2"/>
    </row>
    <row r="444" spans="1:11" ht="15.75" customHeight="1">
      <c r="A444" s="9">
        <v>2016</v>
      </c>
      <c r="B444" s="2" t="s">
        <v>129</v>
      </c>
      <c r="C444" s="2" t="s">
        <v>129</v>
      </c>
      <c r="D444" s="2" t="s">
        <v>130</v>
      </c>
      <c r="E444" s="3" t="s">
        <v>15</v>
      </c>
      <c r="F444" s="8">
        <v>481000000</v>
      </c>
      <c r="G444" s="2" t="s">
        <v>129</v>
      </c>
      <c r="H444" s="2"/>
    </row>
    <row r="445" spans="1:11" ht="15.75" customHeight="1">
      <c r="A445" s="9">
        <v>2016</v>
      </c>
      <c r="B445" s="2" t="s">
        <v>129</v>
      </c>
      <c r="C445" s="2" t="s">
        <v>129</v>
      </c>
      <c r="D445" s="2" t="s">
        <v>130</v>
      </c>
      <c r="E445" s="2" t="s">
        <v>16</v>
      </c>
      <c r="F445" s="8">
        <v>1600000</v>
      </c>
      <c r="G445" s="2" t="s">
        <v>129</v>
      </c>
      <c r="H445" s="2"/>
      <c r="I445" s="2"/>
      <c r="J445" s="2" t="s">
        <v>16</v>
      </c>
    </row>
    <row r="446" spans="1:11" ht="15.75" customHeight="1">
      <c r="A446" s="9">
        <v>2016</v>
      </c>
      <c r="B446" s="2" t="s">
        <v>129</v>
      </c>
      <c r="C446" s="16" t="s">
        <v>129</v>
      </c>
      <c r="D446" s="2" t="s">
        <v>130</v>
      </c>
      <c r="E446" s="3" t="s">
        <v>14</v>
      </c>
      <c r="F446" s="8">
        <v>128900000</v>
      </c>
      <c r="G446" s="16" t="s">
        <v>129</v>
      </c>
      <c r="H446" s="2"/>
    </row>
    <row r="447" spans="1:11" ht="15.75" customHeight="1">
      <c r="A447" s="9">
        <v>2016</v>
      </c>
      <c r="B447" s="2" t="s">
        <v>129</v>
      </c>
      <c r="C447" s="16" t="s">
        <v>129</v>
      </c>
      <c r="D447" s="2" t="s">
        <v>130</v>
      </c>
      <c r="E447" s="3" t="s">
        <v>15</v>
      </c>
      <c r="F447" s="8">
        <v>377400000</v>
      </c>
      <c r="G447" s="16" t="s">
        <v>129</v>
      </c>
      <c r="H447" s="2"/>
    </row>
    <row r="448" spans="1:11" ht="15.75" customHeight="1">
      <c r="A448" s="9">
        <v>2016</v>
      </c>
      <c r="B448" s="2" t="s">
        <v>129</v>
      </c>
      <c r="C448" s="2" t="s">
        <v>129</v>
      </c>
      <c r="D448" s="2" t="s">
        <v>130</v>
      </c>
      <c r="E448" s="2" t="s">
        <v>16</v>
      </c>
      <c r="F448" s="8">
        <v>1600000</v>
      </c>
      <c r="G448" s="2" t="s">
        <v>129</v>
      </c>
      <c r="H448" s="2"/>
      <c r="I448" s="2"/>
      <c r="J448" s="2" t="s">
        <v>16</v>
      </c>
    </row>
    <row r="449" spans="1:10" ht="15.75" customHeight="1">
      <c r="A449" s="9">
        <v>2016</v>
      </c>
      <c r="B449" s="2" t="s">
        <v>129</v>
      </c>
      <c r="C449" s="2" t="s">
        <v>129</v>
      </c>
      <c r="D449" s="2" t="s">
        <v>130</v>
      </c>
      <c r="E449" s="3" t="s">
        <v>14</v>
      </c>
      <c r="F449" s="8">
        <v>130800000.00000001</v>
      </c>
      <c r="G449" s="2" t="s">
        <v>129</v>
      </c>
      <c r="H449" s="2"/>
    </row>
    <row r="450" spans="1:10" ht="15.75" customHeight="1">
      <c r="A450" s="9">
        <v>2016</v>
      </c>
      <c r="B450" s="2" t="s">
        <v>129</v>
      </c>
      <c r="C450" s="2" t="s">
        <v>129</v>
      </c>
      <c r="D450" s="2" t="s">
        <v>130</v>
      </c>
      <c r="E450" s="3" t="s">
        <v>15</v>
      </c>
      <c r="F450" s="8">
        <v>354100000</v>
      </c>
      <c r="G450" s="2" t="s">
        <v>129</v>
      </c>
      <c r="H450" s="2"/>
    </row>
    <row r="451" spans="1:10" ht="15.75" customHeight="1">
      <c r="A451" s="9">
        <v>2016</v>
      </c>
      <c r="B451" s="2" t="s">
        <v>129</v>
      </c>
      <c r="C451" s="2" t="s">
        <v>129</v>
      </c>
      <c r="D451" s="2" t="s">
        <v>130</v>
      </c>
      <c r="E451" s="2" t="s">
        <v>16</v>
      </c>
      <c r="F451" s="8">
        <v>2300000</v>
      </c>
      <c r="G451" s="16" t="s">
        <v>129</v>
      </c>
      <c r="H451" s="2"/>
      <c r="I451" s="2"/>
      <c r="J451" s="2" t="s">
        <v>16</v>
      </c>
    </row>
    <row r="452" spans="1:10" ht="15.75" customHeight="1">
      <c r="A452" s="9">
        <v>2016</v>
      </c>
      <c r="B452" s="2" t="s">
        <v>129</v>
      </c>
      <c r="C452" s="2" t="s">
        <v>129</v>
      </c>
      <c r="D452" s="2" t="s">
        <v>130</v>
      </c>
      <c r="E452" s="3" t="s">
        <v>14</v>
      </c>
      <c r="F452" s="8">
        <v>129300000.00000001</v>
      </c>
      <c r="G452" s="16" t="s">
        <v>129</v>
      </c>
      <c r="H452" s="2" t="s">
        <v>17</v>
      </c>
    </row>
    <row r="453" spans="1:10" ht="15.75" customHeight="1">
      <c r="A453" s="9">
        <v>2016</v>
      </c>
      <c r="B453" s="2" t="s">
        <v>129</v>
      </c>
      <c r="C453" s="2" t="s">
        <v>129</v>
      </c>
      <c r="D453" s="2" t="s">
        <v>130</v>
      </c>
      <c r="E453" s="3" t="s">
        <v>15</v>
      </c>
      <c r="F453" s="8">
        <v>304700000</v>
      </c>
      <c r="G453" s="2" t="s">
        <v>129</v>
      </c>
      <c r="H453" s="2" t="s">
        <v>17</v>
      </c>
    </row>
    <row r="454" spans="1:10" ht="15.75" customHeight="1">
      <c r="A454" s="9">
        <v>2016</v>
      </c>
      <c r="B454" s="2" t="s">
        <v>129</v>
      </c>
      <c r="C454" s="2" t="s">
        <v>129</v>
      </c>
      <c r="D454" s="2" t="s">
        <v>130</v>
      </c>
      <c r="E454" s="2" t="s">
        <v>16</v>
      </c>
      <c r="F454" s="8">
        <v>3700000</v>
      </c>
      <c r="G454" s="2" t="s">
        <v>129</v>
      </c>
      <c r="H454" s="2" t="s">
        <v>17</v>
      </c>
      <c r="I454" s="2"/>
      <c r="J454" s="2" t="s">
        <v>16</v>
      </c>
    </row>
    <row r="455" spans="1:10" ht="15.75" customHeight="1">
      <c r="A455" s="9">
        <v>2016</v>
      </c>
      <c r="B455" s="2" t="s">
        <v>129</v>
      </c>
      <c r="C455" s="2" t="s">
        <v>129</v>
      </c>
      <c r="D455" s="2" t="s">
        <v>130</v>
      </c>
      <c r="E455" s="3" t="s">
        <v>14</v>
      </c>
      <c r="F455" s="8">
        <v>172500000</v>
      </c>
      <c r="G455" s="2" t="s">
        <v>129</v>
      </c>
      <c r="H455" s="2" t="s">
        <v>17</v>
      </c>
    </row>
    <row r="456" spans="1:10" ht="15.75" customHeight="1">
      <c r="A456" s="9">
        <v>2016</v>
      </c>
      <c r="B456" s="2" t="s">
        <v>129</v>
      </c>
      <c r="C456" s="2" t="s">
        <v>129</v>
      </c>
      <c r="D456" s="2" t="s">
        <v>130</v>
      </c>
      <c r="E456" s="3" t="s">
        <v>15</v>
      </c>
      <c r="F456" s="8">
        <v>329600000</v>
      </c>
      <c r="G456" s="2" t="s">
        <v>129</v>
      </c>
      <c r="H456" s="2" t="s">
        <v>17</v>
      </c>
    </row>
    <row r="457" spans="1:10" ht="15.75" customHeight="1">
      <c r="A457" s="9">
        <v>2016</v>
      </c>
      <c r="B457" s="2" t="s">
        <v>129</v>
      </c>
      <c r="C457" s="2" t="s">
        <v>129</v>
      </c>
      <c r="D457" s="2" t="s">
        <v>130</v>
      </c>
      <c r="E457" s="2" t="s">
        <v>16</v>
      </c>
      <c r="F457" s="8">
        <v>5200000</v>
      </c>
      <c r="G457" s="2" t="s">
        <v>129</v>
      </c>
      <c r="H457" s="2" t="s">
        <v>17</v>
      </c>
      <c r="I457" s="2"/>
      <c r="J457" s="2" t="s">
        <v>16</v>
      </c>
    </row>
    <row r="458" spans="1:10" ht="15.75" customHeight="1">
      <c r="A458" s="9">
        <v>2016</v>
      </c>
      <c r="B458" s="25" t="s">
        <v>131</v>
      </c>
      <c r="C458" s="24" t="s">
        <v>74</v>
      </c>
      <c r="D458" s="26" t="s">
        <v>75</v>
      </c>
      <c r="E458" s="26" t="s">
        <v>16</v>
      </c>
      <c r="F458" s="40">
        <v>150000</v>
      </c>
      <c r="G458" s="25" t="s">
        <v>131</v>
      </c>
      <c r="H458" s="26" t="s">
        <v>132</v>
      </c>
      <c r="I458" s="26"/>
      <c r="J458" s="26" t="s">
        <v>16</v>
      </c>
    </row>
    <row r="459" spans="1:10" ht="15.75" customHeight="1">
      <c r="A459" s="9">
        <v>2016</v>
      </c>
      <c r="B459" s="2" t="s">
        <v>129</v>
      </c>
      <c r="C459" s="2" t="s">
        <v>129</v>
      </c>
      <c r="D459" s="2" t="s">
        <v>130</v>
      </c>
      <c r="E459" s="3" t="s">
        <v>15</v>
      </c>
      <c r="F459" s="8">
        <v>324000000</v>
      </c>
      <c r="G459" s="16" t="s">
        <v>129</v>
      </c>
      <c r="H459" s="2" t="s">
        <v>17</v>
      </c>
    </row>
    <row r="460" spans="1:10" ht="15.75" customHeight="1">
      <c r="A460" s="9">
        <v>2016</v>
      </c>
      <c r="B460" s="2" t="s">
        <v>133</v>
      </c>
      <c r="C460" s="3" t="s">
        <v>134</v>
      </c>
      <c r="D460" s="2" t="s">
        <v>135</v>
      </c>
      <c r="E460" s="2" t="s">
        <v>16</v>
      </c>
      <c r="F460" s="4">
        <v>9000000</v>
      </c>
      <c r="G460" s="16" t="s">
        <v>133</v>
      </c>
      <c r="H460" s="2" t="s">
        <v>27</v>
      </c>
      <c r="I460" s="3" t="s">
        <v>28</v>
      </c>
      <c r="J460" s="2" t="s">
        <v>16</v>
      </c>
    </row>
    <row r="461" spans="1:10" ht="15.75" customHeight="1">
      <c r="A461" s="9">
        <v>2016</v>
      </c>
      <c r="B461" s="2" t="s">
        <v>78</v>
      </c>
      <c r="C461" s="2" t="s">
        <v>78</v>
      </c>
      <c r="D461" s="2" t="s">
        <v>79</v>
      </c>
      <c r="E461" s="3" t="s">
        <v>14</v>
      </c>
      <c r="F461" s="8">
        <v>646600000</v>
      </c>
      <c r="G461" s="2" t="s">
        <v>78</v>
      </c>
      <c r="H461" s="2" t="s">
        <v>17</v>
      </c>
    </row>
    <row r="462" spans="1:10" ht="15.75" customHeight="1">
      <c r="A462" s="9">
        <v>2016</v>
      </c>
      <c r="B462" s="2" t="s">
        <v>78</v>
      </c>
      <c r="C462" s="16" t="s">
        <v>78</v>
      </c>
      <c r="D462" s="2" t="s">
        <v>79</v>
      </c>
      <c r="E462" s="2" t="s">
        <v>16</v>
      </c>
      <c r="F462" s="8">
        <v>8900000</v>
      </c>
      <c r="G462" s="16" t="s">
        <v>78</v>
      </c>
      <c r="H462" s="2" t="s">
        <v>17</v>
      </c>
      <c r="I462" s="2"/>
      <c r="J462" s="2" t="s">
        <v>16</v>
      </c>
    </row>
    <row r="463" spans="1:10" ht="15.75" customHeight="1">
      <c r="A463" s="9">
        <v>2016</v>
      </c>
      <c r="B463" s="2" t="s">
        <v>136</v>
      </c>
      <c r="C463" s="2" t="s">
        <v>136</v>
      </c>
      <c r="D463" s="2" t="s">
        <v>137</v>
      </c>
      <c r="E463" s="3" t="s">
        <v>14</v>
      </c>
      <c r="F463" s="8">
        <v>129000000</v>
      </c>
      <c r="G463" s="2" t="s">
        <v>136</v>
      </c>
      <c r="H463" s="2"/>
    </row>
    <row r="464" spans="1:10" ht="15.75" customHeight="1">
      <c r="A464" s="9">
        <v>2016</v>
      </c>
      <c r="B464" s="2" t="s">
        <v>136</v>
      </c>
      <c r="C464" s="2" t="s">
        <v>136</v>
      </c>
      <c r="D464" s="2" t="s">
        <v>137</v>
      </c>
      <c r="E464" s="3" t="s">
        <v>15</v>
      </c>
      <c r="F464" s="8">
        <v>192000000</v>
      </c>
      <c r="G464" s="2" t="s">
        <v>136</v>
      </c>
      <c r="H464" s="2"/>
    </row>
    <row r="465" spans="1:11" ht="15.75" customHeight="1">
      <c r="A465" s="9">
        <v>2016</v>
      </c>
      <c r="B465" s="2" t="s">
        <v>136</v>
      </c>
      <c r="C465" s="2" t="s">
        <v>136</v>
      </c>
      <c r="D465" s="2" t="s">
        <v>137</v>
      </c>
      <c r="E465" s="2" t="s">
        <v>16</v>
      </c>
      <c r="F465" s="8">
        <v>909000</v>
      </c>
      <c r="G465" s="2" t="s">
        <v>136</v>
      </c>
      <c r="H465" s="2"/>
      <c r="I465" s="2"/>
      <c r="J465" s="2" t="s">
        <v>16</v>
      </c>
    </row>
    <row r="466" spans="1:11" ht="15.75" customHeight="1">
      <c r="A466" s="9">
        <v>2016</v>
      </c>
      <c r="B466" s="2" t="s">
        <v>136</v>
      </c>
      <c r="C466" s="2" t="s">
        <v>136</v>
      </c>
      <c r="D466" s="2" t="s">
        <v>137</v>
      </c>
      <c r="E466" s="3" t="s">
        <v>14</v>
      </c>
      <c r="F466" s="8">
        <v>124800000</v>
      </c>
      <c r="G466" s="2" t="s">
        <v>136</v>
      </c>
      <c r="H466" s="2"/>
    </row>
    <row r="467" spans="1:11" ht="15.75" customHeight="1">
      <c r="A467" s="9">
        <v>2016</v>
      </c>
      <c r="B467" s="2" t="s">
        <v>136</v>
      </c>
      <c r="C467" s="2" t="s">
        <v>136</v>
      </c>
      <c r="D467" s="2" t="s">
        <v>137</v>
      </c>
      <c r="E467" s="3" t="s">
        <v>15</v>
      </c>
      <c r="F467" s="8">
        <v>265000000</v>
      </c>
      <c r="G467" s="2" t="s">
        <v>136</v>
      </c>
      <c r="H467" s="2"/>
    </row>
    <row r="468" spans="1:11" ht="15.75" customHeight="1">
      <c r="A468" s="9">
        <v>2016</v>
      </c>
      <c r="B468" s="2" t="s">
        <v>136</v>
      </c>
      <c r="C468" s="2" t="s">
        <v>136</v>
      </c>
      <c r="D468" s="2" t="s">
        <v>137</v>
      </c>
      <c r="E468" s="2" t="s">
        <v>16</v>
      </c>
      <c r="F468" s="8">
        <v>540700</v>
      </c>
      <c r="G468" s="2" t="s">
        <v>136</v>
      </c>
      <c r="H468" s="2"/>
      <c r="I468" s="2"/>
      <c r="J468" s="2" t="s">
        <v>16</v>
      </c>
    </row>
    <row r="469" spans="1:11" ht="15.75" customHeight="1">
      <c r="A469" s="9">
        <v>2016</v>
      </c>
      <c r="B469" s="2" t="s">
        <v>136</v>
      </c>
      <c r="C469" s="2" t="s">
        <v>136</v>
      </c>
      <c r="D469" s="2" t="s">
        <v>137</v>
      </c>
      <c r="E469" s="3" t="s">
        <v>14</v>
      </c>
      <c r="F469" s="8">
        <v>98200000</v>
      </c>
      <c r="G469" s="2" t="s">
        <v>136</v>
      </c>
      <c r="H469" s="2"/>
    </row>
    <row r="470" spans="1:11" ht="15.75" customHeight="1">
      <c r="A470" s="9">
        <v>2016</v>
      </c>
      <c r="B470" s="2" t="s">
        <v>136</v>
      </c>
      <c r="C470" s="2" t="s">
        <v>136</v>
      </c>
      <c r="D470" s="2" t="s">
        <v>137</v>
      </c>
      <c r="E470" s="3" t="s">
        <v>15</v>
      </c>
      <c r="F470" s="8">
        <v>189500000</v>
      </c>
      <c r="G470" s="2" t="s">
        <v>136</v>
      </c>
      <c r="H470" s="2"/>
    </row>
    <row r="471" spans="1:11" ht="15.75" customHeight="1">
      <c r="A471" s="9">
        <v>2016</v>
      </c>
      <c r="B471" s="2" t="s">
        <v>136</v>
      </c>
      <c r="C471" s="2" t="s">
        <v>136</v>
      </c>
      <c r="D471" s="2" t="s">
        <v>137</v>
      </c>
      <c r="E471" s="2" t="s">
        <v>16</v>
      </c>
      <c r="F471" s="8">
        <v>563000</v>
      </c>
      <c r="G471" s="2" t="s">
        <v>136</v>
      </c>
      <c r="H471" s="2"/>
      <c r="I471" s="2"/>
      <c r="J471" s="2" t="s">
        <v>16</v>
      </c>
    </row>
    <row r="472" spans="1:11" ht="15.75" customHeight="1">
      <c r="A472" s="9">
        <v>2016</v>
      </c>
      <c r="B472" s="2" t="s">
        <v>136</v>
      </c>
      <c r="C472" s="2" t="s">
        <v>136</v>
      </c>
      <c r="D472" s="2" t="s">
        <v>137</v>
      </c>
      <c r="E472" s="3" t="s">
        <v>14</v>
      </c>
      <c r="F472" s="8">
        <v>97700000</v>
      </c>
      <c r="G472" s="2" t="s">
        <v>136</v>
      </c>
      <c r="H472" s="2" t="s">
        <v>17</v>
      </c>
    </row>
    <row r="473" spans="1:11" ht="15.75" customHeight="1">
      <c r="A473" s="9">
        <v>2016</v>
      </c>
      <c r="B473" s="2" t="s">
        <v>136</v>
      </c>
      <c r="C473" s="2" t="s">
        <v>136</v>
      </c>
      <c r="D473" s="2" t="s">
        <v>137</v>
      </c>
      <c r="E473" s="3" t="s">
        <v>15</v>
      </c>
      <c r="F473" s="8">
        <v>150300000</v>
      </c>
      <c r="G473" s="2" t="s">
        <v>136</v>
      </c>
      <c r="H473" s="2" t="s">
        <v>17</v>
      </c>
    </row>
    <row r="474" spans="1:11" ht="15.75" customHeight="1">
      <c r="A474" s="9">
        <v>2016</v>
      </c>
      <c r="B474" s="2" t="s">
        <v>136</v>
      </c>
      <c r="C474" s="2" t="s">
        <v>136</v>
      </c>
      <c r="D474" s="2" t="s">
        <v>137</v>
      </c>
      <c r="E474" s="2" t="s">
        <v>16</v>
      </c>
      <c r="F474" s="8">
        <v>525000</v>
      </c>
      <c r="G474" s="2" t="s">
        <v>136</v>
      </c>
      <c r="H474" s="2" t="s">
        <v>17</v>
      </c>
      <c r="I474" s="2"/>
      <c r="J474" s="2" t="s">
        <v>16</v>
      </c>
    </row>
    <row r="475" spans="1:11" ht="15.75" customHeight="1">
      <c r="A475" s="9">
        <v>2016</v>
      </c>
      <c r="B475" s="2" t="s">
        <v>136</v>
      </c>
      <c r="C475" s="2" t="s">
        <v>136</v>
      </c>
      <c r="D475" s="2" t="s">
        <v>137</v>
      </c>
      <c r="E475" s="3" t="s">
        <v>14</v>
      </c>
      <c r="F475" s="8">
        <v>124900000</v>
      </c>
      <c r="G475" s="2" t="s">
        <v>136</v>
      </c>
      <c r="H475" s="2" t="s">
        <v>17</v>
      </c>
    </row>
    <row r="476" spans="1:11" ht="15.75" customHeight="1">
      <c r="A476" s="9">
        <v>2016</v>
      </c>
      <c r="B476" s="2" t="s">
        <v>136</v>
      </c>
      <c r="C476" s="2" t="s">
        <v>136</v>
      </c>
      <c r="D476" s="2" t="s">
        <v>137</v>
      </c>
      <c r="E476" s="3" t="s">
        <v>15</v>
      </c>
      <c r="F476" s="8">
        <v>183400000</v>
      </c>
      <c r="G476" s="2" t="s">
        <v>136</v>
      </c>
      <c r="H476" s="2" t="s">
        <v>17</v>
      </c>
    </row>
    <row r="477" spans="1:11" ht="15.75" customHeight="1">
      <c r="A477" s="9">
        <v>2016</v>
      </c>
      <c r="B477" s="2" t="s">
        <v>136</v>
      </c>
      <c r="C477" s="2" t="s">
        <v>136</v>
      </c>
      <c r="D477" s="2" t="s">
        <v>137</v>
      </c>
      <c r="E477" s="2" t="s">
        <v>16</v>
      </c>
      <c r="F477" s="8">
        <v>863000</v>
      </c>
      <c r="G477" s="2" t="s">
        <v>136</v>
      </c>
      <c r="H477" s="2" t="s">
        <v>17</v>
      </c>
      <c r="I477" s="2"/>
      <c r="J477" s="2" t="s">
        <v>16</v>
      </c>
      <c r="K477" s="5"/>
    </row>
    <row r="478" spans="1:11" ht="15.75" customHeight="1">
      <c r="A478" s="9">
        <v>2016</v>
      </c>
      <c r="B478" s="17" t="s">
        <v>78</v>
      </c>
      <c r="C478" s="17" t="s">
        <v>78</v>
      </c>
      <c r="D478" s="3" t="s">
        <v>79</v>
      </c>
      <c r="E478" s="2" t="s">
        <v>16</v>
      </c>
      <c r="F478" s="12">
        <v>19200000</v>
      </c>
      <c r="G478" s="17" t="s">
        <v>78</v>
      </c>
      <c r="H478" s="2" t="s">
        <v>17</v>
      </c>
      <c r="I478" s="3"/>
      <c r="J478" s="2" t="s">
        <v>16</v>
      </c>
    </row>
    <row r="479" spans="1:11" ht="15.75" customHeight="1">
      <c r="A479" s="9">
        <v>2016</v>
      </c>
      <c r="B479" s="2" t="s">
        <v>136</v>
      </c>
      <c r="C479" s="2" t="s">
        <v>136</v>
      </c>
      <c r="D479" s="2" t="s">
        <v>137</v>
      </c>
      <c r="E479" s="3" t="s">
        <v>15</v>
      </c>
      <c r="F479" s="8">
        <v>214400000</v>
      </c>
      <c r="G479" s="2" t="s">
        <v>136</v>
      </c>
      <c r="H479" s="2" t="s">
        <v>17</v>
      </c>
    </row>
    <row r="480" spans="1:11" ht="15.75" customHeight="1">
      <c r="A480" s="9">
        <v>2016</v>
      </c>
      <c r="B480" s="11" t="s">
        <v>10</v>
      </c>
      <c r="C480" s="41" t="s">
        <v>10</v>
      </c>
      <c r="D480" s="3" t="s">
        <v>11</v>
      </c>
      <c r="E480" s="2" t="s">
        <v>16</v>
      </c>
      <c r="F480" s="42">
        <v>18400000</v>
      </c>
      <c r="G480" s="41" t="s">
        <v>10</v>
      </c>
      <c r="H480" s="2" t="s">
        <v>17</v>
      </c>
      <c r="I480" s="3" t="s">
        <v>28</v>
      </c>
      <c r="J480" s="2" t="s">
        <v>16</v>
      </c>
    </row>
    <row r="481" spans="1:11" ht="15.75" customHeight="1">
      <c r="A481" s="9">
        <v>2016</v>
      </c>
      <c r="B481" s="2" t="s">
        <v>136</v>
      </c>
      <c r="C481" s="3" t="s">
        <v>136</v>
      </c>
      <c r="D481" s="2" t="s">
        <v>137</v>
      </c>
      <c r="E481" s="2" t="s">
        <v>14</v>
      </c>
      <c r="F481" s="8">
        <v>26977971</v>
      </c>
      <c r="G481" s="2" t="s">
        <v>138</v>
      </c>
      <c r="H481" s="2" t="s">
        <v>22</v>
      </c>
    </row>
    <row r="482" spans="1:11" ht="15.75" customHeight="1">
      <c r="A482" s="9">
        <v>2016</v>
      </c>
      <c r="B482" s="2" t="s">
        <v>136</v>
      </c>
      <c r="C482" s="3" t="s">
        <v>136</v>
      </c>
      <c r="D482" s="2" t="s">
        <v>137</v>
      </c>
      <c r="E482" s="3" t="s">
        <v>15</v>
      </c>
      <c r="F482" s="8">
        <v>51297000</v>
      </c>
      <c r="G482" s="2" t="s">
        <v>138</v>
      </c>
      <c r="H482" s="2" t="s">
        <v>22</v>
      </c>
    </row>
    <row r="483" spans="1:11" ht="15.75" customHeight="1">
      <c r="A483" s="9">
        <v>2016</v>
      </c>
      <c r="B483" s="2" t="s">
        <v>136</v>
      </c>
      <c r="C483" s="3" t="s">
        <v>136</v>
      </c>
      <c r="D483" s="2" t="s">
        <v>137</v>
      </c>
      <c r="E483" s="2" t="s">
        <v>14</v>
      </c>
      <c r="F483" s="8">
        <v>89055457</v>
      </c>
      <c r="G483" s="2" t="s">
        <v>139</v>
      </c>
      <c r="H483" s="2" t="s">
        <v>22</v>
      </c>
    </row>
    <row r="484" spans="1:11" ht="15.75" customHeight="1">
      <c r="A484" s="9">
        <v>2016</v>
      </c>
      <c r="B484" s="2" t="s">
        <v>136</v>
      </c>
      <c r="C484" s="3" t="s">
        <v>136</v>
      </c>
      <c r="D484" s="2" t="s">
        <v>137</v>
      </c>
      <c r="E484" s="3" t="s">
        <v>15</v>
      </c>
      <c r="F484" s="8">
        <v>109309173</v>
      </c>
      <c r="G484" s="2" t="s">
        <v>139</v>
      </c>
      <c r="H484" s="2" t="s">
        <v>22</v>
      </c>
    </row>
    <row r="485" spans="1:11" ht="15.75" customHeight="1">
      <c r="A485" s="9">
        <v>2016</v>
      </c>
      <c r="B485" s="3" t="s">
        <v>140</v>
      </c>
      <c r="C485" s="3" t="s">
        <v>141</v>
      </c>
      <c r="D485" s="2" t="s">
        <v>142</v>
      </c>
      <c r="E485" s="3" t="s">
        <v>14</v>
      </c>
      <c r="F485" s="8">
        <v>1682185</v>
      </c>
      <c r="G485" s="3" t="s">
        <v>140</v>
      </c>
      <c r="H485" s="2" t="s">
        <v>67</v>
      </c>
    </row>
    <row r="486" spans="1:11" ht="15.75" customHeight="1">
      <c r="A486" s="9">
        <v>2016</v>
      </c>
      <c r="B486" s="2" t="s">
        <v>140</v>
      </c>
      <c r="C486" s="3" t="s">
        <v>141</v>
      </c>
      <c r="D486" s="2" t="s">
        <v>142</v>
      </c>
      <c r="E486" s="3" t="s">
        <v>15</v>
      </c>
      <c r="F486" s="4">
        <v>3798201</v>
      </c>
      <c r="G486" s="2" t="s">
        <v>140</v>
      </c>
      <c r="H486" s="2" t="s">
        <v>67</v>
      </c>
      <c r="I486" s="15"/>
      <c r="J486" s="15"/>
    </row>
    <row r="487" spans="1:11" ht="15.75" customHeight="1">
      <c r="A487" s="9">
        <v>2016</v>
      </c>
      <c r="B487" s="17" t="s">
        <v>80</v>
      </c>
      <c r="C487" s="17" t="s">
        <v>80</v>
      </c>
      <c r="D487" s="3" t="s">
        <v>81</v>
      </c>
      <c r="E487" s="2" t="s">
        <v>15</v>
      </c>
      <c r="F487" s="12">
        <v>300000000</v>
      </c>
      <c r="G487" s="17" t="s">
        <v>80</v>
      </c>
      <c r="H487" s="2" t="s">
        <v>23</v>
      </c>
      <c r="I487" s="3"/>
      <c r="J487" s="2" t="s">
        <v>15</v>
      </c>
    </row>
    <row r="488" spans="1:11" ht="15.75" customHeight="1">
      <c r="A488" s="9">
        <v>2016</v>
      </c>
      <c r="B488" s="3" t="s">
        <v>143</v>
      </c>
      <c r="C488" s="2" t="s">
        <v>143</v>
      </c>
      <c r="D488" s="2" t="s">
        <v>144</v>
      </c>
      <c r="E488" s="3" t="s">
        <v>12</v>
      </c>
      <c r="F488" s="8">
        <v>1627000</v>
      </c>
      <c r="G488" s="3" t="s">
        <v>143</v>
      </c>
      <c r="H488" s="2" t="s">
        <v>13</v>
      </c>
      <c r="I488" s="3"/>
      <c r="J488" s="3" t="s">
        <v>16</v>
      </c>
    </row>
    <row r="489" spans="1:11" ht="15.75" customHeight="1">
      <c r="A489" s="9">
        <v>2016</v>
      </c>
      <c r="B489" s="2" t="s">
        <v>143</v>
      </c>
      <c r="C489" s="2" t="s">
        <v>143</v>
      </c>
      <c r="D489" s="2" t="s">
        <v>144</v>
      </c>
      <c r="E489" s="3" t="s">
        <v>14</v>
      </c>
      <c r="F489" s="8">
        <v>312729054</v>
      </c>
      <c r="G489" s="2" t="s">
        <v>143</v>
      </c>
      <c r="H489" s="2" t="s">
        <v>13</v>
      </c>
    </row>
    <row r="490" spans="1:11" ht="15.75" customHeight="1">
      <c r="A490" s="9">
        <v>2016</v>
      </c>
      <c r="B490" s="2" t="s">
        <v>143</v>
      </c>
      <c r="C490" s="2" t="s">
        <v>143</v>
      </c>
      <c r="D490" s="2" t="s">
        <v>144</v>
      </c>
      <c r="E490" s="3" t="s">
        <v>15</v>
      </c>
      <c r="F490" s="8">
        <v>489640803</v>
      </c>
      <c r="G490" s="2" t="s">
        <v>143</v>
      </c>
      <c r="H490" s="2" t="s">
        <v>13</v>
      </c>
    </row>
    <row r="491" spans="1:11" ht="15.75" customHeight="1">
      <c r="A491" s="9">
        <v>2016</v>
      </c>
      <c r="B491" s="2" t="s">
        <v>143</v>
      </c>
      <c r="C491" s="2" t="s">
        <v>143</v>
      </c>
      <c r="D491" s="2" t="s">
        <v>144</v>
      </c>
      <c r="E491" s="2" t="s">
        <v>12</v>
      </c>
      <c r="F491" s="8">
        <v>6400000</v>
      </c>
      <c r="G491" s="2" t="s">
        <v>143</v>
      </c>
      <c r="H491" s="2" t="s">
        <v>13</v>
      </c>
      <c r="I491" s="2"/>
      <c r="J491" s="2" t="s">
        <v>16</v>
      </c>
    </row>
    <row r="492" spans="1:11" ht="15.75" customHeight="1">
      <c r="A492" s="9">
        <v>2016</v>
      </c>
      <c r="B492" s="2" t="s">
        <v>143</v>
      </c>
      <c r="C492" s="2" t="s">
        <v>143</v>
      </c>
      <c r="D492" s="2" t="s">
        <v>144</v>
      </c>
      <c r="E492" s="3" t="s">
        <v>14</v>
      </c>
      <c r="F492" s="8">
        <v>288128878</v>
      </c>
      <c r="G492" s="2" t="s">
        <v>143</v>
      </c>
      <c r="H492" s="2" t="s">
        <v>13</v>
      </c>
      <c r="I492" s="5"/>
      <c r="J492" s="5"/>
      <c r="K492" s="5"/>
    </row>
    <row r="493" spans="1:11" ht="15.75" customHeight="1">
      <c r="A493" s="9">
        <v>2016</v>
      </c>
      <c r="B493" s="2" t="s">
        <v>145</v>
      </c>
      <c r="C493" s="2" t="s">
        <v>145</v>
      </c>
      <c r="D493" s="2" t="s">
        <v>146</v>
      </c>
      <c r="E493" s="2" t="s">
        <v>16</v>
      </c>
      <c r="F493" s="8">
        <v>2800000</v>
      </c>
      <c r="G493" s="2" t="s">
        <v>145</v>
      </c>
      <c r="H493" s="2"/>
      <c r="I493" s="2"/>
      <c r="J493" s="2" t="s">
        <v>16</v>
      </c>
    </row>
    <row r="494" spans="1:11" ht="15.75" customHeight="1">
      <c r="A494" s="9">
        <v>2016</v>
      </c>
      <c r="B494" s="2" t="s">
        <v>147</v>
      </c>
      <c r="C494" s="2" t="s">
        <v>145</v>
      </c>
      <c r="D494" s="2" t="s">
        <v>146</v>
      </c>
      <c r="E494" s="3" t="s">
        <v>14</v>
      </c>
      <c r="F494" s="8">
        <v>272400000</v>
      </c>
      <c r="G494" s="2" t="s">
        <v>145</v>
      </c>
      <c r="H494" s="2"/>
    </row>
    <row r="495" spans="1:11" ht="15.75" customHeight="1">
      <c r="A495" s="9">
        <v>2016</v>
      </c>
      <c r="B495" s="2" t="s">
        <v>147</v>
      </c>
      <c r="C495" s="2" t="s">
        <v>145</v>
      </c>
      <c r="D495" s="2" t="s">
        <v>146</v>
      </c>
      <c r="E495" s="3" t="s">
        <v>15</v>
      </c>
      <c r="F495" s="8">
        <v>421900000</v>
      </c>
      <c r="G495" s="2" t="s">
        <v>145</v>
      </c>
      <c r="H495" s="2"/>
    </row>
    <row r="496" spans="1:11" ht="15.75" customHeight="1">
      <c r="A496" s="9">
        <v>2016</v>
      </c>
      <c r="B496" s="14" t="s">
        <v>148</v>
      </c>
      <c r="C496" s="14" t="s">
        <v>145</v>
      </c>
      <c r="D496" s="2" t="s">
        <v>146</v>
      </c>
      <c r="E496" s="14" t="s">
        <v>14</v>
      </c>
      <c r="F496" s="4">
        <v>70319785</v>
      </c>
      <c r="G496" s="14" t="s">
        <v>148</v>
      </c>
      <c r="H496" s="14" t="s">
        <v>22</v>
      </c>
    </row>
    <row r="497" spans="1:11" ht="15.75" customHeight="1">
      <c r="A497" s="9">
        <v>2016</v>
      </c>
      <c r="B497" s="14" t="s">
        <v>148</v>
      </c>
      <c r="C497" s="14" t="s">
        <v>145</v>
      </c>
      <c r="D497" s="2" t="s">
        <v>146</v>
      </c>
      <c r="E497" s="3" t="s">
        <v>15</v>
      </c>
      <c r="F497" s="4">
        <v>125049126</v>
      </c>
      <c r="G497" s="14" t="s">
        <v>148</v>
      </c>
      <c r="H497" s="14" t="s">
        <v>22</v>
      </c>
    </row>
    <row r="498" spans="1:11" ht="15.75" customHeight="1">
      <c r="A498" s="9">
        <v>2016</v>
      </c>
      <c r="B498" s="2" t="s">
        <v>143</v>
      </c>
      <c r="C498" s="2" t="s">
        <v>143</v>
      </c>
      <c r="D498" s="2" t="s">
        <v>144</v>
      </c>
      <c r="E498" s="3" t="s">
        <v>15</v>
      </c>
      <c r="F498" s="10">
        <v>355277959</v>
      </c>
      <c r="G498" s="2" t="s">
        <v>143</v>
      </c>
      <c r="H498" s="3" t="s">
        <v>13</v>
      </c>
      <c r="I498" s="15"/>
      <c r="J498" s="15"/>
      <c r="K498" s="6"/>
    </row>
    <row r="499" spans="1:11" ht="15.75" customHeight="1">
      <c r="A499" s="9">
        <v>2016</v>
      </c>
      <c r="B499" s="2" t="s">
        <v>143</v>
      </c>
      <c r="C499" s="2" t="s">
        <v>143</v>
      </c>
      <c r="D499" s="2" t="s">
        <v>144</v>
      </c>
      <c r="E499" s="3" t="s">
        <v>12</v>
      </c>
      <c r="F499" s="8">
        <v>1800000</v>
      </c>
      <c r="G499" s="16" t="s">
        <v>143</v>
      </c>
      <c r="H499" s="2" t="s">
        <v>13</v>
      </c>
      <c r="I499" s="3"/>
      <c r="J499" s="3" t="s">
        <v>16</v>
      </c>
      <c r="K499" s="5"/>
    </row>
    <row r="500" spans="1:11" ht="15.75" customHeight="1">
      <c r="A500" s="9">
        <v>2016</v>
      </c>
      <c r="B500" s="2" t="s">
        <v>143</v>
      </c>
      <c r="C500" s="2" t="s">
        <v>143</v>
      </c>
      <c r="D500" s="2" t="s">
        <v>144</v>
      </c>
      <c r="E500" s="3" t="s">
        <v>14</v>
      </c>
      <c r="F500" s="8">
        <v>173000000</v>
      </c>
      <c r="G500" s="2" t="s">
        <v>143</v>
      </c>
      <c r="H500" s="2"/>
    </row>
    <row r="501" spans="1:11" ht="15.75" customHeight="1">
      <c r="A501" s="9">
        <v>2016</v>
      </c>
      <c r="B501" s="2" t="s">
        <v>143</v>
      </c>
      <c r="C501" s="2" t="s">
        <v>143</v>
      </c>
      <c r="D501" s="2" t="s">
        <v>144</v>
      </c>
      <c r="E501" s="3" t="s">
        <v>15</v>
      </c>
      <c r="F501" s="8">
        <v>305200000</v>
      </c>
      <c r="G501" s="16" t="s">
        <v>143</v>
      </c>
      <c r="H501" s="2"/>
    </row>
    <row r="502" spans="1:11" ht="15.75" customHeight="1">
      <c r="A502" s="9">
        <v>2016</v>
      </c>
      <c r="B502" s="2" t="s">
        <v>143</v>
      </c>
      <c r="C502" s="2" t="s">
        <v>143</v>
      </c>
      <c r="D502" s="2" t="s">
        <v>144</v>
      </c>
      <c r="E502" s="2" t="s">
        <v>16</v>
      </c>
      <c r="F502" s="8">
        <v>5300000</v>
      </c>
      <c r="G502" s="2" t="s">
        <v>143</v>
      </c>
      <c r="H502" s="2"/>
      <c r="I502" s="2"/>
      <c r="J502" s="2" t="s">
        <v>16</v>
      </c>
    </row>
    <row r="503" spans="1:11" ht="15.75" customHeight="1">
      <c r="A503" s="9">
        <v>2016</v>
      </c>
      <c r="B503" s="2" t="s">
        <v>143</v>
      </c>
      <c r="C503" s="2" t="s">
        <v>143</v>
      </c>
      <c r="D503" s="2" t="s">
        <v>144</v>
      </c>
      <c r="E503" s="3" t="s">
        <v>14</v>
      </c>
      <c r="F503" s="8">
        <v>166000000</v>
      </c>
      <c r="G503" s="16" t="s">
        <v>143</v>
      </c>
      <c r="H503" s="2"/>
    </row>
    <row r="504" spans="1:11" ht="15.75" customHeight="1">
      <c r="A504" s="9">
        <v>2016</v>
      </c>
      <c r="B504" s="2" t="s">
        <v>143</v>
      </c>
      <c r="C504" s="2" t="s">
        <v>143</v>
      </c>
      <c r="D504" s="2" t="s">
        <v>144</v>
      </c>
      <c r="E504" s="3" t="s">
        <v>15</v>
      </c>
      <c r="F504" s="8">
        <v>375700000</v>
      </c>
      <c r="G504" s="2" t="s">
        <v>143</v>
      </c>
      <c r="H504" s="2"/>
    </row>
    <row r="505" spans="1:11" ht="15.75" customHeight="1">
      <c r="A505" s="9">
        <v>2016</v>
      </c>
      <c r="B505" s="2" t="s">
        <v>143</v>
      </c>
      <c r="C505" s="2" t="s">
        <v>143</v>
      </c>
      <c r="D505" s="2" t="s">
        <v>144</v>
      </c>
      <c r="E505" s="2" t="s">
        <v>16</v>
      </c>
      <c r="F505" s="8">
        <v>3400000</v>
      </c>
      <c r="G505" s="2" t="s">
        <v>143</v>
      </c>
      <c r="H505" s="2"/>
      <c r="I505" s="2"/>
      <c r="J505" s="2" t="s">
        <v>16</v>
      </c>
    </row>
    <row r="506" spans="1:11" ht="15.75" customHeight="1">
      <c r="A506" s="9">
        <v>2016</v>
      </c>
      <c r="B506" s="2" t="s">
        <v>143</v>
      </c>
      <c r="C506" s="2" t="s">
        <v>143</v>
      </c>
      <c r="D506" s="2" t="s">
        <v>144</v>
      </c>
      <c r="E506" s="3" t="s">
        <v>14</v>
      </c>
      <c r="F506" s="8">
        <v>127300000</v>
      </c>
      <c r="G506" s="2" t="s">
        <v>143</v>
      </c>
      <c r="H506" s="2"/>
    </row>
    <row r="507" spans="1:11" ht="15.75" customHeight="1">
      <c r="A507" s="9">
        <v>2016</v>
      </c>
      <c r="B507" s="2" t="s">
        <v>143</v>
      </c>
      <c r="C507" s="2" t="s">
        <v>143</v>
      </c>
      <c r="D507" s="2" t="s">
        <v>144</v>
      </c>
      <c r="E507" s="3" t="s">
        <v>15</v>
      </c>
      <c r="F507" s="8">
        <v>260500000</v>
      </c>
      <c r="G507" s="2" t="s">
        <v>143</v>
      </c>
      <c r="H507" s="2"/>
    </row>
    <row r="508" spans="1:11" ht="15.75" customHeight="1">
      <c r="A508" s="9">
        <v>2016</v>
      </c>
      <c r="B508" s="2" t="s">
        <v>143</v>
      </c>
      <c r="C508" s="2" t="s">
        <v>143</v>
      </c>
      <c r="D508" s="2" t="s">
        <v>144</v>
      </c>
      <c r="E508" s="2" t="s">
        <v>16</v>
      </c>
      <c r="F508" s="8">
        <v>2000000</v>
      </c>
      <c r="G508" s="2" t="s">
        <v>143</v>
      </c>
      <c r="H508" s="2"/>
      <c r="I508" s="2"/>
      <c r="J508" s="2" t="s">
        <v>16</v>
      </c>
    </row>
    <row r="509" spans="1:11" ht="15.75" customHeight="1">
      <c r="A509" s="9">
        <v>2016</v>
      </c>
      <c r="B509" s="2" t="s">
        <v>143</v>
      </c>
      <c r="C509" s="2" t="s">
        <v>143</v>
      </c>
      <c r="D509" s="2" t="s">
        <v>144</v>
      </c>
      <c r="E509" s="3" t="s">
        <v>14</v>
      </c>
      <c r="F509" s="8">
        <v>213000000</v>
      </c>
      <c r="G509" s="2" t="s">
        <v>143</v>
      </c>
      <c r="H509" s="2" t="s">
        <v>17</v>
      </c>
    </row>
    <row r="510" spans="1:11" ht="15.75" customHeight="1">
      <c r="A510" s="9">
        <v>2016</v>
      </c>
      <c r="B510" s="2" t="s">
        <v>143</v>
      </c>
      <c r="C510" s="2" t="s">
        <v>143</v>
      </c>
      <c r="D510" s="2" t="s">
        <v>144</v>
      </c>
      <c r="E510" s="3" t="s">
        <v>15</v>
      </c>
      <c r="F510" s="8">
        <v>287300000</v>
      </c>
      <c r="G510" s="2" t="s">
        <v>143</v>
      </c>
      <c r="H510" s="2" t="s">
        <v>17</v>
      </c>
    </row>
    <row r="511" spans="1:11" ht="15.75" customHeight="1">
      <c r="A511" s="9">
        <v>2016</v>
      </c>
      <c r="B511" s="2" t="s">
        <v>149</v>
      </c>
      <c r="C511" s="2" t="s">
        <v>150</v>
      </c>
      <c r="D511" s="2" t="s">
        <v>151</v>
      </c>
      <c r="E511" s="3" t="s">
        <v>14</v>
      </c>
      <c r="F511" s="8">
        <v>11100000</v>
      </c>
      <c r="G511" s="2" t="s">
        <v>149</v>
      </c>
      <c r="H511" s="2" t="s">
        <v>17</v>
      </c>
    </row>
    <row r="512" spans="1:11" ht="15.75" customHeight="1">
      <c r="A512" s="9">
        <v>2016</v>
      </c>
      <c r="B512" s="2" t="s">
        <v>149</v>
      </c>
      <c r="C512" s="2" t="s">
        <v>150</v>
      </c>
      <c r="D512" s="2" t="s">
        <v>151</v>
      </c>
      <c r="E512" s="3" t="s">
        <v>15</v>
      </c>
      <c r="F512" s="8">
        <v>39500000</v>
      </c>
      <c r="G512" s="2" t="s">
        <v>149</v>
      </c>
      <c r="H512" s="2" t="s">
        <v>17</v>
      </c>
    </row>
    <row r="513" spans="1:28" ht="15.75" customHeight="1">
      <c r="A513" s="9">
        <v>2016</v>
      </c>
      <c r="B513" s="2" t="s">
        <v>143</v>
      </c>
      <c r="C513" s="2" t="s">
        <v>143</v>
      </c>
      <c r="D513" s="2" t="s">
        <v>144</v>
      </c>
      <c r="E513" s="2" t="s">
        <v>16</v>
      </c>
      <c r="F513" s="8">
        <v>1900000</v>
      </c>
      <c r="G513" s="2" t="s">
        <v>143</v>
      </c>
      <c r="H513" s="2" t="s">
        <v>17</v>
      </c>
      <c r="I513" s="2"/>
      <c r="J513" s="2" t="s">
        <v>16</v>
      </c>
    </row>
    <row r="514" spans="1:28" ht="15.75" customHeight="1">
      <c r="A514" s="9">
        <v>2016</v>
      </c>
      <c r="B514" s="3" t="s">
        <v>152</v>
      </c>
      <c r="C514" s="3" t="s">
        <v>153</v>
      </c>
      <c r="D514" s="2" t="s">
        <v>154</v>
      </c>
      <c r="E514" s="3" t="s">
        <v>14</v>
      </c>
      <c r="F514" s="8">
        <v>5981608</v>
      </c>
      <c r="G514" s="3" t="s">
        <v>152</v>
      </c>
      <c r="H514" s="2" t="s">
        <v>67</v>
      </c>
    </row>
    <row r="515" spans="1:28" ht="15.75" customHeight="1">
      <c r="A515" s="9">
        <v>2016</v>
      </c>
      <c r="B515" s="2" t="s">
        <v>143</v>
      </c>
      <c r="C515" s="2" t="s">
        <v>143</v>
      </c>
      <c r="D515" s="2" t="s">
        <v>144</v>
      </c>
      <c r="E515" s="3" t="s">
        <v>14</v>
      </c>
      <c r="F515" s="8">
        <v>159400000</v>
      </c>
      <c r="G515" s="2" t="s">
        <v>143</v>
      </c>
      <c r="H515" s="2" t="s">
        <v>17</v>
      </c>
    </row>
    <row r="516" spans="1:28" ht="15.75" customHeight="1">
      <c r="A516" s="9">
        <v>2016</v>
      </c>
      <c r="B516" s="2" t="s">
        <v>143</v>
      </c>
      <c r="C516" s="2" t="s">
        <v>143</v>
      </c>
      <c r="D516" s="2" t="s">
        <v>144</v>
      </c>
      <c r="E516" s="3" t="s">
        <v>15</v>
      </c>
      <c r="F516" s="8">
        <v>338300000</v>
      </c>
      <c r="G516" s="2" t="s">
        <v>143</v>
      </c>
      <c r="H516" s="2" t="s">
        <v>17</v>
      </c>
    </row>
    <row r="517" spans="1:28" ht="15.75" customHeight="1">
      <c r="A517" s="9">
        <v>2016</v>
      </c>
      <c r="B517" s="2" t="s">
        <v>143</v>
      </c>
      <c r="C517" s="2" t="s">
        <v>143</v>
      </c>
      <c r="D517" s="2" t="s">
        <v>144</v>
      </c>
      <c r="E517" s="2" t="s">
        <v>16</v>
      </c>
      <c r="F517" s="8">
        <v>2300000</v>
      </c>
      <c r="G517" s="2" t="s">
        <v>143</v>
      </c>
      <c r="H517" s="2" t="s">
        <v>17</v>
      </c>
      <c r="I517" s="2"/>
      <c r="J517" s="2" t="s">
        <v>16</v>
      </c>
    </row>
    <row r="518" spans="1:28" ht="15.75" customHeight="1">
      <c r="A518" s="9">
        <v>2016</v>
      </c>
      <c r="B518" s="2" t="s">
        <v>82</v>
      </c>
      <c r="C518" s="2" t="s">
        <v>82</v>
      </c>
      <c r="D518" s="2" t="s">
        <v>83</v>
      </c>
      <c r="E518" s="3" t="s">
        <v>14</v>
      </c>
      <c r="F518" s="8">
        <v>36100000</v>
      </c>
      <c r="G518" s="2" t="s">
        <v>82</v>
      </c>
      <c r="H518" s="2" t="s">
        <v>17</v>
      </c>
    </row>
    <row r="519" spans="1:28" ht="15.75" customHeight="1">
      <c r="A519" s="9">
        <v>2016</v>
      </c>
      <c r="B519" s="2" t="s">
        <v>143</v>
      </c>
      <c r="C519" s="2" t="s">
        <v>143</v>
      </c>
      <c r="D519" s="2" t="s">
        <v>144</v>
      </c>
      <c r="E519" s="3" t="s">
        <v>15</v>
      </c>
      <c r="F519" s="8">
        <v>383100000</v>
      </c>
      <c r="G519" s="2" t="s">
        <v>143</v>
      </c>
      <c r="H519" s="2" t="s">
        <v>17</v>
      </c>
    </row>
    <row r="520" spans="1:28" ht="15.75" customHeight="1">
      <c r="A520" s="9">
        <v>2016</v>
      </c>
      <c r="B520" s="2" t="s">
        <v>82</v>
      </c>
      <c r="C520" s="2" t="s">
        <v>82</v>
      </c>
      <c r="D520" s="2" t="s">
        <v>83</v>
      </c>
      <c r="E520" s="2" t="s">
        <v>16</v>
      </c>
      <c r="F520" s="8">
        <v>2600000</v>
      </c>
      <c r="G520" s="2" t="s">
        <v>82</v>
      </c>
      <c r="H520" s="2" t="s">
        <v>17</v>
      </c>
      <c r="I520" s="2"/>
      <c r="J520" s="2" t="s">
        <v>16</v>
      </c>
    </row>
    <row r="521" spans="1:28" ht="15.75" customHeight="1">
      <c r="A521" s="9">
        <v>2016</v>
      </c>
      <c r="B521" s="2" t="s">
        <v>53</v>
      </c>
      <c r="C521" s="2" t="s">
        <v>53</v>
      </c>
      <c r="D521" s="2" t="s">
        <v>54</v>
      </c>
      <c r="E521" s="3" t="s">
        <v>15</v>
      </c>
      <c r="F521" s="8">
        <v>107000000</v>
      </c>
      <c r="G521" s="2" t="s">
        <v>53</v>
      </c>
      <c r="H521" s="2" t="s">
        <v>22</v>
      </c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</row>
    <row r="522" spans="1:28" ht="15.75" customHeight="1">
      <c r="A522" s="9">
        <v>2016</v>
      </c>
      <c r="B522" s="2" t="s">
        <v>143</v>
      </c>
      <c r="C522" s="2" t="s">
        <v>143</v>
      </c>
      <c r="D522" s="14" t="s">
        <v>144</v>
      </c>
      <c r="E522" s="2" t="s">
        <v>14</v>
      </c>
      <c r="F522" s="8">
        <v>116113607</v>
      </c>
      <c r="G522" s="32" t="s">
        <v>143</v>
      </c>
      <c r="H522" s="2" t="s">
        <v>13</v>
      </c>
      <c r="I522" s="15"/>
      <c r="J522" s="15"/>
      <c r="K522" s="6"/>
    </row>
    <row r="523" spans="1:28" ht="15.75" customHeight="1">
      <c r="A523" s="9">
        <v>2016</v>
      </c>
      <c r="B523" s="2" t="s">
        <v>143</v>
      </c>
      <c r="C523" s="2" t="s">
        <v>143</v>
      </c>
      <c r="D523" s="2" t="s">
        <v>144</v>
      </c>
      <c r="E523" s="3" t="s">
        <v>15</v>
      </c>
      <c r="F523" s="4">
        <v>215926795</v>
      </c>
      <c r="G523" s="2" t="s">
        <v>143</v>
      </c>
      <c r="H523" s="2" t="s">
        <v>13</v>
      </c>
      <c r="I523" s="15"/>
      <c r="J523" s="15"/>
    </row>
    <row r="524" spans="1:28" ht="15.75" customHeight="1">
      <c r="A524" s="9">
        <v>2016</v>
      </c>
      <c r="B524" s="17" t="s">
        <v>82</v>
      </c>
      <c r="C524" s="17" t="s">
        <v>82</v>
      </c>
      <c r="D524" s="3" t="s">
        <v>83</v>
      </c>
      <c r="E524" s="2" t="s">
        <v>16</v>
      </c>
      <c r="F524" s="12">
        <v>10900000</v>
      </c>
      <c r="G524" s="17" t="s">
        <v>82</v>
      </c>
      <c r="H524" s="2" t="s">
        <v>17</v>
      </c>
      <c r="I524" s="3"/>
      <c r="J524" s="2" t="s">
        <v>16</v>
      </c>
    </row>
    <row r="525" spans="1:28" ht="15.75" customHeight="1">
      <c r="A525" s="9">
        <v>2016</v>
      </c>
      <c r="B525" s="2" t="s">
        <v>155</v>
      </c>
      <c r="C525" s="2" t="s">
        <v>155</v>
      </c>
      <c r="D525" s="2" t="s">
        <v>156</v>
      </c>
      <c r="E525" s="3" t="s">
        <v>14</v>
      </c>
      <c r="F525" s="8">
        <v>17800000</v>
      </c>
      <c r="G525" s="2" t="s">
        <v>155</v>
      </c>
      <c r="H525" s="2"/>
    </row>
    <row r="526" spans="1:28" ht="15.75" customHeight="1">
      <c r="A526" s="9">
        <v>2016</v>
      </c>
      <c r="B526" s="2" t="s">
        <v>155</v>
      </c>
      <c r="C526" s="2" t="s">
        <v>155</v>
      </c>
      <c r="D526" s="2" t="s">
        <v>156</v>
      </c>
      <c r="E526" s="3" t="s">
        <v>15</v>
      </c>
      <c r="F526" s="8">
        <v>93400000</v>
      </c>
      <c r="G526" s="2" t="s">
        <v>155</v>
      </c>
      <c r="H526" s="2"/>
      <c r="K526" s="5"/>
    </row>
    <row r="527" spans="1:28" ht="15.75" customHeight="1">
      <c r="A527" s="9">
        <v>2016</v>
      </c>
      <c r="B527" s="2" t="s">
        <v>155</v>
      </c>
      <c r="C527" s="2" t="s">
        <v>155</v>
      </c>
      <c r="D527" s="2" t="s">
        <v>156</v>
      </c>
      <c r="E527" s="2" t="s">
        <v>16</v>
      </c>
      <c r="F527" s="8">
        <v>9500000</v>
      </c>
      <c r="G527" s="2" t="s">
        <v>155</v>
      </c>
      <c r="H527" s="2"/>
      <c r="I527" s="2"/>
      <c r="J527" s="2" t="s">
        <v>16</v>
      </c>
    </row>
    <row r="528" spans="1:28" ht="15.75" customHeight="1">
      <c r="A528" s="9">
        <v>2016</v>
      </c>
      <c r="B528" s="2" t="s">
        <v>155</v>
      </c>
      <c r="C528" s="2" t="s">
        <v>155</v>
      </c>
      <c r="D528" s="2" t="s">
        <v>156</v>
      </c>
      <c r="E528" s="3" t="s">
        <v>14</v>
      </c>
      <c r="F528" s="8">
        <v>53700000</v>
      </c>
      <c r="G528" s="2" t="s">
        <v>155</v>
      </c>
      <c r="H528" s="2"/>
    </row>
    <row r="529" spans="1:28" ht="15.75" customHeight="1">
      <c r="A529" s="9">
        <v>2016</v>
      </c>
      <c r="B529" s="2" t="s">
        <v>155</v>
      </c>
      <c r="C529" s="2" t="s">
        <v>155</v>
      </c>
      <c r="D529" s="2" t="s">
        <v>156</v>
      </c>
      <c r="E529" s="3" t="s">
        <v>15</v>
      </c>
      <c r="F529" s="8">
        <v>100300000</v>
      </c>
      <c r="G529" s="2" t="s">
        <v>155</v>
      </c>
      <c r="H529" s="2"/>
    </row>
    <row r="530" spans="1:28" ht="15.75" customHeight="1">
      <c r="A530" s="9">
        <v>2016</v>
      </c>
      <c r="B530" s="2" t="s">
        <v>155</v>
      </c>
      <c r="C530" s="2" t="s">
        <v>155</v>
      </c>
      <c r="D530" s="2" t="s">
        <v>156</v>
      </c>
      <c r="E530" s="2" t="s">
        <v>16</v>
      </c>
      <c r="F530" s="8">
        <v>4600000</v>
      </c>
      <c r="G530" s="2" t="s">
        <v>155</v>
      </c>
      <c r="H530" s="2"/>
      <c r="I530" s="2"/>
      <c r="J530" s="2" t="s">
        <v>16</v>
      </c>
    </row>
    <row r="531" spans="1:28" ht="15.75" customHeight="1">
      <c r="A531" s="9">
        <v>2016</v>
      </c>
      <c r="B531" s="2" t="s">
        <v>155</v>
      </c>
      <c r="C531" s="2" t="s">
        <v>155</v>
      </c>
      <c r="D531" s="2" t="s">
        <v>156</v>
      </c>
      <c r="E531" s="3" t="s">
        <v>14</v>
      </c>
      <c r="F531" s="8">
        <v>200200000</v>
      </c>
      <c r="G531" s="2" t="s">
        <v>155</v>
      </c>
      <c r="H531" s="2"/>
    </row>
    <row r="532" spans="1:28" ht="15.75" customHeight="1">
      <c r="A532" s="9">
        <v>2016</v>
      </c>
      <c r="B532" s="2" t="s">
        <v>155</v>
      </c>
      <c r="C532" s="2" t="s">
        <v>155</v>
      </c>
      <c r="D532" s="2" t="s">
        <v>156</v>
      </c>
      <c r="E532" s="3" t="s">
        <v>15</v>
      </c>
      <c r="F532" s="8">
        <v>484200000</v>
      </c>
      <c r="G532" s="2" t="s">
        <v>155</v>
      </c>
      <c r="H532" s="2"/>
    </row>
    <row r="533" spans="1:28" ht="15.75" customHeight="1">
      <c r="A533" s="9">
        <v>2016</v>
      </c>
      <c r="B533" s="2" t="s">
        <v>155</v>
      </c>
      <c r="C533" s="2" t="s">
        <v>155</v>
      </c>
      <c r="D533" s="2" t="s">
        <v>156</v>
      </c>
      <c r="E533" s="2" t="s">
        <v>16</v>
      </c>
      <c r="F533" s="8">
        <v>7000000</v>
      </c>
      <c r="G533" s="2" t="s">
        <v>155</v>
      </c>
      <c r="H533" s="2"/>
      <c r="I533" s="2"/>
      <c r="J533" s="2" t="s">
        <v>16</v>
      </c>
    </row>
    <row r="534" spans="1:28" ht="15.75" customHeight="1">
      <c r="A534" s="9">
        <v>2016</v>
      </c>
      <c r="B534" s="2" t="s">
        <v>155</v>
      </c>
      <c r="C534" s="2" t="s">
        <v>155</v>
      </c>
      <c r="D534" s="2" t="s">
        <v>156</v>
      </c>
      <c r="E534" s="3" t="s">
        <v>14</v>
      </c>
      <c r="F534" s="8">
        <v>731000000</v>
      </c>
      <c r="G534" s="2" t="s">
        <v>155</v>
      </c>
      <c r="H534" s="16" t="s">
        <v>17</v>
      </c>
    </row>
    <row r="535" spans="1:28" ht="15.75" customHeight="1">
      <c r="A535" s="9">
        <v>2016</v>
      </c>
      <c r="B535" s="2" t="s">
        <v>155</v>
      </c>
      <c r="C535" s="2" t="s">
        <v>155</v>
      </c>
      <c r="D535" s="2" t="s">
        <v>156</v>
      </c>
      <c r="E535" s="3" t="s">
        <v>15</v>
      </c>
      <c r="F535" s="8">
        <v>1050000000</v>
      </c>
      <c r="G535" s="2" t="s">
        <v>155</v>
      </c>
      <c r="H535" s="16" t="s">
        <v>17</v>
      </c>
    </row>
    <row r="536" spans="1:28" ht="15.75" customHeight="1">
      <c r="A536" s="9">
        <v>2016</v>
      </c>
      <c r="B536" s="2" t="s">
        <v>155</v>
      </c>
      <c r="C536" s="2" t="s">
        <v>155</v>
      </c>
      <c r="D536" s="2" t="s">
        <v>156</v>
      </c>
      <c r="E536" s="2" t="s">
        <v>16</v>
      </c>
      <c r="F536" s="8">
        <v>14000000</v>
      </c>
      <c r="G536" s="2" t="s">
        <v>155</v>
      </c>
      <c r="H536" s="16" t="s">
        <v>17</v>
      </c>
      <c r="I536" s="2"/>
      <c r="J536" s="2" t="s">
        <v>16</v>
      </c>
    </row>
    <row r="537" spans="1:28" ht="15.75" customHeight="1">
      <c r="A537" s="7">
        <v>2017</v>
      </c>
      <c r="B537" s="2" t="s">
        <v>155</v>
      </c>
      <c r="C537" s="2" t="s">
        <v>155</v>
      </c>
      <c r="D537" s="2" t="s">
        <v>156</v>
      </c>
      <c r="E537" s="3" t="s">
        <v>14</v>
      </c>
      <c r="F537" s="8">
        <v>677900000</v>
      </c>
      <c r="G537" s="2" t="s">
        <v>155</v>
      </c>
      <c r="H537" s="2" t="s">
        <v>17</v>
      </c>
    </row>
    <row r="538" spans="1:28" ht="15.75" customHeight="1">
      <c r="A538" s="7">
        <v>2017</v>
      </c>
      <c r="B538" s="2" t="s">
        <v>155</v>
      </c>
      <c r="C538" s="2" t="s">
        <v>155</v>
      </c>
      <c r="D538" s="2" t="s">
        <v>156</v>
      </c>
      <c r="E538" s="3" t="s">
        <v>15</v>
      </c>
      <c r="F538" s="8">
        <v>1050000000</v>
      </c>
      <c r="G538" s="2" t="s">
        <v>155</v>
      </c>
      <c r="H538" s="2" t="s">
        <v>17</v>
      </c>
    </row>
    <row r="539" spans="1:28" ht="15.75" customHeight="1">
      <c r="A539" s="7">
        <v>2017</v>
      </c>
      <c r="B539" s="2" t="s">
        <v>155</v>
      </c>
      <c r="C539" s="2" t="s">
        <v>155</v>
      </c>
      <c r="D539" s="2" t="s">
        <v>156</v>
      </c>
      <c r="E539" s="2" t="s">
        <v>16</v>
      </c>
      <c r="F539" s="8">
        <v>7700000</v>
      </c>
      <c r="G539" s="2" t="s">
        <v>155</v>
      </c>
      <c r="H539" s="2" t="s">
        <v>17</v>
      </c>
      <c r="I539" s="2"/>
      <c r="J539" s="2" t="s">
        <v>16</v>
      </c>
    </row>
    <row r="540" spans="1:28" ht="15.75" customHeight="1">
      <c r="A540" s="7">
        <v>2017</v>
      </c>
      <c r="B540" s="2" t="s">
        <v>155</v>
      </c>
      <c r="C540" s="2" t="s">
        <v>155</v>
      </c>
      <c r="D540" s="2" t="s">
        <v>156</v>
      </c>
      <c r="E540" s="3" t="s">
        <v>15</v>
      </c>
      <c r="F540" s="8">
        <v>847700000</v>
      </c>
      <c r="G540" s="2" t="s">
        <v>155</v>
      </c>
      <c r="H540" s="2" t="s">
        <v>17</v>
      </c>
    </row>
    <row r="541" spans="1:28" ht="15.75" customHeight="1">
      <c r="A541" s="7">
        <v>2017</v>
      </c>
      <c r="B541" s="17" t="s">
        <v>157</v>
      </c>
      <c r="C541" s="17" t="s">
        <v>157</v>
      </c>
      <c r="D541" s="3" t="s">
        <v>58</v>
      </c>
      <c r="E541" s="2" t="s">
        <v>15</v>
      </c>
      <c r="F541" s="12">
        <v>0</v>
      </c>
      <c r="G541" s="17" t="s">
        <v>157</v>
      </c>
      <c r="H541" s="2" t="s">
        <v>23</v>
      </c>
      <c r="I541" s="3"/>
      <c r="J541" s="2" t="s">
        <v>15</v>
      </c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</row>
    <row r="542" spans="1:28" ht="15.75" customHeight="1">
      <c r="A542" s="9">
        <v>2017</v>
      </c>
      <c r="B542" s="2" t="s">
        <v>94</v>
      </c>
      <c r="C542" s="2" t="s">
        <v>94</v>
      </c>
      <c r="D542" s="2" t="s">
        <v>95</v>
      </c>
      <c r="E542" s="3" t="s">
        <v>14</v>
      </c>
      <c r="F542" s="8">
        <v>9600000</v>
      </c>
      <c r="G542" s="2" t="s">
        <v>94</v>
      </c>
      <c r="H542" s="2" t="s">
        <v>22</v>
      </c>
    </row>
    <row r="543" spans="1:28" ht="15.75" customHeight="1">
      <c r="A543" s="9">
        <v>2017</v>
      </c>
      <c r="B543" s="17" t="s">
        <v>158</v>
      </c>
      <c r="C543" s="17" t="s">
        <v>157</v>
      </c>
      <c r="D543" s="3" t="s">
        <v>58</v>
      </c>
      <c r="E543" s="2" t="s">
        <v>15</v>
      </c>
      <c r="F543" s="12">
        <v>544601391</v>
      </c>
      <c r="G543" s="17" t="s">
        <v>157</v>
      </c>
      <c r="H543" s="2" t="s">
        <v>73</v>
      </c>
      <c r="I543" s="3"/>
      <c r="J543" s="2" t="s">
        <v>15</v>
      </c>
    </row>
    <row r="544" spans="1:28" ht="15.75" customHeight="1">
      <c r="A544" s="9">
        <v>2017</v>
      </c>
      <c r="B544" s="3" t="s">
        <v>159</v>
      </c>
      <c r="C544" s="2" t="s">
        <v>155</v>
      </c>
      <c r="D544" s="2" t="s">
        <v>156</v>
      </c>
      <c r="E544" s="3" t="s">
        <v>14</v>
      </c>
      <c r="F544" s="8">
        <v>65300000</v>
      </c>
      <c r="G544" s="2" t="s">
        <v>159</v>
      </c>
      <c r="H544" s="2"/>
    </row>
    <row r="545" spans="1:11" ht="15.75" customHeight="1">
      <c r="A545" s="9">
        <v>2017</v>
      </c>
      <c r="B545" s="2" t="s">
        <v>159</v>
      </c>
      <c r="C545" s="2" t="s">
        <v>155</v>
      </c>
      <c r="D545" s="2" t="s">
        <v>156</v>
      </c>
      <c r="E545" s="3" t="s">
        <v>15</v>
      </c>
      <c r="F545" s="8">
        <v>198800000</v>
      </c>
      <c r="G545" s="2" t="s">
        <v>159</v>
      </c>
      <c r="H545" s="2"/>
    </row>
    <row r="546" spans="1:11" ht="15.75" customHeight="1">
      <c r="A546" s="9">
        <v>2017</v>
      </c>
      <c r="B546" s="2" t="s">
        <v>159</v>
      </c>
      <c r="C546" s="2" t="s">
        <v>155</v>
      </c>
      <c r="D546" s="2" t="s">
        <v>156</v>
      </c>
      <c r="E546" s="2" t="s">
        <v>16</v>
      </c>
      <c r="F546" s="8">
        <v>850473</v>
      </c>
      <c r="G546" s="2" t="s">
        <v>159</v>
      </c>
      <c r="H546" s="2"/>
      <c r="I546" s="2"/>
      <c r="J546" s="2" t="s">
        <v>16</v>
      </c>
    </row>
    <row r="547" spans="1:11" ht="15.75" customHeight="1">
      <c r="A547" s="9">
        <v>2017</v>
      </c>
      <c r="B547" s="3" t="s">
        <v>159</v>
      </c>
      <c r="C547" s="2" t="s">
        <v>155</v>
      </c>
      <c r="D547" s="2" t="s">
        <v>156</v>
      </c>
      <c r="E547" s="3" t="s">
        <v>14</v>
      </c>
      <c r="F547" s="8">
        <v>65200000</v>
      </c>
      <c r="G547" s="2" t="s">
        <v>159</v>
      </c>
      <c r="H547" s="2" t="s">
        <v>36</v>
      </c>
    </row>
    <row r="548" spans="1:11" ht="15.75" customHeight="1">
      <c r="A548" s="9">
        <v>2017</v>
      </c>
      <c r="B548" s="3" t="s">
        <v>159</v>
      </c>
      <c r="C548" s="2" t="s">
        <v>155</v>
      </c>
      <c r="D548" s="2" t="s">
        <v>156</v>
      </c>
      <c r="E548" s="3" t="s">
        <v>15</v>
      </c>
      <c r="F548" s="8">
        <v>156600000</v>
      </c>
      <c r="G548" s="2" t="s">
        <v>159</v>
      </c>
      <c r="H548" s="2" t="s">
        <v>36</v>
      </c>
    </row>
    <row r="549" spans="1:11" ht="15.75" customHeight="1">
      <c r="A549" s="9">
        <v>2017</v>
      </c>
      <c r="B549" s="3" t="s">
        <v>159</v>
      </c>
      <c r="C549" s="2" t="s">
        <v>155</v>
      </c>
      <c r="D549" s="2" t="s">
        <v>156</v>
      </c>
      <c r="E549" s="2" t="s">
        <v>16</v>
      </c>
      <c r="F549" s="8">
        <v>443000</v>
      </c>
      <c r="G549" s="2" t="s">
        <v>159</v>
      </c>
      <c r="H549" s="2" t="s">
        <v>36</v>
      </c>
      <c r="I549" s="2"/>
      <c r="J549" s="2" t="s">
        <v>16</v>
      </c>
    </row>
    <row r="550" spans="1:11" ht="15.75" customHeight="1">
      <c r="A550" s="9">
        <v>2017</v>
      </c>
      <c r="B550" s="3" t="s">
        <v>160</v>
      </c>
      <c r="C550" s="2" t="s">
        <v>155</v>
      </c>
      <c r="D550" s="2" t="s">
        <v>156</v>
      </c>
      <c r="E550" s="3" t="s">
        <v>14</v>
      </c>
      <c r="F550" s="8">
        <v>81300000</v>
      </c>
      <c r="G550" s="3" t="s">
        <v>161</v>
      </c>
      <c r="H550" s="2"/>
    </row>
    <row r="551" spans="1:11" ht="15.75" customHeight="1">
      <c r="A551" s="9">
        <v>2017</v>
      </c>
      <c r="B551" s="3" t="s">
        <v>160</v>
      </c>
      <c r="C551" s="2" t="s">
        <v>155</v>
      </c>
      <c r="D551" s="2" t="s">
        <v>156</v>
      </c>
      <c r="E551" s="3" t="s">
        <v>15</v>
      </c>
      <c r="F551" s="8">
        <v>174400000</v>
      </c>
      <c r="G551" s="3" t="s">
        <v>161</v>
      </c>
      <c r="H551" s="2"/>
    </row>
    <row r="552" spans="1:11" ht="15.75" customHeight="1">
      <c r="A552" s="9">
        <v>2017</v>
      </c>
      <c r="B552" s="3" t="s">
        <v>160</v>
      </c>
      <c r="C552" s="2" t="s">
        <v>155</v>
      </c>
      <c r="D552" s="2" t="s">
        <v>156</v>
      </c>
      <c r="E552" s="3" t="s">
        <v>14</v>
      </c>
      <c r="F552" s="8">
        <v>130400000</v>
      </c>
      <c r="G552" s="2" t="s">
        <v>162</v>
      </c>
      <c r="H552" s="2" t="s">
        <v>36</v>
      </c>
    </row>
    <row r="553" spans="1:11" ht="15.75" customHeight="1">
      <c r="A553" s="9">
        <v>2017</v>
      </c>
      <c r="B553" s="3" t="s">
        <v>160</v>
      </c>
      <c r="C553" s="2" t="s">
        <v>155</v>
      </c>
      <c r="D553" s="2" t="s">
        <v>156</v>
      </c>
      <c r="E553" s="3" t="s">
        <v>15</v>
      </c>
      <c r="F553" s="8">
        <v>241200000</v>
      </c>
      <c r="G553" s="2" t="s">
        <v>162</v>
      </c>
      <c r="H553" s="2" t="s">
        <v>36</v>
      </c>
    </row>
    <row r="554" spans="1:11" ht="15.75" customHeight="1">
      <c r="A554" s="9">
        <v>2017</v>
      </c>
      <c r="B554" s="14" t="s">
        <v>163</v>
      </c>
      <c r="C554" s="14" t="s">
        <v>163</v>
      </c>
      <c r="D554" s="14" t="s">
        <v>164</v>
      </c>
      <c r="E554" s="3" t="s">
        <v>15</v>
      </c>
      <c r="F554" s="4">
        <v>603408539</v>
      </c>
      <c r="G554" s="14" t="s">
        <v>163</v>
      </c>
      <c r="H554" s="14" t="s">
        <v>13</v>
      </c>
    </row>
    <row r="555" spans="1:11" ht="15.75" customHeight="1">
      <c r="A555" s="9">
        <v>2017</v>
      </c>
      <c r="B555" s="14" t="s">
        <v>163</v>
      </c>
      <c r="C555" s="14" t="s">
        <v>163</v>
      </c>
      <c r="D555" s="14" t="s">
        <v>164</v>
      </c>
      <c r="E555" s="14" t="s">
        <v>14</v>
      </c>
      <c r="F555" s="4">
        <v>329737701</v>
      </c>
      <c r="G555" s="14" t="s">
        <v>163</v>
      </c>
      <c r="H555" s="14" t="s">
        <v>13</v>
      </c>
    </row>
    <row r="556" spans="1:11" ht="15.75" customHeight="1">
      <c r="A556" s="9">
        <v>2017</v>
      </c>
      <c r="B556" s="14" t="s">
        <v>163</v>
      </c>
      <c r="C556" s="2" t="s">
        <v>163</v>
      </c>
      <c r="D556" s="14" t="s">
        <v>164</v>
      </c>
      <c r="E556" s="3" t="s">
        <v>12</v>
      </c>
      <c r="F556" s="8">
        <v>2514398</v>
      </c>
      <c r="G556" s="14" t="s">
        <v>163</v>
      </c>
      <c r="H556" s="2" t="s">
        <v>13</v>
      </c>
      <c r="I556" s="3"/>
      <c r="J556" s="3" t="s">
        <v>16</v>
      </c>
    </row>
    <row r="557" spans="1:11" ht="15.75" customHeight="1">
      <c r="A557" s="9">
        <v>2017</v>
      </c>
      <c r="B557" s="14" t="s">
        <v>163</v>
      </c>
      <c r="C557" s="2" t="s">
        <v>163</v>
      </c>
      <c r="D557" s="14" t="s">
        <v>164</v>
      </c>
      <c r="E557" s="3" t="s">
        <v>14</v>
      </c>
      <c r="F557" s="8">
        <v>311466307</v>
      </c>
      <c r="G557" s="14" t="s">
        <v>163</v>
      </c>
      <c r="H557" s="2" t="s">
        <v>13</v>
      </c>
    </row>
    <row r="558" spans="1:11" ht="15.75" customHeight="1">
      <c r="A558" s="9">
        <v>2017</v>
      </c>
      <c r="B558" s="14" t="s">
        <v>163</v>
      </c>
      <c r="C558" s="2" t="s">
        <v>163</v>
      </c>
      <c r="D558" s="14" t="s">
        <v>164</v>
      </c>
      <c r="E558" s="3" t="s">
        <v>15</v>
      </c>
      <c r="F558" s="4">
        <v>419907202</v>
      </c>
      <c r="G558" s="14" t="s">
        <v>163</v>
      </c>
      <c r="H558" s="2" t="s">
        <v>13</v>
      </c>
      <c r="I558" s="15"/>
      <c r="J558" s="15"/>
      <c r="K558" s="6"/>
    </row>
    <row r="559" spans="1:11" ht="15.75" customHeight="1">
      <c r="A559" s="9">
        <v>2017</v>
      </c>
      <c r="B559" s="14" t="s">
        <v>163</v>
      </c>
      <c r="C559" s="2" t="s">
        <v>163</v>
      </c>
      <c r="D559" s="14" t="s">
        <v>164</v>
      </c>
      <c r="E559" s="2" t="s">
        <v>12</v>
      </c>
      <c r="F559" s="8">
        <v>1800000</v>
      </c>
      <c r="G559" s="14" t="s">
        <v>163</v>
      </c>
      <c r="H559" s="2" t="s">
        <v>13</v>
      </c>
      <c r="I559" s="2"/>
      <c r="J559" s="2" t="s">
        <v>16</v>
      </c>
    </row>
    <row r="560" spans="1:11" ht="15.75" customHeight="1">
      <c r="A560" s="9">
        <v>2017</v>
      </c>
      <c r="B560" s="14" t="s">
        <v>163</v>
      </c>
      <c r="C560" s="2" t="s">
        <v>163</v>
      </c>
      <c r="D560" s="14" t="s">
        <v>164</v>
      </c>
      <c r="E560" s="3" t="s">
        <v>14</v>
      </c>
      <c r="F560" s="8">
        <v>270048717</v>
      </c>
      <c r="G560" s="14" t="s">
        <v>163</v>
      </c>
      <c r="H560" s="2" t="s">
        <v>13</v>
      </c>
    </row>
    <row r="561" spans="1:11" ht="15.75" customHeight="1">
      <c r="A561" s="9">
        <v>2017</v>
      </c>
      <c r="B561" s="14" t="s">
        <v>163</v>
      </c>
      <c r="C561" s="2" t="s">
        <v>163</v>
      </c>
      <c r="D561" s="14" t="s">
        <v>164</v>
      </c>
      <c r="E561" s="3" t="s">
        <v>15</v>
      </c>
      <c r="F561" s="8">
        <v>400839740</v>
      </c>
      <c r="G561" s="14" t="s">
        <v>163</v>
      </c>
      <c r="H561" s="2" t="s">
        <v>13</v>
      </c>
    </row>
    <row r="562" spans="1:11" ht="15.75" customHeight="1">
      <c r="A562" s="9">
        <v>2017</v>
      </c>
      <c r="B562" s="14" t="s">
        <v>163</v>
      </c>
      <c r="C562" s="2" t="s">
        <v>163</v>
      </c>
      <c r="D562" s="14" t="s">
        <v>164</v>
      </c>
      <c r="E562" s="3" t="s">
        <v>12</v>
      </c>
      <c r="F562" s="8">
        <v>1800000</v>
      </c>
      <c r="G562" s="14" t="s">
        <v>163</v>
      </c>
      <c r="H562" s="2" t="s">
        <v>13</v>
      </c>
      <c r="I562" s="3"/>
      <c r="J562" s="3" t="s">
        <v>16</v>
      </c>
    </row>
    <row r="563" spans="1:11" ht="15.75" customHeight="1">
      <c r="A563" s="9">
        <v>2017</v>
      </c>
      <c r="B563" s="14" t="s">
        <v>163</v>
      </c>
      <c r="C563" s="2" t="s">
        <v>163</v>
      </c>
      <c r="D563" s="14" t="s">
        <v>164</v>
      </c>
      <c r="E563" s="3" t="s">
        <v>14</v>
      </c>
      <c r="F563" s="8">
        <v>501800000</v>
      </c>
      <c r="G563" s="14" t="s">
        <v>163</v>
      </c>
      <c r="H563" s="2"/>
    </row>
    <row r="564" spans="1:11" ht="15.75" customHeight="1">
      <c r="A564" s="9">
        <v>2017</v>
      </c>
      <c r="B564" s="14" t="s">
        <v>163</v>
      </c>
      <c r="C564" s="2" t="s">
        <v>163</v>
      </c>
      <c r="D564" s="14" t="s">
        <v>164</v>
      </c>
      <c r="E564" s="3" t="s">
        <v>15</v>
      </c>
      <c r="F564" s="8">
        <v>931100000</v>
      </c>
      <c r="G564" s="14" t="s">
        <v>163</v>
      </c>
      <c r="H564" s="2"/>
    </row>
    <row r="565" spans="1:11" ht="15.75" customHeight="1">
      <c r="A565" s="9">
        <v>2017</v>
      </c>
      <c r="B565" s="14" t="s">
        <v>163</v>
      </c>
      <c r="C565" s="2" t="s">
        <v>163</v>
      </c>
      <c r="D565" s="14" t="s">
        <v>164</v>
      </c>
      <c r="E565" s="2" t="s">
        <v>16</v>
      </c>
      <c r="F565" s="8">
        <v>1900000</v>
      </c>
      <c r="G565" s="14" t="s">
        <v>163</v>
      </c>
      <c r="H565" s="2"/>
      <c r="I565" s="2"/>
      <c r="J565" s="2" t="s">
        <v>16</v>
      </c>
    </row>
    <row r="566" spans="1:11" ht="15.75" customHeight="1">
      <c r="A566" s="9">
        <v>2017</v>
      </c>
      <c r="B566" s="14" t="s">
        <v>163</v>
      </c>
      <c r="C566" s="2" t="s">
        <v>163</v>
      </c>
      <c r="D566" s="14" t="s">
        <v>164</v>
      </c>
      <c r="E566" s="3" t="s">
        <v>14</v>
      </c>
      <c r="F566" s="8">
        <v>344100000</v>
      </c>
      <c r="G566" s="14" t="s">
        <v>163</v>
      </c>
      <c r="H566" s="2"/>
    </row>
    <row r="567" spans="1:11" ht="15.75" customHeight="1">
      <c r="A567" s="9">
        <v>2017</v>
      </c>
      <c r="B567" s="14" t="s">
        <v>163</v>
      </c>
      <c r="C567" s="2" t="s">
        <v>163</v>
      </c>
      <c r="D567" s="14" t="s">
        <v>164</v>
      </c>
      <c r="E567" s="3" t="s">
        <v>15</v>
      </c>
      <c r="F567" s="8">
        <v>706100000</v>
      </c>
      <c r="G567" s="14" t="s">
        <v>163</v>
      </c>
      <c r="H567" s="2"/>
    </row>
    <row r="568" spans="1:11" ht="15.75" customHeight="1">
      <c r="A568" s="9">
        <v>2017</v>
      </c>
      <c r="B568" s="14" t="s">
        <v>163</v>
      </c>
      <c r="C568" s="2" t="s">
        <v>163</v>
      </c>
      <c r="D568" s="14" t="s">
        <v>164</v>
      </c>
      <c r="E568" s="2" t="s">
        <v>16</v>
      </c>
      <c r="F568" s="8">
        <v>1900000</v>
      </c>
      <c r="G568" s="14" t="s">
        <v>163</v>
      </c>
      <c r="H568" s="2"/>
      <c r="I568" s="2"/>
      <c r="J568" s="2" t="s">
        <v>16</v>
      </c>
    </row>
    <row r="569" spans="1:11" ht="15.75" customHeight="1">
      <c r="A569" s="9">
        <v>2017</v>
      </c>
      <c r="B569" s="14" t="s">
        <v>163</v>
      </c>
      <c r="C569" s="2" t="s">
        <v>163</v>
      </c>
      <c r="D569" s="14" t="s">
        <v>164</v>
      </c>
      <c r="E569" s="3" t="s">
        <v>14</v>
      </c>
      <c r="F569" s="8">
        <v>263000000</v>
      </c>
      <c r="G569" s="14" t="s">
        <v>163</v>
      </c>
      <c r="H569" s="2"/>
      <c r="I569" s="5"/>
      <c r="J569" s="5"/>
      <c r="K569" s="5"/>
    </row>
    <row r="570" spans="1:11" ht="15.75" customHeight="1">
      <c r="A570" s="9">
        <v>2017</v>
      </c>
      <c r="B570" s="14" t="s">
        <v>163</v>
      </c>
      <c r="C570" s="2" t="s">
        <v>163</v>
      </c>
      <c r="D570" s="14" t="s">
        <v>164</v>
      </c>
      <c r="E570" s="3" t="s">
        <v>15</v>
      </c>
      <c r="F570" s="8">
        <v>570700000</v>
      </c>
      <c r="G570" s="14" t="s">
        <v>163</v>
      </c>
      <c r="H570" s="2"/>
    </row>
    <row r="571" spans="1:11" ht="15.75" customHeight="1">
      <c r="A571" s="9">
        <v>2017</v>
      </c>
      <c r="B571" s="14" t="s">
        <v>163</v>
      </c>
      <c r="C571" s="2" t="s">
        <v>163</v>
      </c>
      <c r="D571" s="14" t="s">
        <v>164</v>
      </c>
      <c r="E571" s="2" t="s">
        <v>16</v>
      </c>
      <c r="F571" s="8">
        <v>2300000</v>
      </c>
      <c r="G571" s="14" t="s">
        <v>163</v>
      </c>
      <c r="H571" s="2"/>
      <c r="I571" s="2"/>
      <c r="J571" s="2" t="s">
        <v>16</v>
      </c>
    </row>
    <row r="572" spans="1:11" ht="15.75" customHeight="1">
      <c r="A572" s="9">
        <v>2017</v>
      </c>
      <c r="B572" s="14" t="s">
        <v>163</v>
      </c>
      <c r="C572" s="2" t="s">
        <v>163</v>
      </c>
      <c r="D572" s="14" t="s">
        <v>164</v>
      </c>
      <c r="E572" s="3" t="s">
        <v>14</v>
      </c>
      <c r="F572" s="8">
        <v>266200000</v>
      </c>
      <c r="G572" s="14" t="s">
        <v>163</v>
      </c>
      <c r="H572" s="2" t="s">
        <v>17</v>
      </c>
    </row>
    <row r="573" spans="1:11" ht="15.75" customHeight="1">
      <c r="A573" s="9">
        <v>2017</v>
      </c>
      <c r="B573" s="14" t="s">
        <v>163</v>
      </c>
      <c r="C573" s="2" t="s">
        <v>163</v>
      </c>
      <c r="D573" s="14" t="s">
        <v>164</v>
      </c>
      <c r="E573" s="3" t="s">
        <v>15</v>
      </c>
      <c r="F573" s="8">
        <v>551900000</v>
      </c>
      <c r="G573" s="14" t="s">
        <v>163</v>
      </c>
      <c r="H573" s="2" t="s">
        <v>17</v>
      </c>
    </row>
    <row r="574" spans="1:11" ht="15.75" customHeight="1">
      <c r="A574" s="9">
        <v>2017</v>
      </c>
      <c r="B574" s="14" t="s">
        <v>163</v>
      </c>
      <c r="C574" s="2" t="s">
        <v>163</v>
      </c>
      <c r="D574" s="14" t="s">
        <v>164</v>
      </c>
      <c r="E574" s="2" t="s">
        <v>16</v>
      </c>
      <c r="F574" s="8">
        <v>2000000</v>
      </c>
      <c r="G574" s="14" t="s">
        <v>163</v>
      </c>
      <c r="H574" s="2" t="s">
        <v>17</v>
      </c>
      <c r="I574" s="2"/>
      <c r="J574" s="2" t="s">
        <v>16</v>
      </c>
    </row>
    <row r="575" spans="1:11" ht="15.75" customHeight="1">
      <c r="A575" s="9">
        <v>2017</v>
      </c>
      <c r="B575" s="3" t="s">
        <v>165</v>
      </c>
      <c r="C575" s="2" t="s">
        <v>166</v>
      </c>
      <c r="D575" s="14" t="s">
        <v>167</v>
      </c>
      <c r="E575" s="3" t="s">
        <v>14</v>
      </c>
      <c r="F575" s="8">
        <v>5357651</v>
      </c>
      <c r="G575" s="3" t="s">
        <v>165</v>
      </c>
      <c r="H575" s="2" t="s">
        <v>67</v>
      </c>
    </row>
    <row r="576" spans="1:11" ht="15.75" customHeight="1">
      <c r="A576" s="9">
        <v>2017</v>
      </c>
      <c r="B576" s="14" t="s">
        <v>163</v>
      </c>
      <c r="C576" s="2" t="s">
        <v>163</v>
      </c>
      <c r="D576" s="14" t="s">
        <v>164</v>
      </c>
      <c r="E576" s="3" t="s">
        <v>14</v>
      </c>
      <c r="F576" s="8">
        <v>223800000</v>
      </c>
      <c r="G576" s="14" t="s">
        <v>163</v>
      </c>
      <c r="H576" s="2" t="s">
        <v>17</v>
      </c>
    </row>
    <row r="577" spans="1:10" ht="15.75" customHeight="1">
      <c r="A577" s="9">
        <v>2017</v>
      </c>
      <c r="B577" s="14" t="s">
        <v>163</v>
      </c>
      <c r="C577" s="2" t="s">
        <v>163</v>
      </c>
      <c r="D577" s="14" t="s">
        <v>164</v>
      </c>
      <c r="E577" s="3" t="s">
        <v>15</v>
      </c>
      <c r="F577" s="8">
        <v>539700000</v>
      </c>
      <c r="G577" s="14" t="s">
        <v>163</v>
      </c>
      <c r="H577" s="2" t="s">
        <v>17</v>
      </c>
    </row>
    <row r="578" spans="1:10" ht="15.75" customHeight="1">
      <c r="A578" s="9">
        <v>2017</v>
      </c>
      <c r="B578" s="14" t="s">
        <v>163</v>
      </c>
      <c r="C578" s="2" t="s">
        <v>163</v>
      </c>
      <c r="D578" s="14" t="s">
        <v>164</v>
      </c>
      <c r="E578" s="2" t="s">
        <v>16</v>
      </c>
      <c r="F578" s="8">
        <v>2500000</v>
      </c>
      <c r="G578" s="14" t="s">
        <v>163</v>
      </c>
      <c r="H578" s="2" t="s">
        <v>17</v>
      </c>
      <c r="I578" s="2"/>
      <c r="J578" s="2" t="s">
        <v>16</v>
      </c>
    </row>
    <row r="579" spans="1:10" ht="15.75" customHeight="1">
      <c r="A579" s="9">
        <v>2017</v>
      </c>
      <c r="B579" s="2" t="s">
        <v>94</v>
      </c>
      <c r="C579" s="2" t="s">
        <v>94</v>
      </c>
      <c r="D579" s="2" t="s">
        <v>95</v>
      </c>
      <c r="E579" s="2" t="s">
        <v>16</v>
      </c>
      <c r="F579" s="8">
        <v>2000000</v>
      </c>
      <c r="G579" s="2" t="s">
        <v>94</v>
      </c>
      <c r="H579" s="2" t="s">
        <v>22</v>
      </c>
      <c r="I579" s="2"/>
      <c r="J579" s="2" t="s">
        <v>16</v>
      </c>
    </row>
    <row r="580" spans="1:10" ht="15.75" customHeight="1">
      <c r="A580" s="9">
        <v>2017</v>
      </c>
      <c r="B580" s="14" t="s">
        <v>163</v>
      </c>
      <c r="C580" s="2" t="s">
        <v>163</v>
      </c>
      <c r="D580" s="14" t="s">
        <v>164</v>
      </c>
      <c r="E580" s="3" t="s">
        <v>15</v>
      </c>
      <c r="F580" s="8">
        <v>350600000</v>
      </c>
      <c r="G580" s="14" t="s">
        <v>163</v>
      </c>
      <c r="H580" s="2" t="s">
        <v>17</v>
      </c>
    </row>
    <row r="581" spans="1:10" ht="15.75" customHeight="1">
      <c r="A581" s="9">
        <v>2017</v>
      </c>
      <c r="B581" s="2" t="s">
        <v>57</v>
      </c>
      <c r="C581" s="2" t="s">
        <v>57</v>
      </c>
      <c r="D581" s="2" t="s">
        <v>58</v>
      </c>
      <c r="E581" s="3" t="s">
        <v>15</v>
      </c>
      <c r="F581" s="8">
        <v>1820000000</v>
      </c>
      <c r="G581" s="2" t="s">
        <v>57</v>
      </c>
      <c r="H581" s="2" t="s">
        <v>17</v>
      </c>
    </row>
    <row r="582" spans="1:10" ht="15.75" customHeight="1">
      <c r="A582" s="9">
        <v>2017</v>
      </c>
      <c r="B582" s="2" t="s">
        <v>57</v>
      </c>
      <c r="C582" s="2" t="s">
        <v>57</v>
      </c>
      <c r="D582" s="2" t="s">
        <v>58</v>
      </c>
      <c r="E582" s="3" t="s">
        <v>15</v>
      </c>
      <c r="F582" s="8">
        <v>604600000</v>
      </c>
      <c r="G582" s="3" t="s">
        <v>71</v>
      </c>
      <c r="H582" s="2" t="s">
        <v>36</v>
      </c>
    </row>
    <row r="583" spans="1:10" ht="15.75" customHeight="1">
      <c r="A583" s="9">
        <v>2017</v>
      </c>
      <c r="B583" s="3" t="s">
        <v>163</v>
      </c>
      <c r="C583" s="2" t="s">
        <v>163</v>
      </c>
      <c r="D583" s="14" t="s">
        <v>164</v>
      </c>
      <c r="E583" s="3" t="s">
        <v>14</v>
      </c>
      <c r="F583" s="8">
        <v>306522537</v>
      </c>
      <c r="G583" s="3" t="s">
        <v>163</v>
      </c>
      <c r="H583" s="2" t="s">
        <v>13</v>
      </c>
    </row>
    <row r="584" spans="1:10" ht="15.75" customHeight="1">
      <c r="A584" s="9">
        <v>2017</v>
      </c>
      <c r="B584" s="2" t="s">
        <v>163</v>
      </c>
      <c r="C584" s="2" t="s">
        <v>163</v>
      </c>
      <c r="D584" s="2" t="s">
        <v>164</v>
      </c>
      <c r="E584" s="3" t="s">
        <v>15</v>
      </c>
      <c r="F584" s="4">
        <v>536927963</v>
      </c>
      <c r="G584" s="2" t="s">
        <v>163</v>
      </c>
      <c r="H584" s="2" t="s">
        <v>13</v>
      </c>
      <c r="I584" s="15"/>
      <c r="J584" s="15"/>
    </row>
    <row r="585" spans="1:10" ht="15.75" customHeight="1">
      <c r="A585" s="9">
        <v>2017</v>
      </c>
      <c r="B585" s="2" t="s">
        <v>168</v>
      </c>
      <c r="C585" s="2" t="s">
        <v>168</v>
      </c>
      <c r="D585" s="2" t="s">
        <v>169</v>
      </c>
      <c r="E585" s="3" t="s">
        <v>14</v>
      </c>
      <c r="F585" s="8">
        <v>115400000</v>
      </c>
      <c r="G585" s="2" t="s">
        <v>168</v>
      </c>
      <c r="H585" s="2" t="s">
        <v>22</v>
      </c>
    </row>
    <row r="586" spans="1:10" ht="15.75" customHeight="1">
      <c r="A586" s="9">
        <v>2017</v>
      </c>
      <c r="B586" s="2" t="s">
        <v>168</v>
      </c>
      <c r="C586" s="2" t="s">
        <v>168</v>
      </c>
      <c r="D586" s="2" t="s">
        <v>169</v>
      </c>
      <c r="E586" s="3" t="s">
        <v>15</v>
      </c>
      <c r="F586" s="8">
        <v>339400000</v>
      </c>
      <c r="G586" s="2" t="s">
        <v>168</v>
      </c>
      <c r="H586" s="2" t="s">
        <v>22</v>
      </c>
    </row>
    <row r="587" spans="1:10" ht="15.75" customHeight="1">
      <c r="A587" s="9">
        <v>2017</v>
      </c>
      <c r="B587" s="2" t="s">
        <v>168</v>
      </c>
      <c r="C587" s="2" t="s">
        <v>168</v>
      </c>
      <c r="D587" s="2" t="s">
        <v>169</v>
      </c>
      <c r="E587" s="2" t="s">
        <v>16</v>
      </c>
      <c r="F587" s="8">
        <v>3200000</v>
      </c>
      <c r="G587" s="2" t="s">
        <v>168</v>
      </c>
      <c r="H587" s="2" t="s">
        <v>22</v>
      </c>
      <c r="I587" s="2"/>
      <c r="J587" s="2" t="s">
        <v>16</v>
      </c>
    </row>
    <row r="588" spans="1:10" ht="15.75" customHeight="1">
      <c r="A588" s="9">
        <v>2017</v>
      </c>
      <c r="B588" s="2" t="s">
        <v>168</v>
      </c>
      <c r="C588" s="2" t="s">
        <v>168</v>
      </c>
      <c r="D588" s="2" t="s">
        <v>169</v>
      </c>
      <c r="E588" s="3" t="s">
        <v>14</v>
      </c>
      <c r="F588" s="8">
        <v>76500000</v>
      </c>
      <c r="G588" s="2" t="s">
        <v>168</v>
      </c>
      <c r="H588" s="2" t="s">
        <v>22</v>
      </c>
    </row>
    <row r="589" spans="1:10" ht="15.75" customHeight="1">
      <c r="A589" s="9">
        <v>2017</v>
      </c>
      <c r="B589" s="2" t="s">
        <v>168</v>
      </c>
      <c r="C589" s="2" t="s">
        <v>168</v>
      </c>
      <c r="D589" s="2" t="s">
        <v>169</v>
      </c>
      <c r="E589" s="3" t="s">
        <v>15</v>
      </c>
      <c r="F589" s="8">
        <v>123000000</v>
      </c>
      <c r="G589" s="2" t="s">
        <v>168</v>
      </c>
      <c r="H589" s="2" t="s">
        <v>22</v>
      </c>
    </row>
    <row r="590" spans="1:10" ht="15.75" customHeight="1">
      <c r="A590" s="9">
        <v>2017</v>
      </c>
      <c r="B590" s="2" t="s">
        <v>168</v>
      </c>
      <c r="C590" s="2" t="s">
        <v>168</v>
      </c>
      <c r="D590" s="2" t="s">
        <v>169</v>
      </c>
      <c r="E590" s="2" t="s">
        <v>16</v>
      </c>
      <c r="F590" s="8">
        <v>2900000</v>
      </c>
      <c r="G590" s="2" t="s">
        <v>168</v>
      </c>
      <c r="H590" s="2" t="s">
        <v>22</v>
      </c>
      <c r="I590" s="2"/>
      <c r="J590" s="2" t="s">
        <v>16</v>
      </c>
    </row>
    <row r="591" spans="1:10" ht="15.75" customHeight="1">
      <c r="A591" s="9">
        <v>2017</v>
      </c>
      <c r="B591" s="2" t="s">
        <v>170</v>
      </c>
      <c r="C591" s="2" t="s">
        <v>168</v>
      </c>
      <c r="D591" s="2" t="s">
        <v>169</v>
      </c>
      <c r="E591" s="2" t="s">
        <v>14</v>
      </c>
      <c r="F591" s="8">
        <v>77349389</v>
      </c>
      <c r="G591" s="2" t="s">
        <v>170</v>
      </c>
      <c r="H591" s="2" t="s">
        <v>22</v>
      </c>
    </row>
    <row r="592" spans="1:10" ht="15.75" customHeight="1">
      <c r="A592" s="9">
        <v>2017</v>
      </c>
      <c r="B592" s="2" t="s">
        <v>170</v>
      </c>
      <c r="C592" s="2" t="s">
        <v>168</v>
      </c>
      <c r="D592" s="2" t="s">
        <v>169</v>
      </c>
      <c r="E592" s="3" t="s">
        <v>15</v>
      </c>
      <c r="F592" s="8">
        <v>440542688</v>
      </c>
      <c r="G592" s="2" t="s">
        <v>170</v>
      </c>
      <c r="H592" s="2" t="s">
        <v>22</v>
      </c>
    </row>
    <row r="593" spans="1:10" ht="15.75" customHeight="1">
      <c r="A593" s="9">
        <v>2017</v>
      </c>
      <c r="B593" s="14" t="s">
        <v>171</v>
      </c>
      <c r="C593" s="14" t="s">
        <v>168</v>
      </c>
      <c r="D593" s="2" t="s">
        <v>169</v>
      </c>
      <c r="E593" s="3" t="s">
        <v>15</v>
      </c>
      <c r="F593" s="4">
        <v>1963473246</v>
      </c>
      <c r="G593" s="14" t="s">
        <v>171</v>
      </c>
      <c r="H593" s="14" t="s">
        <v>67</v>
      </c>
    </row>
    <row r="594" spans="1:10" ht="15.75" customHeight="1">
      <c r="A594" s="9">
        <v>2017</v>
      </c>
      <c r="B594" s="14" t="s">
        <v>171</v>
      </c>
      <c r="C594" s="14" t="s">
        <v>168</v>
      </c>
      <c r="D594" s="2" t="s">
        <v>169</v>
      </c>
      <c r="E594" s="14" t="s">
        <v>14</v>
      </c>
      <c r="F594" s="4">
        <v>1380067231</v>
      </c>
      <c r="G594" s="14" t="s">
        <v>171</v>
      </c>
      <c r="H594" s="14" t="s">
        <v>67</v>
      </c>
    </row>
    <row r="595" spans="1:10" ht="15.75" customHeight="1">
      <c r="A595" s="9">
        <v>2017</v>
      </c>
      <c r="B595" s="14" t="s">
        <v>172</v>
      </c>
      <c r="C595" s="14" t="s">
        <v>168</v>
      </c>
      <c r="D595" s="2" t="s">
        <v>169</v>
      </c>
      <c r="E595" s="14" t="s">
        <v>14</v>
      </c>
      <c r="F595" s="4">
        <v>332196745</v>
      </c>
      <c r="G595" s="14" t="s">
        <v>172</v>
      </c>
      <c r="H595" s="14" t="s">
        <v>22</v>
      </c>
    </row>
    <row r="596" spans="1:10" ht="15.75" customHeight="1">
      <c r="A596" s="9">
        <v>2017</v>
      </c>
      <c r="B596" s="14" t="s">
        <v>172</v>
      </c>
      <c r="C596" s="14" t="s">
        <v>168</v>
      </c>
      <c r="D596" s="2" t="s">
        <v>169</v>
      </c>
      <c r="E596" s="3" t="s">
        <v>15</v>
      </c>
      <c r="F596" s="4">
        <v>661180978</v>
      </c>
      <c r="G596" s="14" t="s">
        <v>172</v>
      </c>
      <c r="H596" s="14" t="s">
        <v>22</v>
      </c>
    </row>
    <row r="597" spans="1:10" ht="15.75" customHeight="1">
      <c r="A597" s="9">
        <v>2017</v>
      </c>
      <c r="B597" s="3" t="s">
        <v>173</v>
      </c>
      <c r="C597" s="2" t="s">
        <v>168</v>
      </c>
      <c r="D597" s="14" t="s">
        <v>169</v>
      </c>
      <c r="E597" s="3" t="s">
        <v>14</v>
      </c>
      <c r="F597" s="8">
        <v>157097790</v>
      </c>
      <c r="G597" s="3" t="s">
        <v>173</v>
      </c>
      <c r="H597" s="2" t="s">
        <v>67</v>
      </c>
    </row>
    <row r="598" spans="1:10" ht="15.75" customHeight="1">
      <c r="A598" s="9">
        <v>2017</v>
      </c>
      <c r="B598" s="2" t="s">
        <v>173</v>
      </c>
      <c r="C598" s="2" t="s">
        <v>168</v>
      </c>
      <c r="D598" s="2" t="s">
        <v>169</v>
      </c>
      <c r="E598" s="3" t="s">
        <v>15</v>
      </c>
      <c r="F598" s="4">
        <v>356759669</v>
      </c>
      <c r="G598" s="2" t="s">
        <v>173</v>
      </c>
      <c r="H598" s="2" t="s">
        <v>67</v>
      </c>
      <c r="I598" s="15"/>
      <c r="J598" s="15"/>
    </row>
    <row r="599" spans="1:10" ht="15.75" customHeight="1">
      <c r="A599" s="9">
        <v>2017</v>
      </c>
      <c r="B599" s="2" t="s">
        <v>174</v>
      </c>
      <c r="C599" s="2" t="s">
        <v>174</v>
      </c>
      <c r="D599" s="2" t="s">
        <v>175</v>
      </c>
      <c r="E599" s="3" t="s">
        <v>14</v>
      </c>
      <c r="F599" s="8">
        <v>14000000</v>
      </c>
      <c r="G599" s="2" t="s">
        <v>174</v>
      </c>
      <c r="H599" s="2" t="s">
        <v>22</v>
      </c>
    </row>
    <row r="600" spans="1:10" ht="15.75" customHeight="1">
      <c r="A600" s="9">
        <v>2017</v>
      </c>
      <c r="B600" s="2" t="s">
        <v>174</v>
      </c>
      <c r="C600" s="2" t="s">
        <v>174</v>
      </c>
      <c r="D600" s="2" t="s">
        <v>175</v>
      </c>
      <c r="E600" s="3" t="s">
        <v>15</v>
      </c>
      <c r="F600" s="8">
        <v>61000000</v>
      </c>
      <c r="G600" s="2" t="s">
        <v>174</v>
      </c>
      <c r="H600" s="2" t="s">
        <v>22</v>
      </c>
    </row>
    <row r="601" spans="1:10" ht="15.75" customHeight="1">
      <c r="A601" s="9">
        <v>2017</v>
      </c>
      <c r="B601" s="2" t="s">
        <v>174</v>
      </c>
      <c r="C601" s="2" t="s">
        <v>174</v>
      </c>
      <c r="D601" s="2" t="s">
        <v>175</v>
      </c>
      <c r="E601" s="2" t="s">
        <v>16</v>
      </c>
      <c r="F601" s="8">
        <v>199000</v>
      </c>
      <c r="G601" s="16" t="s">
        <v>174</v>
      </c>
      <c r="H601" s="2" t="s">
        <v>22</v>
      </c>
      <c r="I601" s="2"/>
      <c r="J601" s="2" t="s">
        <v>16</v>
      </c>
    </row>
    <row r="602" spans="1:10" ht="15.75" customHeight="1">
      <c r="A602" s="9">
        <v>2017</v>
      </c>
      <c r="B602" s="2" t="s">
        <v>176</v>
      </c>
      <c r="C602" s="2" t="s">
        <v>174</v>
      </c>
      <c r="D602" s="2" t="s">
        <v>175</v>
      </c>
      <c r="E602" s="3" t="s">
        <v>14</v>
      </c>
      <c r="F602" s="8">
        <v>475100000</v>
      </c>
      <c r="G602" s="2" t="s">
        <v>176</v>
      </c>
      <c r="H602" s="2"/>
    </row>
    <row r="603" spans="1:10" ht="15.75" customHeight="1">
      <c r="A603" s="9">
        <v>2017</v>
      </c>
      <c r="B603" s="2" t="s">
        <v>176</v>
      </c>
      <c r="C603" s="2" t="s">
        <v>174</v>
      </c>
      <c r="D603" s="2" t="s">
        <v>175</v>
      </c>
      <c r="E603" s="3" t="s">
        <v>15</v>
      </c>
      <c r="F603" s="8">
        <v>788500000</v>
      </c>
      <c r="G603" s="16" t="s">
        <v>176</v>
      </c>
      <c r="H603" s="2"/>
    </row>
    <row r="604" spans="1:10" ht="15.75" customHeight="1">
      <c r="A604" s="9">
        <v>2017</v>
      </c>
      <c r="B604" s="2" t="s">
        <v>177</v>
      </c>
      <c r="C604" s="2" t="s">
        <v>174</v>
      </c>
      <c r="D604" s="2" t="s">
        <v>175</v>
      </c>
      <c r="E604" s="3" t="s">
        <v>14</v>
      </c>
      <c r="F604" s="8">
        <v>35260463</v>
      </c>
      <c r="G604" s="2" t="s">
        <v>177</v>
      </c>
      <c r="H604" s="2" t="s">
        <v>13</v>
      </c>
    </row>
    <row r="605" spans="1:10" ht="15.75" customHeight="1">
      <c r="A605" s="9">
        <v>2017</v>
      </c>
      <c r="B605" s="2" t="s">
        <v>177</v>
      </c>
      <c r="C605" s="2" t="s">
        <v>174</v>
      </c>
      <c r="D605" s="2" t="s">
        <v>175</v>
      </c>
      <c r="E605" s="3" t="s">
        <v>15</v>
      </c>
      <c r="F605" s="8">
        <v>51231830</v>
      </c>
      <c r="G605" s="2" t="s">
        <v>177</v>
      </c>
      <c r="H605" s="2" t="s">
        <v>13</v>
      </c>
    </row>
    <row r="606" spans="1:10" ht="15.75" customHeight="1">
      <c r="A606" s="9">
        <v>2017</v>
      </c>
      <c r="B606" s="2" t="s">
        <v>177</v>
      </c>
      <c r="C606" s="2" t="s">
        <v>174</v>
      </c>
      <c r="D606" s="2" t="s">
        <v>175</v>
      </c>
      <c r="E606" s="2" t="s">
        <v>12</v>
      </c>
      <c r="F606" s="8">
        <v>600000</v>
      </c>
      <c r="G606" s="2" t="s">
        <v>177</v>
      </c>
      <c r="H606" s="2" t="s">
        <v>13</v>
      </c>
      <c r="I606" s="2"/>
      <c r="J606" s="2" t="s">
        <v>16</v>
      </c>
    </row>
    <row r="607" spans="1:10" ht="15.75" customHeight="1">
      <c r="A607" s="9">
        <v>2017</v>
      </c>
      <c r="B607" s="2" t="s">
        <v>178</v>
      </c>
      <c r="C607" s="2" t="s">
        <v>174</v>
      </c>
      <c r="D607" s="2" t="s">
        <v>175</v>
      </c>
      <c r="E607" s="2" t="s">
        <v>14</v>
      </c>
      <c r="F607" s="4">
        <v>53544941</v>
      </c>
      <c r="G607" s="2" t="s">
        <v>178</v>
      </c>
      <c r="H607" s="2" t="s">
        <v>13</v>
      </c>
    </row>
    <row r="608" spans="1:10" ht="15.75" customHeight="1">
      <c r="A608" s="9">
        <v>2017</v>
      </c>
      <c r="B608" s="2" t="s">
        <v>178</v>
      </c>
      <c r="C608" s="2" t="s">
        <v>174</v>
      </c>
      <c r="D608" s="2" t="s">
        <v>175</v>
      </c>
      <c r="E608" s="3" t="s">
        <v>15</v>
      </c>
      <c r="F608" s="8">
        <v>95508967</v>
      </c>
      <c r="G608" s="2" t="s">
        <v>178</v>
      </c>
      <c r="H608" s="2" t="s">
        <v>13</v>
      </c>
    </row>
    <row r="609" spans="1:10" ht="15.75" customHeight="1">
      <c r="A609" s="9">
        <v>2017</v>
      </c>
      <c r="B609" s="2" t="s">
        <v>178</v>
      </c>
      <c r="C609" s="2" t="s">
        <v>174</v>
      </c>
      <c r="D609" s="2" t="s">
        <v>175</v>
      </c>
      <c r="E609" s="3" t="s">
        <v>12</v>
      </c>
      <c r="F609" s="8">
        <v>500000</v>
      </c>
      <c r="G609" s="2" t="s">
        <v>178</v>
      </c>
      <c r="H609" s="2" t="s">
        <v>13</v>
      </c>
      <c r="I609" s="3"/>
      <c r="J609" s="3" t="s">
        <v>16</v>
      </c>
    </row>
    <row r="610" spans="1:10" ht="15.75" customHeight="1">
      <c r="A610" s="9">
        <v>2017</v>
      </c>
      <c r="B610" s="2" t="s">
        <v>179</v>
      </c>
      <c r="C610" s="2" t="s">
        <v>174</v>
      </c>
      <c r="D610" s="2" t="s">
        <v>175</v>
      </c>
      <c r="E610" s="2" t="s">
        <v>16</v>
      </c>
      <c r="F610" s="8">
        <v>3060000</v>
      </c>
      <c r="G610" s="2" t="s">
        <v>176</v>
      </c>
      <c r="H610" s="2"/>
      <c r="I610" s="2"/>
      <c r="J610" s="2" t="s">
        <v>16</v>
      </c>
    </row>
    <row r="611" spans="1:10" ht="15.75" customHeight="1">
      <c r="A611" s="9">
        <v>2017</v>
      </c>
      <c r="B611" s="2" t="s">
        <v>180</v>
      </c>
      <c r="C611" s="2" t="s">
        <v>174</v>
      </c>
      <c r="D611" s="2" t="s">
        <v>175</v>
      </c>
      <c r="E611" s="3" t="s">
        <v>15</v>
      </c>
      <c r="F611" s="4">
        <v>33258170</v>
      </c>
      <c r="G611" s="2" t="s">
        <v>180</v>
      </c>
      <c r="H611" s="2" t="s">
        <v>22</v>
      </c>
      <c r="I611" s="15"/>
      <c r="J611" s="15"/>
    </row>
    <row r="612" spans="1:10" ht="15.75" customHeight="1">
      <c r="A612" s="9">
        <v>2017</v>
      </c>
      <c r="B612" s="2" t="s">
        <v>180</v>
      </c>
      <c r="C612" s="2" t="s">
        <v>174</v>
      </c>
      <c r="D612" s="2" t="s">
        <v>175</v>
      </c>
      <c r="E612" s="2" t="s">
        <v>14</v>
      </c>
      <c r="F612" s="4">
        <v>17950207</v>
      </c>
      <c r="G612" s="2" t="s">
        <v>180</v>
      </c>
      <c r="H612" s="2" t="s">
        <v>22</v>
      </c>
      <c r="I612" s="15"/>
      <c r="J612" s="15"/>
    </row>
    <row r="613" spans="1:10" ht="15.75" customHeight="1">
      <c r="A613" s="9">
        <v>2017</v>
      </c>
      <c r="B613" s="14" t="s">
        <v>181</v>
      </c>
      <c r="C613" s="14" t="s">
        <v>181</v>
      </c>
      <c r="D613" s="14" t="s">
        <v>182</v>
      </c>
      <c r="E613" s="3" t="s">
        <v>15</v>
      </c>
      <c r="F613" s="4">
        <v>59195017</v>
      </c>
      <c r="G613" s="14" t="s">
        <v>181</v>
      </c>
      <c r="H613" s="14" t="s">
        <v>13</v>
      </c>
    </row>
    <row r="614" spans="1:10" ht="15.75" customHeight="1">
      <c r="A614" s="9">
        <v>2017</v>
      </c>
      <c r="B614" s="14" t="s">
        <v>181</v>
      </c>
      <c r="C614" s="14" t="s">
        <v>181</v>
      </c>
      <c r="D614" s="14" t="s">
        <v>182</v>
      </c>
      <c r="E614" s="14" t="s">
        <v>14</v>
      </c>
      <c r="F614" s="4">
        <v>36263227</v>
      </c>
      <c r="G614" s="14" t="s">
        <v>181</v>
      </c>
      <c r="H614" s="14" t="s">
        <v>13</v>
      </c>
    </row>
    <row r="615" spans="1:10" ht="15.75" customHeight="1">
      <c r="A615" s="9">
        <v>2017</v>
      </c>
      <c r="B615" s="2" t="s">
        <v>181</v>
      </c>
      <c r="C615" s="2" t="s">
        <v>181</v>
      </c>
      <c r="D615" s="14" t="s">
        <v>182</v>
      </c>
      <c r="E615" s="3" t="s">
        <v>14</v>
      </c>
      <c r="F615" s="8">
        <v>5200000</v>
      </c>
      <c r="G615" s="2" t="s">
        <v>181</v>
      </c>
      <c r="H615" s="2"/>
    </row>
    <row r="616" spans="1:10" ht="15.75" customHeight="1">
      <c r="A616" s="9">
        <v>2017</v>
      </c>
      <c r="B616" s="2" t="s">
        <v>181</v>
      </c>
      <c r="C616" s="2" t="s">
        <v>181</v>
      </c>
      <c r="D616" s="14" t="s">
        <v>182</v>
      </c>
      <c r="E616" s="3" t="s">
        <v>15</v>
      </c>
      <c r="F616" s="8">
        <v>14300000</v>
      </c>
      <c r="G616" s="2" t="s">
        <v>181</v>
      </c>
      <c r="H616" s="2"/>
    </row>
    <row r="617" spans="1:10" ht="15.75" customHeight="1">
      <c r="A617" s="9">
        <v>2017</v>
      </c>
      <c r="B617" s="2" t="s">
        <v>181</v>
      </c>
      <c r="C617" s="2" t="s">
        <v>181</v>
      </c>
      <c r="D617" s="14" t="s">
        <v>182</v>
      </c>
      <c r="E617" s="3" t="s">
        <v>14</v>
      </c>
      <c r="F617" s="8">
        <v>9400000</v>
      </c>
      <c r="G617" s="2" t="s">
        <v>181</v>
      </c>
      <c r="H617" s="2" t="s">
        <v>17</v>
      </c>
    </row>
    <row r="618" spans="1:10" ht="15.75" customHeight="1">
      <c r="A618" s="9">
        <v>2017</v>
      </c>
      <c r="B618" s="2" t="s">
        <v>181</v>
      </c>
      <c r="C618" s="2" t="s">
        <v>181</v>
      </c>
      <c r="D618" s="14" t="s">
        <v>182</v>
      </c>
      <c r="E618" s="3" t="s">
        <v>15</v>
      </c>
      <c r="F618" s="8">
        <v>23700000</v>
      </c>
      <c r="G618" s="2" t="s">
        <v>181</v>
      </c>
      <c r="H618" s="2" t="s">
        <v>17</v>
      </c>
    </row>
    <row r="619" spans="1:10" ht="15.75" customHeight="1">
      <c r="A619" s="9">
        <v>2017</v>
      </c>
      <c r="B619" s="2" t="s">
        <v>181</v>
      </c>
      <c r="C619" s="2" t="s">
        <v>181</v>
      </c>
      <c r="D619" s="14" t="s">
        <v>182</v>
      </c>
      <c r="E619" s="2" t="s">
        <v>16</v>
      </c>
      <c r="F619" s="8">
        <v>166000</v>
      </c>
      <c r="G619" s="2" t="s">
        <v>181</v>
      </c>
      <c r="H619" s="2" t="s">
        <v>17</v>
      </c>
      <c r="I619" s="2"/>
      <c r="J619" s="2" t="s">
        <v>16</v>
      </c>
    </row>
    <row r="620" spans="1:10" ht="15.75" customHeight="1">
      <c r="A620" s="9">
        <v>2020</v>
      </c>
      <c r="B620" s="2" t="s">
        <v>183</v>
      </c>
      <c r="C620" s="2" t="s">
        <v>183</v>
      </c>
      <c r="D620" s="2" t="s">
        <v>184</v>
      </c>
      <c r="E620" s="3" t="s">
        <v>14</v>
      </c>
      <c r="F620" s="8">
        <v>20900000</v>
      </c>
      <c r="G620" s="2" t="s">
        <v>183</v>
      </c>
      <c r="H620" s="2"/>
    </row>
    <row r="621" spans="1:10" ht="15.75" customHeight="1">
      <c r="A621" s="9">
        <v>2020</v>
      </c>
      <c r="B621" s="2" t="s">
        <v>183</v>
      </c>
      <c r="C621" s="2" t="s">
        <v>183</v>
      </c>
      <c r="D621" s="2" t="s">
        <v>184</v>
      </c>
      <c r="E621" s="3" t="s">
        <v>15</v>
      </c>
      <c r="F621" s="8">
        <v>64099999.999999993</v>
      </c>
      <c r="G621" s="2" t="s">
        <v>183</v>
      </c>
      <c r="H621" s="2"/>
    </row>
    <row r="622" spans="1:10" ht="15.75" customHeight="1">
      <c r="A622" s="9">
        <v>2020</v>
      </c>
      <c r="B622" s="2" t="s">
        <v>183</v>
      </c>
      <c r="C622" s="2" t="s">
        <v>183</v>
      </c>
      <c r="D622" s="2" t="s">
        <v>184</v>
      </c>
      <c r="E622" s="2" t="s">
        <v>16</v>
      </c>
      <c r="F622" s="8">
        <v>2900000</v>
      </c>
      <c r="G622" s="2" t="s">
        <v>183</v>
      </c>
      <c r="H622" s="2"/>
      <c r="I622" s="2"/>
      <c r="J622" s="2" t="s">
        <v>16</v>
      </c>
    </row>
    <row r="623" spans="1:10" ht="15.75" customHeight="1">
      <c r="A623" s="9">
        <v>2020</v>
      </c>
      <c r="B623" s="2" t="s">
        <v>183</v>
      </c>
      <c r="C623" s="2" t="s">
        <v>183</v>
      </c>
      <c r="D623" s="2" t="s">
        <v>184</v>
      </c>
      <c r="E623" s="3" t="s">
        <v>14</v>
      </c>
      <c r="F623" s="8">
        <v>10200000</v>
      </c>
      <c r="G623" s="2" t="s">
        <v>183</v>
      </c>
      <c r="H623" s="2"/>
    </row>
    <row r="624" spans="1:10" ht="15.75" customHeight="1">
      <c r="A624" s="9">
        <v>2020</v>
      </c>
      <c r="B624" s="2" t="s">
        <v>183</v>
      </c>
      <c r="C624" s="2" t="s">
        <v>183</v>
      </c>
      <c r="D624" s="2" t="s">
        <v>184</v>
      </c>
      <c r="E624" s="3" t="s">
        <v>15</v>
      </c>
      <c r="F624" s="8">
        <v>59400000</v>
      </c>
      <c r="G624" s="2" t="s">
        <v>183</v>
      </c>
      <c r="H624" s="2"/>
    </row>
    <row r="625" spans="1:11" ht="15.75" customHeight="1">
      <c r="A625" s="9">
        <v>2020</v>
      </c>
      <c r="B625" s="2" t="s">
        <v>183</v>
      </c>
      <c r="C625" s="2" t="s">
        <v>183</v>
      </c>
      <c r="D625" s="2" t="s">
        <v>184</v>
      </c>
      <c r="E625" s="2" t="s">
        <v>16</v>
      </c>
      <c r="F625" s="8">
        <v>4300000</v>
      </c>
      <c r="G625" s="2" t="s">
        <v>183</v>
      </c>
      <c r="H625" s="2"/>
      <c r="I625" s="2"/>
      <c r="J625" s="2" t="s">
        <v>16</v>
      </c>
    </row>
    <row r="626" spans="1:11" ht="15.75" customHeight="1">
      <c r="A626" s="9">
        <v>2020</v>
      </c>
      <c r="B626" s="2" t="s">
        <v>183</v>
      </c>
      <c r="C626" s="2" t="s">
        <v>183</v>
      </c>
      <c r="D626" s="2" t="s">
        <v>184</v>
      </c>
      <c r="E626" s="3" t="s">
        <v>14</v>
      </c>
      <c r="F626" s="8">
        <v>6500000</v>
      </c>
      <c r="G626" s="2" t="s">
        <v>183</v>
      </c>
      <c r="H626" s="2"/>
    </row>
    <row r="627" spans="1:11" ht="15.75" customHeight="1">
      <c r="A627" s="9">
        <v>2020</v>
      </c>
      <c r="B627" s="2" t="s">
        <v>183</v>
      </c>
      <c r="C627" s="2" t="s">
        <v>183</v>
      </c>
      <c r="D627" s="2" t="s">
        <v>184</v>
      </c>
      <c r="E627" s="3" t="s">
        <v>15</v>
      </c>
      <c r="F627" s="8">
        <v>19900000</v>
      </c>
      <c r="G627" s="2" t="s">
        <v>183</v>
      </c>
      <c r="H627" s="2"/>
    </row>
    <row r="628" spans="1:11" ht="15.75" customHeight="1">
      <c r="A628" s="9">
        <v>2020</v>
      </c>
      <c r="B628" s="2" t="s">
        <v>183</v>
      </c>
      <c r="C628" s="2" t="s">
        <v>183</v>
      </c>
      <c r="D628" s="2" t="s">
        <v>184</v>
      </c>
      <c r="E628" s="2" t="s">
        <v>16</v>
      </c>
      <c r="F628" s="8">
        <v>620461</v>
      </c>
      <c r="G628" s="2" t="s">
        <v>183</v>
      </c>
      <c r="H628" s="2"/>
      <c r="I628" s="2"/>
      <c r="J628" s="2" t="s">
        <v>16</v>
      </c>
    </row>
    <row r="629" spans="1:11" ht="15.75" customHeight="1">
      <c r="A629" s="9">
        <v>2020</v>
      </c>
      <c r="B629" s="2" t="s">
        <v>183</v>
      </c>
      <c r="C629" s="2" t="s">
        <v>183</v>
      </c>
      <c r="D629" s="2" t="s">
        <v>184</v>
      </c>
      <c r="E629" s="3" t="s">
        <v>14</v>
      </c>
      <c r="F629" s="8">
        <v>2900000</v>
      </c>
      <c r="G629" s="2" t="s">
        <v>183</v>
      </c>
      <c r="H629" s="2" t="s">
        <v>17</v>
      </c>
    </row>
    <row r="630" spans="1:11" ht="15.75" customHeight="1">
      <c r="A630" s="9">
        <v>2020</v>
      </c>
      <c r="B630" s="2" t="s">
        <v>183</v>
      </c>
      <c r="C630" s="2" t="s">
        <v>183</v>
      </c>
      <c r="D630" s="2" t="s">
        <v>184</v>
      </c>
      <c r="E630" s="3" t="s">
        <v>15</v>
      </c>
      <c r="F630" s="8">
        <v>15800000</v>
      </c>
      <c r="G630" s="2" t="s">
        <v>183</v>
      </c>
      <c r="H630" s="2" t="s">
        <v>17</v>
      </c>
      <c r="K630" s="5"/>
    </row>
    <row r="631" spans="1:11" ht="15.75" customHeight="1">
      <c r="A631" s="9">
        <v>2020</v>
      </c>
      <c r="B631" s="2" t="s">
        <v>183</v>
      </c>
      <c r="C631" s="2" t="s">
        <v>183</v>
      </c>
      <c r="D631" s="2" t="s">
        <v>184</v>
      </c>
      <c r="E631" s="2" t="s">
        <v>16</v>
      </c>
      <c r="F631" s="8">
        <v>881000</v>
      </c>
      <c r="G631" s="2" t="s">
        <v>183</v>
      </c>
      <c r="H631" s="2" t="s">
        <v>17</v>
      </c>
      <c r="I631" s="2"/>
      <c r="J631" s="2" t="s">
        <v>16</v>
      </c>
    </row>
    <row r="632" spans="1:11" ht="15.75" customHeight="1">
      <c r="A632" s="9">
        <v>2020</v>
      </c>
      <c r="B632" s="2" t="s">
        <v>183</v>
      </c>
      <c r="C632" s="2" t="s">
        <v>183</v>
      </c>
      <c r="D632" s="2" t="s">
        <v>184</v>
      </c>
      <c r="E632" s="3" t="s">
        <v>14</v>
      </c>
      <c r="F632" s="8">
        <v>6800000</v>
      </c>
      <c r="G632" s="2" t="s">
        <v>183</v>
      </c>
      <c r="H632" s="2" t="s">
        <v>22</v>
      </c>
    </row>
    <row r="633" spans="1:11" ht="15.75" customHeight="1">
      <c r="A633" s="9">
        <v>2020</v>
      </c>
      <c r="B633" s="2" t="s">
        <v>183</v>
      </c>
      <c r="C633" s="2" t="s">
        <v>183</v>
      </c>
      <c r="D633" s="2" t="s">
        <v>184</v>
      </c>
      <c r="E633" s="3" t="s">
        <v>15</v>
      </c>
      <c r="F633" s="8">
        <v>16300000</v>
      </c>
      <c r="G633" s="2" t="s">
        <v>183</v>
      </c>
      <c r="H633" s="2" t="s">
        <v>22</v>
      </c>
    </row>
    <row r="634" spans="1:11" ht="15.75" customHeight="1">
      <c r="A634" s="9">
        <v>2020</v>
      </c>
      <c r="B634" s="2" t="s">
        <v>183</v>
      </c>
      <c r="C634" s="2" t="s">
        <v>183</v>
      </c>
      <c r="D634" s="2" t="s">
        <v>184</v>
      </c>
      <c r="E634" s="2" t="s">
        <v>16</v>
      </c>
      <c r="F634" s="8">
        <v>814000</v>
      </c>
      <c r="G634" s="2" t="s">
        <v>183</v>
      </c>
      <c r="H634" s="2" t="s">
        <v>22</v>
      </c>
      <c r="I634" s="2"/>
      <c r="J634" s="2" t="s">
        <v>16</v>
      </c>
    </row>
    <row r="635" spans="1:11" ht="15.75" customHeight="1">
      <c r="A635" s="9">
        <v>2017</v>
      </c>
      <c r="B635" s="14" t="s">
        <v>185</v>
      </c>
      <c r="C635" s="14" t="s">
        <v>185</v>
      </c>
      <c r="D635" s="14" t="s">
        <v>186</v>
      </c>
      <c r="E635" s="3" t="s">
        <v>15</v>
      </c>
      <c r="F635" s="4">
        <v>596124332</v>
      </c>
      <c r="G635" s="14" t="s">
        <v>185</v>
      </c>
      <c r="H635" s="14" t="s">
        <v>13</v>
      </c>
    </row>
    <row r="636" spans="1:11" ht="15.75" customHeight="1">
      <c r="A636" s="9">
        <v>2017</v>
      </c>
      <c r="B636" s="14" t="s">
        <v>185</v>
      </c>
      <c r="C636" s="14" t="s">
        <v>185</v>
      </c>
      <c r="D636" s="14" t="s">
        <v>186</v>
      </c>
      <c r="E636" s="14" t="s">
        <v>14</v>
      </c>
      <c r="F636" s="4">
        <v>400104873</v>
      </c>
      <c r="G636" s="14" t="s">
        <v>185</v>
      </c>
      <c r="H636" s="14" t="s">
        <v>13</v>
      </c>
    </row>
    <row r="637" spans="1:11" ht="15.75" customHeight="1">
      <c r="A637" s="9">
        <v>2017</v>
      </c>
      <c r="B637" s="3" t="s">
        <v>185</v>
      </c>
      <c r="C637" s="2" t="s">
        <v>185</v>
      </c>
      <c r="D637" s="14" t="s">
        <v>186</v>
      </c>
      <c r="E637" s="3" t="s">
        <v>12</v>
      </c>
      <c r="F637" s="8">
        <v>2556404</v>
      </c>
      <c r="G637" s="3" t="s">
        <v>185</v>
      </c>
      <c r="H637" s="2" t="s">
        <v>13</v>
      </c>
      <c r="I637" s="3"/>
      <c r="J637" s="3" t="s">
        <v>16</v>
      </c>
    </row>
    <row r="638" spans="1:11" ht="15.75" customHeight="1">
      <c r="A638" s="9">
        <v>2017</v>
      </c>
      <c r="B638" s="2" t="s">
        <v>185</v>
      </c>
      <c r="C638" s="2" t="s">
        <v>185</v>
      </c>
      <c r="D638" s="14" t="s">
        <v>186</v>
      </c>
      <c r="E638" s="2" t="s">
        <v>14</v>
      </c>
      <c r="F638" s="4">
        <v>657301394</v>
      </c>
      <c r="G638" s="32" t="s">
        <v>185</v>
      </c>
      <c r="H638" s="2" t="s">
        <v>13</v>
      </c>
      <c r="I638" s="15"/>
      <c r="J638" s="15"/>
      <c r="K638" s="6"/>
    </row>
    <row r="639" spans="1:11" ht="15.75" customHeight="1">
      <c r="A639" s="9">
        <v>2017</v>
      </c>
      <c r="B639" s="2" t="s">
        <v>185</v>
      </c>
      <c r="C639" s="2" t="s">
        <v>185</v>
      </c>
      <c r="D639" s="14" t="s">
        <v>186</v>
      </c>
      <c r="E639" s="3" t="s">
        <v>14</v>
      </c>
      <c r="F639" s="8">
        <v>586131426</v>
      </c>
      <c r="G639" s="2" t="s">
        <v>185</v>
      </c>
      <c r="H639" s="2" t="s">
        <v>13</v>
      </c>
    </row>
    <row r="640" spans="1:11" ht="15.75" customHeight="1">
      <c r="A640" s="9">
        <v>2017</v>
      </c>
      <c r="B640" s="2" t="s">
        <v>185</v>
      </c>
      <c r="C640" s="2" t="s">
        <v>185</v>
      </c>
      <c r="D640" s="14" t="s">
        <v>186</v>
      </c>
      <c r="E640" s="3" t="s">
        <v>15</v>
      </c>
      <c r="F640" s="8">
        <v>1153087668</v>
      </c>
      <c r="G640" s="2" t="s">
        <v>185</v>
      </c>
      <c r="H640" s="2" t="s">
        <v>13</v>
      </c>
    </row>
    <row r="641" spans="1:11" ht="15.75" customHeight="1">
      <c r="A641" s="9">
        <v>2017</v>
      </c>
      <c r="B641" s="2" t="s">
        <v>185</v>
      </c>
      <c r="C641" s="2" t="s">
        <v>185</v>
      </c>
      <c r="D641" s="14" t="s">
        <v>186</v>
      </c>
      <c r="E641" s="3" t="s">
        <v>12</v>
      </c>
      <c r="F641" s="8">
        <v>3800000</v>
      </c>
      <c r="G641" s="2" t="s">
        <v>185</v>
      </c>
      <c r="H641" s="2" t="s">
        <v>13</v>
      </c>
      <c r="I641" s="3"/>
      <c r="J641" s="3" t="s">
        <v>16</v>
      </c>
      <c r="K641" s="5"/>
    </row>
    <row r="642" spans="1:11" ht="15.75" customHeight="1">
      <c r="A642" s="9">
        <v>2017</v>
      </c>
      <c r="B642" s="2" t="s">
        <v>185</v>
      </c>
      <c r="C642" s="2" t="s">
        <v>185</v>
      </c>
      <c r="D642" s="14" t="s">
        <v>186</v>
      </c>
      <c r="E642" s="3" t="s">
        <v>14</v>
      </c>
      <c r="F642" s="8">
        <v>457500000</v>
      </c>
      <c r="G642" s="2" t="s">
        <v>185</v>
      </c>
      <c r="H642" s="2"/>
    </row>
    <row r="643" spans="1:11" ht="15.75" customHeight="1">
      <c r="A643" s="9">
        <v>2017</v>
      </c>
      <c r="B643" s="2" t="s">
        <v>185</v>
      </c>
      <c r="C643" s="2" t="s">
        <v>185</v>
      </c>
      <c r="D643" s="14" t="s">
        <v>186</v>
      </c>
      <c r="E643" s="3" t="s">
        <v>15</v>
      </c>
      <c r="F643" s="8">
        <v>933100000</v>
      </c>
      <c r="G643" s="2" t="s">
        <v>185</v>
      </c>
      <c r="H643" s="2"/>
    </row>
    <row r="644" spans="1:11" ht="15.75" customHeight="1">
      <c r="A644" s="9">
        <v>2017</v>
      </c>
      <c r="B644" s="2" t="s">
        <v>185</v>
      </c>
      <c r="C644" s="2" t="s">
        <v>185</v>
      </c>
      <c r="D644" s="14" t="s">
        <v>186</v>
      </c>
      <c r="E644" s="2" t="s">
        <v>16</v>
      </c>
      <c r="F644" s="8">
        <v>3180000</v>
      </c>
      <c r="G644" s="2" t="s">
        <v>185</v>
      </c>
      <c r="H644" s="2"/>
      <c r="I644" s="2"/>
      <c r="J644" s="2" t="s">
        <v>16</v>
      </c>
    </row>
    <row r="645" spans="1:11" ht="15.75" customHeight="1">
      <c r="A645" s="9">
        <v>2017</v>
      </c>
      <c r="B645" s="2" t="s">
        <v>185</v>
      </c>
      <c r="C645" s="2" t="s">
        <v>185</v>
      </c>
      <c r="D645" s="14" t="s">
        <v>186</v>
      </c>
      <c r="E645" s="3" t="s">
        <v>14</v>
      </c>
      <c r="F645" s="8">
        <v>325600000</v>
      </c>
      <c r="G645" s="2" t="s">
        <v>185</v>
      </c>
      <c r="H645" s="2"/>
    </row>
    <row r="646" spans="1:11" ht="15.75" customHeight="1">
      <c r="A646" s="9">
        <v>2017</v>
      </c>
      <c r="B646" s="2" t="s">
        <v>185</v>
      </c>
      <c r="C646" s="2" t="s">
        <v>185</v>
      </c>
      <c r="D646" s="14" t="s">
        <v>186</v>
      </c>
      <c r="E646" s="3" t="s">
        <v>15</v>
      </c>
      <c r="F646" s="8">
        <v>862600000</v>
      </c>
      <c r="G646" s="2" t="s">
        <v>185</v>
      </c>
      <c r="H646" s="2"/>
    </row>
    <row r="647" spans="1:11" ht="15.75" customHeight="1">
      <c r="A647" s="7">
        <v>2018</v>
      </c>
      <c r="B647" s="2" t="s">
        <v>185</v>
      </c>
      <c r="C647" s="2" t="s">
        <v>185</v>
      </c>
      <c r="D647" s="14" t="s">
        <v>186</v>
      </c>
      <c r="E647" s="2" t="s">
        <v>16</v>
      </c>
      <c r="F647" s="8">
        <v>3200000</v>
      </c>
      <c r="G647" s="2" t="s">
        <v>185</v>
      </c>
      <c r="H647" s="2"/>
      <c r="I647" s="2"/>
      <c r="J647" s="2" t="s">
        <v>16</v>
      </c>
    </row>
    <row r="648" spans="1:11" ht="15.75" customHeight="1">
      <c r="A648" s="7">
        <v>2018</v>
      </c>
      <c r="B648" s="2" t="s">
        <v>185</v>
      </c>
      <c r="C648" s="2" t="s">
        <v>185</v>
      </c>
      <c r="D648" s="14" t="s">
        <v>186</v>
      </c>
      <c r="E648" s="3" t="s">
        <v>14</v>
      </c>
      <c r="F648" s="8">
        <v>413800000</v>
      </c>
      <c r="G648" s="2" t="s">
        <v>185</v>
      </c>
      <c r="H648" s="2"/>
    </row>
    <row r="649" spans="1:11" ht="15.75" customHeight="1">
      <c r="A649" s="7">
        <v>2018</v>
      </c>
      <c r="B649" s="2" t="s">
        <v>185</v>
      </c>
      <c r="C649" s="2" t="s">
        <v>185</v>
      </c>
      <c r="D649" s="14" t="s">
        <v>186</v>
      </c>
      <c r="E649" s="3" t="s">
        <v>15</v>
      </c>
      <c r="F649" s="8">
        <v>885200000</v>
      </c>
      <c r="G649" s="2" t="s">
        <v>185</v>
      </c>
      <c r="H649" s="2"/>
    </row>
    <row r="650" spans="1:11" ht="15.75" customHeight="1">
      <c r="A650" s="7">
        <v>2018</v>
      </c>
      <c r="B650" s="2" t="s">
        <v>185</v>
      </c>
      <c r="C650" s="2" t="s">
        <v>185</v>
      </c>
      <c r="D650" s="14" t="s">
        <v>186</v>
      </c>
      <c r="E650" s="2" t="s">
        <v>16</v>
      </c>
      <c r="F650" s="8">
        <v>4900000</v>
      </c>
      <c r="G650" s="2" t="s">
        <v>185</v>
      </c>
      <c r="H650" s="2"/>
      <c r="I650" s="2"/>
      <c r="J650" s="2" t="s">
        <v>16</v>
      </c>
    </row>
    <row r="651" spans="1:11" ht="15.75" customHeight="1">
      <c r="A651" s="7">
        <v>2018</v>
      </c>
      <c r="B651" s="2" t="s">
        <v>185</v>
      </c>
      <c r="C651" s="2" t="s">
        <v>185</v>
      </c>
      <c r="D651" s="14" t="s">
        <v>186</v>
      </c>
      <c r="E651" s="3" t="s">
        <v>14</v>
      </c>
      <c r="F651" s="8">
        <v>882600000</v>
      </c>
      <c r="G651" s="2" t="s">
        <v>185</v>
      </c>
      <c r="H651" s="2" t="s">
        <v>17</v>
      </c>
    </row>
    <row r="652" spans="1:11" ht="15.75" customHeight="1">
      <c r="A652" s="7">
        <v>2018</v>
      </c>
      <c r="B652" s="2" t="s">
        <v>185</v>
      </c>
      <c r="C652" s="2" t="s">
        <v>185</v>
      </c>
      <c r="D652" s="14" t="s">
        <v>186</v>
      </c>
      <c r="E652" s="3" t="s">
        <v>15</v>
      </c>
      <c r="F652" s="8">
        <v>1510000000</v>
      </c>
      <c r="G652" s="2" t="s">
        <v>185</v>
      </c>
      <c r="H652" s="2" t="s">
        <v>17</v>
      </c>
      <c r="I652" s="5"/>
      <c r="J652" s="5"/>
      <c r="K652" s="5"/>
    </row>
    <row r="653" spans="1:11" ht="15.75" customHeight="1">
      <c r="A653" s="9">
        <v>2018</v>
      </c>
      <c r="B653" s="2" t="s">
        <v>185</v>
      </c>
      <c r="C653" s="2" t="s">
        <v>185</v>
      </c>
      <c r="D653" s="14" t="s">
        <v>186</v>
      </c>
      <c r="E653" s="2" t="s">
        <v>16</v>
      </c>
      <c r="F653" s="8">
        <v>6700000</v>
      </c>
      <c r="G653" s="2" t="s">
        <v>185</v>
      </c>
      <c r="H653" s="2" t="s">
        <v>17</v>
      </c>
      <c r="I653" s="2"/>
      <c r="J653" s="2" t="s">
        <v>16</v>
      </c>
    </row>
    <row r="654" spans="1:11" ht="15.75" customHeight="1">
      <c r="A654" s="9">
        <v>2018</v>
      </c>
      <c r="B654" s="2" t="s">
        <v>185</v>
      </c>
      <c r="C654" s="2" t="s">
        <v>185</v>
      </c>
      <c r="D654" s="14" t="s">
        <v>186</v>
      </c>
      <c r="E654" s="3" t="s">
        <v>14</v>
      </c>
      <c r="F654" s="8">
        <v>796800000</v>
      </c>
      <c r="G654" s="2" t="s">
        <v>185</v>
      </c>
      <c r="H654" s="2" t="s">
        <v>17</v>
      </c>
      <c r="I654" s="5"/>
      <c r="J654" s="5"/>
    </row>
    <row r="655" spans="1:11" ht="15.75" customHeight="1">
      <c r="A655" s="9">
        <v>2018</v>
      </c>
      <c r="B655" s="2" t="s">
        <v>185</v>
      </c>
      <c r="C655" s="2" t="s">
        <v>185</v>
      </c>
      <c r="D655" s="14" t="s">
        <v>186</v>
      </c>
      <c r="E655" s="3" t="s">
        <v>15</v>
      </c>
      <c r="F655" s="8">
        <v>1540000000</v>
      </c>
      <c r="G655" s="2" t="s">
        <v>185</v>
      </c>
      <c r="H655" s="2" t="s">
        <v>17</v>
      </c>
    </row>
    <row r="656" spans="1:11" ht="15.75" customHeight="1">
      <c r="A656" s="9">
        <v>2018</v>
      </c>
      <c r="B656" s="2" t="s">
        <v>185</v>
      </c>
      <c r="C656" s="2" t="s">
        <v>185</v>
      </c>
      <c r="D656" s="14" t="s">
        <v>186</v>
      </c>
      <c r="E656" s="2" t="s">
        <v>16</v>
      </c>
      <c r="F656" s="8">
        <v>5400000</v>
      </c>
      <c r="G656" s="2" t="s">
        <v>185</v>
      </c>
      <c r="H656" s="2" t="s">
        <v>17</v>
      </c>
      <c r="I656" s="2"/>
      <c r="J656" s="2" t="s">
        <v>16</v>
      </c>
    </row>
    <row r="657" spans="1:28" ht="15.75" customHeight="1">
      <c r="A657" s="9">
        <v>2018</v>
      </c>
      <c r="B657" s="11" t="s">
        <v>94</v>
      </c>
      <c r="C657" s="3" t="s">
        <v>94</v>
      </c>
      <c r="D657" s="2" t="s">
        <v>95</v>
      </c>
      <c r="E657" s="2" t="s">
        <v>16</v>
      </c>
      <c r="F657" s="4">
        <v>40100000</v>
      </c>
      <c r="G657" s="2" t="s">
        <v>94</v>
      </c>
      <c r="H657" s="2" t="s">
        <v>34</v>
      </c>
      <c r="I657" s="3" t="s">
        <v>28</v>
      </c>
      <c r="J657" s="2" t="s">
        <v>16</v>
      </c>
    </row>
    <row r="658" spans="1:28" ht="15.75" customHeight="1">
      <c r="A658" s="9">
        <v>2018</v>
      </c>
      <c r="B658" s="2" t="s">
        <v>185</v>
      </c>
      <c r="C658" s="2" t="s">
        <v>185</v>
      </c>
      <c r="D658" s="14" t="s">
        <v>186</v>
      </c>
      <c r="E658" s="3" t="s">
        <v>15</v>
      </c>
      <c r="F658" s="8">
        <v>1080000000</v>
      </c>
      <c r="G658" s="2" t="s">
        <v>185</v>
      </c>
      <c r="H658" s="2" t="s">
        <v>17</v>
      </c>
    </row>
    <row r="659" spans="1:28" ht="15.75" customHeight="1">
      <c r="A659" s="9">
        <v>2018</v>
      </c>
      <c r="B659" s="2" t="s">
        <v>96</v>
      </c>
      <c r="C659" s="2" t="s">
        <v>96</v>
      </c>
      <c r="D659" s="2" t="s">
        <v>97</v>
      </c>
      <c r="E659" s="3" t="s">
        <v>14</v>
      </c>
      <c r="F659" s="8">
        <v>611700000</v>
      </c>
      <c r="G659" s="2" t="s">
        <v>96</v>
      </c>
      <c r="H659" s="2" t="s">
        <v>17</v>
      </c>
    </row>
    <row r="660" spans="1:28" ht="15.75" customHeight="1">
      <c r="A660" s="9">
        <v>2018</v>
      </c>
      <c r="B660" s="2" t="s">
        <v>96</v>
      </c>
      <c r="C660" s="2" t="s">
        <v>96</v>
      </c>
      <c r="D660" s="2" t="s">
        <v>97</v>
      </c>
      <c r="E660" s="2" t="s">
        <v>16</v>
      </c>
      <c r="F660" s="8">
        <v>6700000</v>
      </c>
      <c r="G660" s="2" t="s">
        <v>96</v>
      </c>
      <c r="H660" s="2" t="s">
        <v>17</v>
      </c>
      <c r="I660" s="2"/>
      <c r="J660" s="2" t="s">
        <v>16</v>
      </c>
    </row>
    <row r="661" spans="1:28" ht="15.75" customHeight="1">
      <c r="A661" s="9">
        <v>2018</v>
      </c>
      <c r="B661" s="2" t="s">
        <v>185</v>
      </c>
      <c r="C661" s="2" t="s">
        <v>185</v>
      </c>
      <c r="D661" s="14" t="s">
        <v>186</v>
      </c>
      <c r="E661" s="3" t="s">
        <v>15</v>
      </c>
      <c r="F661" s="8">
        <v>1167739803</v>
      </c>
      <c r="G661" s="2" t="s">
        <v>185</v>
      </c>
      <c r="H661" s="2" t="s">
        <v>13</v>
      </c>
    </row>
    <row r="662" spans="1:28" ht="15.75" customHeight="1">
      <c r="A662" s="9">
        <v>2018</v>
      </c>
      <c r="B662" s="2" t="s">
        <v>185</v>
      </c>
      <c r="C662" s="2" t="s">
        <v>185</v>
      </c>
      <c r="D662" s="14" t="s">
        <v>186</v>
      </c>
      <c r="E662" s="2" t="s">
        <v>12</v>
      </c>
      <c r="F662" s="8">
        <v>3810000</v>
      </c>
      <c r="G662" s="2" t="s">
        <v>185</v>
      </c>
      <c r="H662" s="2" t="s">
        <v>13</v>
      </c>
      <c r="I662" s="2"/>
      <c r="J662" s="2" t="s">
        <v>16</v>
      </c>
    </row>
    <row r="663" spans="1:28" ht="15.75" customHeight="1">
      <c r="A663" s="9">
        <v>2018</v>
      </c>
      <c r="B663" s="3" t="s">
        <v>185</v>
      </c>
      <c r="C663" s="2" t="s">
        <v>185</v>
      </c>
      <c r="D663" s="2" t="s">
        <v>186</v>
      </c>
      <c r="E663" s="3" t="s">
        <v>14</v>
      </c>
      <c r="F663" s="8">
        <v>879901029</v>
      </c>
      <c r="G663" s="3" t="s">
        <v>185</v>
      </c>
      <c r="H663" s="14" t="s">
        <v>13</v>
      </c>
    </row>
    <row r="664" spans="1:28" ht="15.75" customHeight="1">
      <c r="A664" s="9">
        <v>2018</v>
      </c>
      <c r="B664" s="2" t="s">
        <v>185</v>
      </c>
      <c r="C664" s="2" t="s">
        <v>185</v>
      </c>
      <c r="D664" s="2" t="s">
        <v>186</v>
      </c>
      <c r="E664" s="3" t="s">
        <v>15</v>
      </c>
      <c r="F664" s="4">
        <v>1003322063</v>
      </c>
      <c r="G664" s="2" t="s">
        <v>185</v>
      </c>
      <c r="H664" s="2" t="s">
        <v>13</v>
      </c>
      <c r="I664" s="15"/>
      <c r="J664" s="15"/>
    </row>
    <row r="665" spans="1:28" ht="15.75" customHeight="1">
      <c r="A665" s="9">
        <v>2018</v>
      </c>
      <c r="B665" s="17" t="s">
        <v>96</v>
      </c>
      <c r="C665" s="17" t="s">
        <v>96</v>
      </c>
      <c r="D665" s="3" t="s">
        <v>97</v>
      </c>
      <c r="E665" s="2" t="s">
        <v>16</v>
      </c>
      <c r="F665" s="12">
        <v>4100000</v>
      </c>
      <c r="G665" s="17" t="s">
        <v>96</v>
      </c>
      <c r="H665" s="2" t="s">
        <v>17</v>
      </c>
      <c r="I665" s="3"/>
      <c r="J665" s="2" t="s">
        <v>16</v>
      </c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43"/>
      <c r="AA665" s="43"/>
      <c r="AB665" s="43"/>
    </row>
    <row r="666" spans="1:28" ht="15.75" customHeight="1">
      <c r="A666" s="9">
        <v>2018</v>
      </c>
      <c r="B666" s="3" t="s">
        <v>187</v>
      </c>
      <c r="C666" s="3" t="s">
        <v>188</v>
      </c>
      <c r="D666" s="2" t="s">
        <v>189</v>
      </c>
      <c r="E666" s="2" t="s">
        <v>14</v>
      </c>
      <c r="F666" s="4">
        <v>379211301</v>
      </c>
      <c r="G666" s="3" t="s">
        <v>187</v>
      </c>
      <c r="H666" s="2" t="s">
        <v>13</v>
      </c>
      <c r="I666" s="15"/>
      <c r="J666" s="15"/>
    </row>
    <row r="667" spans="1:28" ht="15.75" customHeight="1">
      <c r="A667" s="9">
        <v>2018</v>
      </c>
      <c r="B667" s="3" t="s">
        <v>188</v>
      </c>
      <c r="C667" s="3" t="s">
        <v>188</v>
      </c>
      <c r="D667" s="2" t="s">
        <v>189</v>
      </c>
      <c r="E667" s="3" t="s">
        <v>14</v>
      </c>
      <c r="F667" s="8">
        <v>787572734</v>
      </c>
      <c r="G667" s="3" t="s">
        <v>188</v>
      </c>
      <c r="H667" s="2" t="s">
        <v>13</v>
      </c>
    </row>
    <row r="668" spans="1:28" ht="15.75" customHeight="1">
      <c r="A668" s="9">
        <v>2018</v>
      </c>
      <c r="B668" s="3" t="s">
        <v>188</v>
      </c>
      <c r="C668" s="3" t="s">
        <v>188</v>
      </c>
      <c r="D668" s="2" t="s">
        <v>189</v>
      </c>
      <c r="E668" s="3" t="s">
        <v>15</v>
      </c>
      <c r="F668" s="8">
        <v>1176892213</v>
      </c>
      <c r="G668" s="3" t="s">
        <v>188</v>
      </c>
      <c r="H668" s="2" t="s">
        <v>13</v>
      </c>
    </row>
    <row r="669" spans="1:28" ht="15.75" customHeight="1">
      <c r="A669" s="9">
        <v>2018</v>
      </c>
      <c r="B669" s="3" t="s">
        <v>188</v>
      </c>
      <c r="C669" s="3" t="s">
        <v>188</v>
      </c>
      <c r="D669" s="2" t="s">
        <v>189</v>
      </c>
      <c r="E669" s="2" t="s">
        <v>12</v>
      </c>
      <c r="F669" s="8">
        <v>3587000</v>
      </c>
      <c r="G669" s="3" t="s">
        <v>188</v>
      </c>
      <c r="H669" s="2" t="s">
        <v>13</v>
      </c>
      <c r="I669" s="2"/>
      <c r="J669" s="2" t="s">
        <v>16</v>
      </c>
    </row>
    <row r="670" spans="1:28" ht="15.75" customHeight="1">
      <c r="A670" s="9">
        <v>2018</v>
      </c>
      <c r="B670" s="3" t="s">
        <v>188</v>
      </c>
      <c r="C670" s="3" t="s">
        <v>188</v>
      </c>
      <c r="D670" s="2" t="s">
        <v>189</v>
      </c>
      <c r="E670" s="3" t="s">
        <v>14</v>
      </c>
      <c r="F670" s="8">
        <v>771920359</v>
      </c>
      <c r="G670" s="3" t="s">
        <v>188</v>
      </c>
      <c r="H670" s="2" t="s">
        <v>13</v>
      </c>
    </row>
    <row r="671" spans="1:28" ht="15.75" customHeight="1">
      <c r="A671" s="9">
        <v>2018</v>
      </c>
      <c r="B671" s="3" t="s">
        <v>188</v>
      </c>
      <c r="C671" s="3" t="s">
        <v>188</v>
      </c>
      <c r="D671" s="2" t="s">
        <v>189</v>
      </c>
      <c r="E671" s="3" t="s">
        <v>15</v>
      </c>
      <c r="F671" s="4">
        <v>1072037430</v>
      </c>
      <c r="G671" s="3" t="s">
        <v>188</v>
      </c>
      <c r="H671" s="2" t="s">
        <v>13</v>
      </c>
      <c r="I671" s="15"/>
      <c r="J671" s="15"/>
      <c r="K671" s="6"/>
    </row>
    <row r="672" spans="1:28" ht="15.75" customHeight="1">
      <c r="A672" s="9">
        <v>2018</v>
      </c>
      <c r="B672" s="3" t="s">
        <v>188</v>
      </c>
      <c r="C672" s="3" t="s">
        <v>188</v>
      </c>
      <c r="D672" s="2" t="s">
        <v>189</v>
      </c>
      <c r="E672" s="3" t="s">
        <v>12</v>
      </c>
      <c r="F672" s="10">
        <v>3000000</v>
      </c>
      <c r="G672" s="3" t="s">
        <v>188</v>
      </c>
      <c r="H672" s="3" t="s">
        <v>13</v>
      </c>
      <c r="I672" s="3"/>
      <c r="J672" s="3" t="s">
        <v>16</v>
      </c>
      <c r="K672" s="6"/>
    </row>
    <row r="673" spans="1:10" ht="15.75" customHeight="1">
      <c r="A673" s="9">
        <v>2018</v>
      </c>
      <c r="B673" s="3" t="s">
        <v>188</v>
      </c>
      <c r="C673" s="3" t="s">
        <v>188</v>
      </c>
      <c r="D673" s="2" t="s">
        <v>189</v>
      </c>
      <c r="E673" s="3" t="s">
        <v>14</v>
      </c>
      <c r="F673" s="8">
        <v>1594900000</v>
      </c>
      <c r="G673" s="3" t="s">
        <v>188</v>
      </c>
      <c r="H673" s="2"/>
    </row>
    <row r="674" spans="1:10" ht="15.75" customHeight="1">
      <c r="A674" s="9">
        <v>2018</v>
      </c>
      <c r="B674" s="3" t="s">
        <v>188</v>
      </c>
      <c r="C674" s="3" t="s">
        <v>188</v>
      </c>
      <c r="D674" s="2" t="s">
        <v>189</v>
      </c>
      <c r="E674" s="3" t="s">
        <v>15</v>
      </c>
      <c r="F674" s="8">
        <v>1801800000</v>
      </c>
      <c r="G674" s="3" t="s">
        <v>188</v>
      </c>
      <c r="H674" s="2"/>
    </row>
    <row r="675" spans="1:10" ht="15.75" customHeight="1">
      <c r="A675" s="9">
        <v>2018</v>
      </c>
      <c r="B675" s="3" t="s">
        <v>188</v>
      </c>
      <c r="C675" s="3" t="s">
        <v>188</v>
      </c>
      <c r="D675" s="2" t="s">
        <v>189</v>
      </c>
      <c r="E675" s="2" t="s">
        <v>16</v>
      </c>
      <c r="F675" s="8">
        <v>4400000</v>
      </c>
      <c r="G675" s="3" t="s">
        <v>188</v>
      </c>
      <c r="H675" s="2"/>
      <c r="I675" s="2"/>
      <c r="J675" s="2" t="s">
        <v>16</v>
      </c>
    </row>
    <row r="676" spans="1:10" ht="15.75" customHeight="1">
      <c r="A676" s="9">
        <v>2018</v>
      </c>
      <c r="B676" s="3" t="s">
        <v>188</v>
      </c>
      <c r="C676" s="3" t="s">
        <v>188</v>
      </c>
      <c r="D676" s="2" t="s">
        <v>189</v>
      </c>
      <c r="E676" s="3" t="s">
        <v>14</v>
      </c>
      <c r="F676" s="8">
        <v>1000000000</v>
      </c>
      <c r="G676" s="3" t="s">
        <v>188</v>
      </c>
      <c r="H676" s="2"/>
    </row>
    <row r="677" spans="1:10" ht="15.75" customHeight="1">
      <c r="A677" s="9">
        <v>2018</v>
      </c>
      <c r="B677" s="3" t="s">
        <v>188</v>
      </c>
      <c r="C677" s="3" t="s">
        <v>188</v>
      </c>
      <c r="D677" s="2" t="s">
        <v>189</v>
      </c>
      <c r="E677" s="3" t="s">
        <v>15</v>
      </c>
      <c r="F677" s="8">
        <v>1600000000</v>
      </c>
      <c r="G677" s="3" t="s">
        <v>188</v>
      </c>
      <c r="H677" s="2"/>
    </row>
    <row r="678" spans="1:10" ht="15.75" customHeight="1">
      <c r="A678" s="9">
        <v>2018</v>
      </c>
      <c r="B678" s="3" t="s">
        <v>188</v>
      </c>
      <c r="C678" s="3" t="s">
        <v>188</v>
      </c>
      <c r="D678" s="2" t="s">
        <v>189</v>
      </c>
      <c r="E678" s="2" t="s">
        <v>16</v>
      </c>
      <c r="F678" s="8">
        <v>6400000</v>
      </c>
      <c r="G678" s="3" t="s">
        <v>188</v>
      </c>
      <c r="H678" s="2"/>
      <c r="I678" s="2"/>
      <c r="J678" s="2" t="s">
        <v>16</v>
      </c>
    </row>
    <row r="679" spans="1:10" ht="15.75" customHeight="1">
      <c r="A679" s="9">
        <v>2018</v>
      </c>
      <c r="B679" s="3" t="s">
        <v>188</v>
      </c>
      <c r="C679" s="3" t="s">
        <v>188</v>
      </c>
      <c r="D679" s="2" t="s">
        <v>189</v>
      </c>
      <c r="E679" s="3" t="s">
        <v>14</v>
      </c>
      <c r="F679" s="8">
        <v>1000000000</v>
      </c>
      <c r="G679" s="3" t="s">
        <v>188</v>
      </c>
      <c r="H679" s="2"/>
    </row>
    <row r="680" spans="1:10" ht="15.75" customHeight="1">
      <c r="A680" s="9">
        <v>2018</v>
      </c>
      <c r="B680" s="3" t="s">
        <v>188</v>
      </c>
      <c r="C680" s="3" t="s">
        <v>188</v>
      </c>
      <c r="D680" s="2" t="s">
        <v>189</v>
      </c>
      <c r="E680" s="3" t="s">
        <v>15</v>
      </c>
      <c r="F680" s="8">
        <v>1300000000</v>
      </c>
      <c r="G680" s="3" t="s">
        <v>188</v>
      </c>
      <c r="H680" s="2"/>
    </row>
    <row r="681" spans="1:10" ht="15.75" customHeight="1">
      <c r="A681" s="9">
        <v>2018</v>
      </c>
      <c r="B681" s="3" t="s">
        <v>188</v>
      </c>
      <c r="C681" s="3" t="s">
        <v>188</v>
      </c>
      <c r="D681" s="2" t="s">
        <v>189</v>
      </c>
      <c r="E681" s="2" t="s">
        <v>16</v>
      </c>
      <c r="F681" s="8">
        <v>6000000</v>
      </c>
      <c r="G681" s="3" t="s">
        <v>188</v>
      </c>
      <c r="H681" s="2"/>
      <c r="I681" s="2"/>
      <c r="J681" s="2" t="s">
        <v>16</v>
      </c>
    </row>
    <row r="682" spans="1:10" ht="15.75" customHeight="1">
      <c r="A682" s="9">
        <v>2018</v>
      </c>
      <c r="B682" s="3" t="s">
        <v>188</v>
      </c>
      <c r="C682" s="3" t="s">
        <v>188</v>
      </c>
      <c r="D682" s="2" t="s">
        <v>189</v>
      </c>
      <c r="E682" s="3" t="s">
        <v>14</v>
      </c>
      <c r="F682" s="8">
        <v>1150000000</v>
      </c>
      <c r="G682" s="3" t="s">
        <v>188</v>
      </c>
      <c r="H682" s="2" t="s">
        <v>17</v>
      </c>
    </row>
    <row r="683" spans="1:10" ht="15.75" customHeight="1">
      <c r="A683" s="9">
        <v>2018</v>
      </c>
      <c r="B683" s="3" t="s">
        <v>188</v>
      </c>
      <c r="C683" s="3" t="s">
        <v>188</v>
      </c>
      <c r="D683" s="2" t="s">
        <v>189</v>
      </c>
      <c r="E683" s="3" t="s">
        <v>15</v>
      </c>
      <c r="F683" s="8">
        <v>1640000000</v>
      </c>
      <c r="G683" s="3" t="s">
        <v>188</v>
      </c>
      <c r="H683" s="2" t="s">
        <v>17</v>
      </c>
    </row>
    <row r="684" spans="1:10" ht="15.75" customHeight="1">
      <c r="A684" s="9">
        <v>2018</v>
      </c>
      <c r="B684" s="3" t="s">
        <v>188</v>
      </c>
      <c r="C684" s="3" t="s">
        <v>188</v>
      </c>
      <c r="D684" s="2" t="s">
        <v>189</v>
      </c>
      <c r="E684" s="2" t="s">
        <v>16</v>
      </c>
      <c r="F684" s="8">
        <v>7500000</v>
      </c>
      <c r="G684" s="3" t="s">
        <v>188</v>
      </c>
      <c r="H684" s="2" t="s">
        <v>17</v>
      </c>
      <c r="I684" s="2"/>
      <c r="J684" s="2" t="s">
        <v>16</v>
      </c>
    </row>
    <row r="685" spans="1:10" ht="15.75" customHeight="1">
      <c r="A685" s="9">
        <v>2018</v>
      </c>
      <c r="B685" s="3" t="s">
        <v>188</v>
      </c>
      <c r="C685" s="3" t="s">
        <v>188</v>
      </c>
      <c r="D685" s="2" t="s">
        <v>189</v>
      </c>
      <c r="E685" s="3" t="s">
        <v>14</v>
      </c>
      <c r="F685" s="8">
        <v>1030000000</v>
      </c>
      <c r="G685" s="3" t="s">
        <v>188</v>
      </c>
      <c r="H685" s="2" t="s">
        <v>17</v>
      </c>
    </row>
    <row r="686" spans="1:10" ht="15.75" customHeight="1">
      <c r="A686" s="9">
        <v>2018</v>
      </c>
      <c r="B686" s="3" t="s">
        <v>188</v>
      </c>
      <c r="C686" s="3" t="s">
        <v>188</v>
      </c>
      <c r="D686" s="2" t="s">
        <v>189</v>
      </c>
      <c r="E686" s="3" t="s">
        <v>15</v>
      </c>
      <c r="F686" s="8">
        <v>1720000000</v>
      </c>
      <c r="G686" s="3" t="s">
        <v>188</v>
      </c>
      <c r="H686" s="2" t="s">
        <v>17</v>
      </c>
    </row>
    <row r="687" spans="1:10" ht="15.75" customHeight="1">
      <c r="A687" s="9">
        <v>2018</v>
      </c>
      <c r="B687" s="3" t="s">
        <v>188</v>
      </c>
      <c r="C687" s="3" t="s">
        <v>188</v>
      </c>
      <c r="D687" s="2" t="s">
        <v>189</v>
      </c>
      <c r="E687" s="2" t="s">
        <v>16</v>
      </c>
      <c r="F687" s="8">
        <v>7000000</v>
      </c>
      <c r="G687" s="3" t="s">
        <v>188</v>
      </c>
      <c r="H687" s="2" t="s">
        <v>17</v>
      </c>
      <c r="I687" s="2"/>
      <c r="J687" s="2" t="s">
        <v>16</v>
      </c>
    </row>
    <row r="688" spans="1:10" ht="15.75" customHeight="1">
      <c r="A688" s="9">
        <v>2018</v>
      </c>
      <c r="B688" s="2" t="s">
        <v>190</v>
      </c>
      <c r="C688" s="3" t="s">
        <v>191</v>
      </c>
      <c r="D688" s="2" t="s">
        <v>192</v>
      </c>
      <c r="E688" s="2" t="s">
        <v>16</v>
      </c>
      <c r="F688" s="4">
        <v>1400000</v>
      </c>
      <c r="G688" s="2" t="s">
        <v>190</v>
      </c>
      <c r="H688" s="2" t="s">
        <v>27</v>
      </c>
      <c r="I688" s="3" t="s">
        <v>28</v>
      </c>
      <c r="J688" s="2" t="s">
        <v>16</v>
      </c>
    </row>
    <row r="689" spans="1:10" ht="15.75" customHeight="1">
      <c r="A689" s="9">
        <v>2018</v>
      </c>
      <c r="B689" s="3" t="s">
        <v>188</v>
      </c>
      <c r="C689" s="3" t="s">
        <v>188</v>
      </c>
      <c r="D689" s="2" t="s">
        <v>189</v>
      </c>
      <c r="E689" s="3" t="s">
        <v>15</v>
      </c>
      <c r="F689" s="8">
        <v>1510000000</v>
      </c>
      <c r="G689" s="3" t="s">
        <v>188</v>
      </c>
      <c r="H689" s="2" t="s">
        <v>17</v>
      </c>
    </row>
    <row r="690" spans="1:10" ht="15.75" customHeight="1">
      <c r="A690" s="9">
        <v>2018</v>
      </c>
      <c r="B690" s="2" t="s">
        <v>193</v>
      </c>
      <c r="C690" s="3" t="s">
        <v>112</v>
      </c>
      <c r="D690" s="2" t="s">
        <v>113</v>
      </c>
      <c r="E690" s="2" t="s">
        <v>16</v>
      </c>
      <c r="F690" s="4">
        <v>13840000</v>
      </c>
      <c r="G690" s="2" t="s">
        <v>193</v>
      </c>
      <c r="H690" s="2" t="s">
        <v>27</v>
      </c>
      <c r="I690" s="3" t="s">
        <v>28</v>
      </c>
      <c r="J690" s="2" t="s">
        <v>16</v>
      </c>
    </row>
    <row r="691" spans="1:10" ht="15.75" customHeight="1">
      <c r="A691" s="9">
        <v>2018</v>
      </c>
      <c r="B691" s="24" t="s">
        <v>194</v>
      </c>
      <c r="C691" s="25" t="s">
        <v>194</v>
      </c>
      <c r="D691" s="25" t="s">
        <v>195</v>
      </c>
      <c r="E691" s="26" t="s">
        <v>16</v>
      </c>
      <c r="F691" s="39">
        <v>6000000</v>
      </c>
      <c r="G691" s="26" t="s">
        <v>194</v>
      </c>
      <c r="H691" s="26" t="s">
        <v>34</v>
      </c>
      <c r="I691" s="25" t="s">
        <v>28</v>
      </c>
      <c r="J691" s="26" t="s">
        <v>16</v>
      </c>
    </row>
    <row r="692" spans="1:10" ht="15.75" customHeight="1">
      <c r="A692" s="9">
        <v>2018</v>
      </c>
      <c r="B692" s="25" t="s">
        <v>196</v>
      </c>
      <c r="C692" s="36" t="s">
        <v>194</v>
      </c>
      <c r="D692" s="26" t="s">
        <v>195</v>
      </c>
      <c r="E692" s="26" t="s">
        <v>16</v>
      </c>
      <c r="F692" s="40">
        <v>1000000</v>
      </c>
      <c r="G692" s="25" t="s">
        <v>196</v>
      </c>
      <c r="H692" s="26" t="s">
        <v>132</v>
      </c>
      <c r="I692" s="26"/>
      <c r="J692" s="26" t="s">
        <v>16</v>
      </c>
    </row>
    <row r="693" spans="1:10" ht="15.75" customHeight="1">
      <c r="A693" s="9">
        <v>2018</v>
      </c>
      <c r="B693" s="2" t="s">
        <v>197</v>
      </c>
      <c r="C693" s="3" t="s">
        <v>188</v>
      </c>
      <c r="D693" s="2" t="s">
        <v>189</v>
      </c>
      <c r="E693" s="3" t="s">
        <v>15</v>
      </c>
      <c r="F693" s="8">
        <v>984500000</v>
      </c>
      <c r="G693" s="2" t="s">
        <v>198</v>
      </c>
      <c r="H693" s="2" t="s">
        <v>36</v>
      </c>
    </row>
    <row r="694" spans="1:10" ht="15.75" customHeight="1">
      <c r="A694" s="9">
        <v>2018</v>
      </c>
      <c r="B694" s="3" t="s">
        <v>199</v>
      </c>
      <c r="C694" s="11" t="s">
        <v>103</v>
      </c>
      <c r="D694" s="2" t="s">
        <v>104</v>
      </c>
      <c r="E694" s="2" t="s">
        <v>16</v>
      </c>
      <c r="F694" s="42">
        <v>500000</v>
      </c>
      <c r="G694" s="3" t="s">
        <v>199</v>
      </c>
      <c r="H694" s="2" t="s">
        <v>132</v>
      </c>
      <c r="I694" s="2"/>
      <c r="J694" s="2" t="s">
        <v>16</v>
      </c>
    </row>
    <row r="695" spans="1:10" ht="15.75" customHeight="1">
      <c r="A695" s="9">
        <v>2018</v>
      </c>
      <c r="B695" s="11" t="s">
        <v>89</v>
      </c>
      <c r="C695" s="3" t="s">
        <v>89</v>
      </c>
      <c r="D695" s="2" t="s">
        <v>90</v>
      </c>
      <c r="E695" s="2" t="s">
        <v>16</v>
      </c>
      <c r="F695" s="4">
        <v>4440000</v>
      </c>
      <c r="G695" s="2" t="s">
        <v>89</v>
      </c>
      <c r="H695" s="2" t="s">
        <v>34</v>
      </c>
      <c r="I695" s="2" t="s">
        <v>28</v>
      </c>
      <c r="J695" s="2" t="s">
        <v>16</v>
      </c>
    </row>
    <row r="696" spans="1:10" ht="15.75" customHeight="1">
      <c r="A696" s="9">
        <v>2018</v>
      </c>
      <c r="B696" s="2" t="s">
        <v>197</v>
      </c>
      <c r="C696" s="3" t="s">
        <v>188</v>
      </c>
      <c r="D696" s="2" t="s">
        <v>189</v>
      </c>
      <c r="E696" s="2" t="s">
        <v>16</v>
      </c>
      <c r="F696" s="8">
        <v>821000</v>
      </c>
      <c r="G696" s="2" t="s">
        <v>200</v>
      </c>
      <c r="H696" s="2"/>
      <c r="I696" s="2"/>
      <c r="J696" s="2" t="s">
        <v>16</v>
      </c>
    </row>
    <row r="697" spans="1:10" ht="15.75" customHeight="1">
      <c r="A697" s="9">
        <v>2018</v>
      </c>
      <c r="B697" s="2" t="s">
        <v>197</v>
      </c>
      <c r="C697" s="3" t="s">
        <v>188</v>
      </c>
      <c r="D697" s="2" t="s">
        <v>189</v>
      </c>
      <c r="E697" s="3" t="s">
        <v>14</v>
      </c>
      <c r="F697" s="8">
        <v>186600000</v>
      </c>
      <c r="G697" s="2" t="s">
        <v>197</v>
      </c>
      <c r="H697" s="2"/>
    </row>
    <row r="698" spans="1:10" ht="15.75" customHeight="1">
      <c r="A698" s="9">
        <v>2018</v>
      </c>
      <c r="B698" s="2" t="s">
        <v>197</v>
      </c>
      <c r="C698" s="3" t="s">
        <v>188</v>
      </c>
      <c r="D698" s="2" t="s">
        <v>189</v>
      </c>
      <c r="E698" s="3" t="s">
        <v>15</v>
      </c>
      <c r="F698" s="8">
        <v>701600000</v>
      </c>
      <c r="G698" s="2" t="s">
        <v>197</v>
      </c>
      <c r="H698" s="2"/>
    </row>
    <row r="699" spans="1:10" ht="15.75" customHeight="1">
      <c r="A699" s="9">
        <v>2018</v>
      </c>
      <c r="B699" s="2" t="s">
        <v>197</v>
      </c>
      <c r="C699" s="3" t="s">
        <v>188</v>
      </c>
      <c r="D699" s="2" t="s">
        <v>189</v>
      </c>
      <c r="E699" s="2" t="s">
        <v>16</v>
      </c>
      <c r="F699" s="8">
        <v>948409</v>
      </c>
      <c r="G699" s="2" t="s">
        <v>197</v>
      </c>
      <c r="H699" s="2"/>
      <c r="I699" s="2"/>
      <c r="J699" s="2" t="s">
        <v>16</v>
      </c>
    </row>
    <row r="700" spans="1:10" ht="15.75" customHeight="1">
      <c r="A700" s="9">
        <v>2018</v>
      </c>
      <c r="B700" s="2" t="s">
        <v>200</v>
      </c>
      <c r="C700" s="3" t="s">
        <v>188</v>
      </c>
      <c r="D700" s="2" t="s">
        <v>189</v>
      </c>
      <c r="E700" s="3" t="s">
        <v>14</v>
      </c>
      <c r="F700" s="8">
        <v>186000000</v>
      </c>
      <c r="G700" s="2" t="s">
        <v>200</v>
      </c>
      <c r="H700" s="2"/>
    </row>
    <row r="701" spans="1:10" ht="15.75" customHeight="1">
      <c r="A701" s="9">
        <v>2018</v>
      </c>
      <c r="B701" s="2" t="s">
        <v>200</v>
      </c>
      <c r="C701" s="3" t="s">
        <v>188</v>
      </c>
      <c r="D701" s="2" t="s">
        <v>189</v>
      </c>
      <c r="E701" s="3" t="s">
        <v>15</v>
      </c>
      <c r="F701" s="8">
        <v>658000000</v>
      </c>
      <c r="G701" s="2" t="s">
        <v>200</v>
      </c>
      <c r="H701" s="2"/>
    </row>
    <row r="702" spans="1:10" ht="15.75" customHeight="1">
      <c r="A702" s="9">
        <v>2018</v>
      </c>
      <c r="B702" s="2" t="s">
        <v>201</v>
      </c>
      <c r="C702" s="3" t="s">
        <v>188</v>
      </c>
      <c r="D702" s="2" t="s">
        <v>189</v>
      </c>
      <c r="E702" s="3" t="s">
        <v>14</v>
      </c>
      <c r="F702" s="8">
        <v>355600000</v>
      </c>
      <c r="G702" s="2" t="s">
        <v>201</v>
      </c>
      <c r="H702" s="2"/>
    </row>
    <row r="703" spans="1:10" ht="15.75" customHeight="1">
      <c r="A703" s="9">
        <v>2018</v>
      </c>
      <c r="B703" s="2" t="s">
        <v>201</v>
      </c>
      <c r="C703" s="3" t="s">
        <v>188</v>
      </c>
      <c r="D703" s="2" t="s">
        <v>189</v>
      </c>
      <c r="E703" s="3" t="s">
        <v>15</v>
      </c>
      <c r="F703" s="8">
        <v>657700000</v>
      </c>
      <c r="G703" s="3" t="s">
        <v>201</v>
      </c>
      <c r="H703" s="2"/>
    </row>
    <row r="704" spans="1:10" ht="15.75" customHeight="1">
      <c r="A704" s="9">
        <v>2018</v>
      </c>
      <c r="B704" s="2" t="s">
        <v>201</v>
      </c>
      <c r="C704" s="3" t="s">
        <v>188</v>
      </c>
      <c r="D704" s="2" t="s">
        <v>189</v>
      </c>
      <c r="E704" s="3" t="s">
        <v>14</v>
      </c>
      <c r="F704" s="8">
        <v>517400000</v>
      </c>
      <c r="G704" s="3" t="s">
        <v>197</v>
      </c>
      <c r="H704" s="2" t="s">
        <v>36</v>
      </c>
    </row>
    <row r="705" spans="1:10" ht="15.75" customHeight="1">
      <c r="A705" s="9">
        <v>2018</v>
      </c>
      <c r="B705" s="2" t="s">
        <v>201</v>
      </c>
      <c r="C705" s="3" t="s">
        <v>188</v>
      </c>
      <c r="D705" s="2" t="s">
        <v>189</v>
      </c>
      <c r="E705" s="3" t="s">
        <v>15</v>
      </c>
      <c r="F705" s="8">
        <v>1380000000</v>
      </c>
      <c r="G705" s="3" t="s">
        <v>197</v>
      </c>
      <c r="H705" s="2" t="s">
        <v>36</v>
      </c>
    </row>
    <row r="706" spans="1:10" ht="15.75" customHeight="1">
      <c r="A706" s="9">
        <v>2018</v>
      </c>
      <c r="B706" s="2" t="s">
        <v>201</v>
      </c>
      <c r="C706" s="3" t="s">
        <v>188</v>
      </c>
      <c r="D706" s="2" t="s">
        <v>189</v>
      </c>
      <c r="E706" s="2" t="s">
        <v>16</v>
      </c>
      <c r="F706" s="8">
        <v>1400000</v>
      </c>
      <c r="G706" s="3" t="s">
        <v>197</v>
      </c>
      <c r="H706" s="2" t="s">
        <v>36</v>
      </c>
      <c r="I706" s="2"/>
      <c r="J706" s="2" t="s">
        <v>16</v>
      </c>
    </row>
    <row r="707" spans="1:10" ht="15.75" customHeight="1">
      <c r="A707" s="9">
        <v>2018</v>
      </c>
      <c r="B707" s="3" t="s">
        <v>202</v>
      </c>
      <c r="C707" s="3" t="s">
        <v>188</v>
      </c>
      <c r="D707" s="2" t="s">
        <v>189</v>
      </c>
      <c r="E707" s="3" t="s">
        <v>14</v>
      </c>
      <c r="F707" s="8">
        <v>169300000</v>
      </c>
      <c r="G707" s="44" t="s">
        <v>202</v>
      </c>
      <c r="H707" s="2"/>
    </row>
    <row r="708" spans="1:10" ht="15.75" customHeight="1">
      <c r="A708" s="9">
        <v>2018</v>
      </c>
      <c r="B708" s="3" t="s">
        <v>202</v>
      </c>
      <c r="C708" s="3" t="s">
        <v>188</v>
      </c>
      <c r="D708" s="2" t="s">
        <v>189</v>
      </c>
      <c r="E708" s="3" t="s">
        <v>15</v>
      </c>
      <c r="F708" s="8">
        <v>809900000</v>
      </c>
      <c r="G708" s="44" t="s">
        <v>202</v>
      </c>
      <c r="H708" s="2"/>
    </row>
    <row r="709" spans="1:10" ht="15.75" customHeight="1">
      <c r="A709" s="9">
        <v>2018</v>
      </c>
      <c r="B709" s="3" t="s">
        <v>202</v>
      </c>
      <c r="C709" s="3" t="s">
        <v>188</v>
      </c>
      <c r="D709" s="2" t="s">
        <v>189</v>
      </c>
      <c r="E709" s="3" t="s">
        <v>14</v>
      </c>
      <c r="F709" s="8">
        <v>393300000</v>
      </c>
      <c r="G709" s="44" t="s">
        <v>202</v>
      </c>
      <c r="H709" s="16" t="s">
        <v>36</v>
      </c>
    </row>
    <row r="710" spans="1:10" ht="15.75" customHeight="1">
      <c r="A710" s="9">
        <v>2018</v>
      </c>
      <c r="B710" s="3" t="s">
        <v>202</v>
      </c>
      <c r="C710" s="3" t="s">
        <v>188</v>
      </c>
      <c r="D710" s="2" t="s">
        <v>189</v>
      </c>
      <c r="E710" s="3" t="s">
        <v>15</v>
      </c>
      <c r="F710" s="8">
        <v>1380000000</v>
      </c>
      <c r="G710" s="44" t="s">
        <v>202</v>
      </c>
      <c r="H710" s="16" t="s">
        <v>36</v>
      </c>
    </row>
    <row r="711" spans="1:10" ht="15.75" customHeight="1">
      <c r="A711" s="9">
        <v>2018</v>
      </c>
      <c r="B711" s="2" t="s">
        <v>187</v>
      </c>
      <c r="C711" s="3" t="s">
        <v>188</v>
      </c>
      <c r="D711" s="2" t="s">
        <v>189</v>
      </c>
      <c r="E711" s="3" t="s">
        <v>15</v>
      </c>
      <c r="F711" s="4">
        <v>619673235</v>
      </c>
      <c r="G711" s="2" t="s">
        <v>187</v>
      </c>
      <c r="H711" s="16" t="s">
        <v>13</v>
      </c>
      <c r="I711" s="15"/>
      <c r="J711" s="15"/>
    </row>
    <row r="712" spans="1:10" ht="15.75" customHeight="1">
      <c r="A712" s="9">
        <v>2018</v>
      </c>
      <c r="B712" s="14" t="s">
        <v>203</v>
      </c>
      <c r="C712" s="14" t="s">
        <v>203</v>
      </c>
      <c r="D712" s="14" t="s">
        <v>204</v>
      </c>
      <c r="E712" s="3" t="s">
        <v>15</v>
      </c>
      <c r="F712" s="4">
        <v>1843386608</v>
      </c>
      <c r="G712" s="14" t="s">
        <v>203</v>
      </c>
      <c r="H712" s="14" t="s">
        <v>13</v>
      </c>
    </row>
    <row r="713" spans="1:10" ht="15.75" customHeight="1">
      <c r="A713" s="9">
        <v>2018</v>
      </c>
      <c r="B713" s="14" t="s">
        <v>203</v>
      </c>
      <c r="C713" s="14" t="s">
        <v>203</v>
      </c>
      <c r="D713" s="14" t="s">
        <v>204</v>
      </c>
      <c r="E713" s="14" t="s">
        <v>14</v>
      </c>
      <c r="F713" s="4">
        <v>1217023072</v>
      </c>
      <c r="G713" s="14" t="s">
        <v>203</v>
      </c>
      <c r="H713" s="14" t="s">
        <v>13</v>
      </c>
    </row>
    <row r="714" spans="1:10" ht="15.75" customHeight="1">
      <c r="A714" s="9">
        <v>2018</v>
      </c>
      <c r="B714" s="3" t="s">
        <v>203</v>
      </c>
      <c r="C714" s="2" t="s">
        <v>203</v>
      </c>
      <c r="D714" s="14" t="s">
        <v>204</v>
      </c>
      <c r="E714" s="3" t="s">
        <v>12</v>
      </c>
      <c r="F714" s="8">
        <v>6750000</v>
      </c>
      <c r="G714" s="3" t="s">
        <v>203</v>
      </c>
      <c r="H714" s="2" t="s">
        <v>13</v>
      </c>
      <c r="I714" s="3"/>
      <c r="J714" s="3" t="s">
        <v>16</v>
      </c>
    </row>
    <row r="715" spans="1:10" ht="15.75" customHeight="1">
      <c r="A715" s="9">
        <v>2018</v>
      </c>
      <c r="B715" s="2" t="s">
        <v>203</v>
      </c>
      <c r="C715" s="2" t="s">
        <v>203</v>
      </c>
      <c r="D715" s="14" t="s">
        <v>204</v>
      </c>
      <c r="E715" s="3" t="s">
        <v>14</v>
      </c>
      <c r="F715" s="8">
        <v>550846869</v>
      </c>
      <c r="G715" s="2" t="s">
        <v>203</v>
      </c>
      <c r="H715" s="2" t="s">
        <v>13</v>
      </c>
    </row>
    <row r="716" spans="1:10" ht="15.75" customHeight="1">
      <c r="A716" s="9">
        <v>2018</v>
      </c>
      <c r="B716" s="2" t="s">
        <v>203</v>
      </c>
      <c r="C716" s="2" t="s">
        <v>203</v>
      </c>
      <c r="D716" s="14" t="s">
        <v>204</v>
      </c>
      <c r="E716" s="3" t="s">
        <v>15</v>
      </c>
      <c r="F716" s="8">
        <v>985120878</v>
      </c>
      <c r="G716" s="2" t="s">
        <v>203</v>
      </c>
      <c r="H716" s="2" t="s">
        <v>13</v>
      </c>
    </row>
    <row r="717" spans="1:10" ht="15.75" customHeight="1">
      <c r="A717" s="9">
        <v>2018</v>
      </c>
      <c r="B717" s="2" t="s">
        <v>203</v>
      </c>
      <c r="C717" s="2" t="s">
        <v>203</v>
      </c>
      <c r="D717" s="14" t="s">
        <v>204</v>
      </c>
      <c r="E717" s="3" t="s">
        <v>14</v>
      </c>
      <c r="F717" s="8">
        <v>547000000</v>
      </c>
      <c r="G717" s="2" t="s">
        <v>203</v>
      </c>
      <c r="H717" s="2"/>
    </row>
    <row r="718" spans="1:10" ht="15.75" customHeight="1">
      <c r="A718" s="9">
        <v>2018</v>
      </c>
      <c r="B718" s="2" t="s">
        <v>203</v>
      </c>
      <c r="C718" s="2" t="s">
        <v>203</v>
      </c>
      <c r="D718" s="14" t="s">
        <v>204</v>
      </c>
      <c r="E718" s="3" t="s">
        <v>15</v>
      </c>
      <c r="F718" s="8">
        <v>985700000</v>
      </c>
      <c r="G718" s="2" t="s">
        <v>203</v>
      </c>
      <c r="H718" s="2"/>
    </row>
    <row r="719" spans="1:10" ht="15.75" customHeight="1">
      <c r="A719" s="9">
        <v>2018</v>
      </c>
      <c r="B719" s="2" t="s">
        <v>203</v>
      </c>
      <c r="C719" s="2" t="s">
        <v>203</v>
      </c>
      <c r="D719" s="14" t="s">
        <v>204</v>
      </c>
      <c r="E719" s="2" t="s">
        <v>16</v>
      </c>
      <c r="F719" s="8">
        <v>6100000</v>
      </c>
      <c r="G719" s="2" t="s">
        <v>203</v>
      </c>
      <c r="H719" s="2"/>
      <c r="I719" s="2"/>
      <c r="J719" s="2" t="s">
        <v>16</v>
      </c>
    </row>
    <row r="720" spans="1:10" ht="15.75" customHeight="1">
      <c r="A720" s="9">
        <v>2018</v>
      </c>
      <c r="B720" s="2" t="s">
        <v>203</v>
      </c>
      <c r="C720" s="2" t="s">
        <v>203</v>
      </c>
      <c r="D720" s="14" t="s">
        <v>204</v>
      </c>
      <c r="E720" s="3" t="s">
        <v>14</v>
      </c>
      <c r="F720" s="8">
        <v>597100000</v>
      </c>
      <c r="G720" s="2" t="s">
        <v>203</v>
      </c>
      <c r="H720" s="2"/>
    </row>
    <row r="721" spans="1:11" ht="15.75" customHeight="1">
      <c r="A721" s="9">
        <v>2018</v>
      </c>
      <c r="B721" s="2" t="s">
        <v>203</v>
      </c>
      <c r="C721" s="2" t="s">
        <v>203</v>
      </c>
      <c r="D721" s="14" t="s">
        <v>204</v>
      </c>
      <c r="E721" s="3" t="s">
        <v>15</v>
      </c>
      <c r="F721" s="8">
        <v>1000000000</v>
      </c>
      <c r="G721" s="2" t="s">
        <v>203</v>
      </c>
      <c r="H721" s="2"/>
    </row>
    <row r="722" spans="1:11" ht="15.75" customHeight="1">
      <c r="A722" s="9">
        <v>2018</v>
      </c>
      <c r="B722" s="2" t="s">
        <v>203</v>
      </c>
      <c r="C722" s="2" t="s">
        <v>203</v>
      </c>
      <c r="D722" s="14" t="s">
        <v>204</v>
      </c>
      <c r="E722" s="2" t="s">
        <v>16</v>
      </c>
      <c r="F722" s="8">
        <v>6600000</v>
      </c>
      <c r="G722" s="2" t="s">
        <v>203</v>
      </c>
      <c r="H722" s="2"/>
      <c r="I722" s="2"/>
      <c r="J722" s="2" t="s">
        <v>16</v>
      </c>
    </row>
    <row r="723" spans="1:11" ht="15.75" customHeight="1">
      <c r="A723" s="9">
        <v>2018</v>
      </c>
      <c r="B723" s="2" t="s">
        <v>203</v>
      </c>
      <c r="C723" s="2" t="s">
        <v>203</v>
      </c>
      <c r="D723" s="14" t="s">
        <v>204</v>
      </c>
      <c r="E723" s="3" t="s">
        <v>14</v>
      </c>
      <c r="F723" s="8">
        <v>427800000</v>
      </c>
      <c r="G723" s="2" t="s">
        <v>203</v>
      </c>
      <c r="H723" s="2"/>
    </row>
    <row r="724" spans="1:11" ht="15.75" customHeight="1">
      <c r="A724" s="9">
        <v>2018</v>
      </c>
      <c r="B724" s="2" t="s">
        <v>203</v>
      </c>
      <c r="C724" s="2" t="s">
        <v>203</v>
      </c>
      <c r="D724" s="14" t="s">
        <v>204</v>
      </c>
      <c r="E724" s="3" t="s">
        <v>15</v>
      </c>
      <c r="F724" s="8">
        <v>971800000</v>
      </c>
      <c r="G724" s="2" t="s">
        <v>203</v>
      </c>
      <c r="H724" s="2"/>
    </row>
    <row r="725" spans="1:11" ht="15.75" customHeight="1">
      <c r="A725" s="9">
        <v>2018</v>
      </c>
      <c r="B725" s="2" t="s">
        <v>203</v>
      </c>
      <c r="C725" s="2" t="s">
        <v>203</v>
      </c>
      <c r="D725" s="14" t="s">
        <v>204</v>
      </c>
      <c r="E725" s="3" t="s">
        <v>14</v>
      </c>
      <c r="F725" s="8">
        <v>326200000</v>
      </c>
      <c r="G725" s="2" t="s">
        <v>203</v>
      </c>
      <c r="H725" s="2" t="s">
        <v>17</v>
      </c>
    </row>
    <row r="726" spans="1:11" ht="15.75" customHeight="1">
      <c r="A726" s="9">
        <v>2018</v>
      </c>
      <c r="B726" s="2" t="s">
        <v>203</v>
      </c>
      <c r="C726" s="2" t="s">
        <v>203</v>
      </c>
      <c r="D726" s="14" t="s">
        <v>204</v>
      </c>
      <c r="E726" s="3" t="s">
        <v>15</v>
      </c>
      <c r="F726" s="8">
        <v>804000000</v>
      </c>
      <c r="G726" s="2" t="s">
        <v>203</v>
      </c>
      <c r="H726" s="2" t="s">
        <v>17</v>
      </c>
    </row>
    <row r="727" spans="1:11" ht="15.75" customHeight="1">
      <c r="A727" s="9">
        <v>2018</v>
      </c>
      <c r="B727" s="2" t="s">
        <v>115</v>
      </c>
      <c r="C727" s="2" t="s">
        <v>115</v>
      </c>
      <c r="D727" s="2" t="s">
        <v>116</v>
      </c>
      <c r="E727" s="3" t="s">
        <v>14</v>
      </c>
      <c r="F727" s="8">
        <v>97800000</v>
      </c>
      <c r="G727" s="2" t="s">
        <v>115</v>
      </c>
      <c r="H727" s="2" t="s">
        <v>17</v>
      </c>
    </row>
    <row r="728" spans="1:11" ht="15.75" customHeight="1">
      <c r="A728" s="9">
        <v>2018</v>
      </c>
      <c r="B728" s="2" t="s">
        <v>203</v>
      </c>
      <c r="C728" s="2" t="s">
        <v>203</v>
      </c>
      <c r="D728" s="14" t="s">
        <v>204</v>
      </c>
      <c r="E728" s="2" t="s">
        <v>16</v>
      </c>
      <c r="F728" s="8">
        <v>4800000</v>
      </c>
      <c r="G728" s="2" t="s">
        <v>203</v>
      </c>
      <c r="H728" s="2" t="s">
        <v>17</v>
      </c>
      <c r="I728" s="2"/>
      <c r="J728" s="2" t="s">
        <v>16</v>
      </c>
    </row>
    <row r="729" spans="1:11" ht="15.75" customHeight="1">
      <c r="A729" s="9">
        <v>2018</v>
      </c>
      <c r="B729" s="2" t="s">
        <v>203</v>
      </c>
      <c r="C729" s="2" t="s">
        <v>203</v>
      </c>
      <c r="D729" s="14" t="s">
        <v>204</v>
      </c>
      <c r="E729" s="3" t="s">
        <v>14</v>
      </c>
      <c r="F729" s="8">
        <v>603600000</v>
      </c>
      <c r="G729" s="2" t="s">
        <v>203</v>
      </c>
      <c r="H729" s="2" t="s">
        <v>17</v>
      </c>
    </row>
    <row r="730" spans="1:11" ht="15.75" customHeight="1">
      <c r="A730" s="9">
        <v>2018</v>
      </c>
      <c r="B730" s="2" t="s">
        <v>203</v>
      </c>
      <c r="C730" s="2" t="s">
        <v>203</v>
      </c>
      <c r="D730" s="14" t="s">
        <v>204</v>
      </c>
      <c r="E730" s="3" t="s">
        <v>15</v>
      </c>
      <c r="F730" s="8">
        <v>1010000000</v>
      </c>
      <c r="G730" s="2" t="s">
        <v>203</v>
      </c>
      <c r="H730" s="2" t="s">
        <v>17</v>
      </c>
    </row>
    <row r="731" spans="1:11" ht="15.75" customHeight="1">
      <c r="A731" s="9">
        <v>2018</v>
      </c>
      <c r="B731" s="2" t="s">
        <v>203</v>
      </c>
      <c r="C731" s="2" t="s">
        <v>203</v>
      </c>
      <c r="D731" s="14" t="s">
        <v>204</v>
      </c>
      <c r="E731" s="2" t="s">
        <v>16</v>
      </c>
      <c r="F731" s="8">
        <v>5500000</v>
      </c>
      <c r="G731" s="2" t="s">
        <v>203</v>
      </c>
      <c r="H731" s="2" t="s">
        <v>17</v>
      </c>
      <c r="I731" s="2"/>
      <c r="J731" s="2" t="s">
        <v>16</v>
      </c>
    </row>
    <row r="732" spans="1:11" ht="15.75" customHeight="1">
      <c r="A732" s="9">
        <v>2018</v>
      </c>
      <c r="B732" s="2" t="s">
        <v>115</v>
      </c>
      <c r="C732" s="2" t="s">
        <v>115</v>
      </c>
      <c r="D732" s="2" t="s">
        <v>116</v>
      </c>
      <c r="E732" s="2" t="s">
        <v>16</v>
      </c>
      <c r="F732" s="8">
        <v>823000</v>
      </c>
      <c r="G732" s="2" t="s">
        <v>115</v>
      </c>
      <c r="H732" s="2" t="s">
        <v>17</v>
      </c>
      <c r="I732" s="2"/>
      <c r="J732" s="2" t="s">
        <v>16</v>
      </c>
    </row>
    <row r="733" spans="1:11" ht="15.75" customHeight="1">
      <c r="A733" s="9">
        <v>2018</v>
      </c>
      <c r="B733" s="2" t="s">
        <v>203</v>
      </c>
      <c r="C733" s="2" t="s">
        <v>203</v>
      </c>
      <c r="D733" s="14" t="s">
        <v>204</v>
      </c>
      <c r="E733" s="3" t="s">
        <v>15</v>
      </c>
      <c r="F733" s="8">
        <v>1150000000</v>
      </c>
      <c r="G733" s="2" t="s">
        <v>203</v>
      </c>
      <c r="H733" s="2" t="s">
        <v>17</v>
      </c>
    </row>
    <row r="734" spans="1:11" ht="15.75" customHeight="1">
      <c r="A734" s="9">
        <v>2018</v>
      </c>
      <c r="B734" s="17" t="s">
        <v>115</v>
      </c>
      <c r="C734" s="17" t="s">
        <v>115</v>
      </c>
      <c r="D734" s="3" t="s">
        <v>116</v>
      </c>
      <c r="E734" s="2" t="s">
        <v>16</v>
      </c>
      <c r="F734" s="12">
        <v>1000000</v>
      </c>
      <c r="G734" s="17" t="s">
        <v>115</v>
      </c>
      <c r="H734" s="2" t="s">
        <v>17</v>
      </c>
      <c r="I734" s="3"/>
      <c r="J734" s="2" t="s">
        <v>16</v>
      </c>
    </row>
    <row r="735" spans="1:11" ht="15.75" customHeight="1">
      <c r="A735" s="9">
        <v>2018</v>
      </c>
      <c r="B735" s="2" t="s">
        <v>203</v>
      </c>
      <c r="C735" s="2" t="s">
        <v>203</v>
      </c>
      <c r="D735" s="14" t="s">
        <v>204</v>
      </c>
      <c r="E735" s="3" t="s">
        <v>14</v>
      </c>
      <c r="F735" s="8">
        <v>585279169</v>
      </c>
      <c r="G735" s="2" t="s">
        <v>203</v>
      </c>
      <c r="H735" s="2" t="s">
        <v>13</v>
      </c>
    </row>
    <row r="736" spans="1:11" ht="15.75" customHeight="1">
      <c r="A736" s="9">
        <v>2018</v>
      </c>
      <c r="B736" s="3" t="s">
        <v>203</v>
      </c>
      <c r="C736" s="2" t="s">
        <v>203</v>
      </c>
      <c r="D736" s="14" t="s">
        <v>204</v>
      </c>
      <c r="E736" s="3" t="s">
        <v>15</v>
      </c>
      <c r="F736" s="10">
        <v>1051018271</v>
      </c>
      <c r="G736" s="3" t="s">
        <v>203</v>
      </c>
      <c r="H736" s="3" t="s">
        <v>13</v>
      </c>
      <c r="I736" s="15"/>
      <c r="J736" s="15"/>
      <c r="K736" s="6"/>
    </row>
    <row r="737" spans="1:10" ht="15.75" customHeight="1">
      <c r="A737" s="9">
        <v>2018</v>
      </c>
      <c r="B737" s="2" t="s">
        <v>203</v>
      </c>
      <c r="C737" s="2" t="s">
        <v>203</v>
      </c>
      <c r="D737" s="14" t="s">
        <v>204</v>
      </c>
      <c r="E737" s="2" t="s">
        <v>12</v>
      </c>
      <c r="F737" s="8">
        <v>4000000</v>
      </c>
      <c r="G737" s="2" t="s">
        <v>203</v>
      </c>
      <c r="H737" s="2" t="s">
        <v>13</v>
      </c>
      <c r="I737" s="2"/>
      <c r="J737" s="2" t="s">
        <v>16</v>
      </c>
    </row>
    <row r="738" spans="1:10" ht="15.75" customHeight="1">
      <c r="A738" s="9">
        <v>2018</v>
      </c>
      <c r="B738" s="2" t="s">
        <v>203</v>
      </c>
      <c r="C738" s="2" t="s">
        <v>203</v>
      </c>
      <c r="D738" s="14" t="s">
        <v>204</v>
      </c>
      <c r="E738" s="2" t="s">
        <v>12</v>
      </c>
      <c r="F738" s="8">
        <v>4300000</v>
      </c>
      <c r="G738" s="2" t="s">
        <v>203</v>
      </c>
      <c r="H738" s="2" t="s">
        <v>13</v>
      </c>
      <c r="I738" s="2"/>
      <c r="J738" s="2" t="s">
        <v>16</v>
      </c>
    </row>
    <row r="739" spans="1:10" ht="15.75" customHeight="1">
      <c r="A739" s="9">
        <v>2018</v>
      </c>
      <c r="B739" s="3" t="s">
        <v>203</v>
      </c>
      <c r="C739" s="2" t="s">
        <v>203</v>
      </c>
      <c r="D739" s="14" t="s">
        <v>204</v>
      </c>
      <c r="E739" s="3" t="s">
        <v>14</v>
      </c>
      <c r="F739" s="8">
        <v>812424912</v>
      </c>
      <c r="G739" s="3" t="s">
        <v>203</v>
      </c>
      <c r="H739" s="2" t="s">
        <v>13</v>
      </c>
    </row>
    <row r="740" spans="1:10" ht="15.75" customHeight="1">
      <c r="A740" s="9">
        <v>2018</v>
      </c>
      <c r="B740" s="2" t="s">
        <v>203</v>
      </c>
      <c r="C740" s="2" t="s">
        <v>203</v>
      </c>
      <c r="D740" s="2" t="s">
        <v>204</v>
      </c>
      <c r="E740" s="3" t="s">
        <v>15</v>
      </c>
      <c r="F740" s="4">
        <v>1132952016</v>
      </c>
      <c r="G740" s="2" t="s">
        <v>203</v>
      </c>
      <c r="H740" s="2" t="s">
        <v>13</v>
      </c>
      <c r="I740" s="15"/>
      <c r="J740" s="15"/>
    </row>
    <row r="741" spans="1:10" ht="15.75" customHeight="1">
      <c r="A741" s="9">
        <v>2018</v>
      </c>
      <c r="B741" s="2" t="s">
        <v>78</v>
      </c>
      <c r="C741" s="2" t="s">
        <v>78</v>
      </c>
      <c r="D741" s="2" t="s">
        <v>79</v>
      </c>
      <c r="E741" s="3" t="s">
        <v>15</v>
      </c>
      <c r="F741" s="8">
        <v>973000000</v>
      </c>
      <c r="G741" s="2" t="s">
        <v>78</v>
      </c>
      <c r="H741" s="2" t="s">
        <v>17</v>
      </c>
    </row>
    <row r="742" spans="1:10" ht="15.75" customHeight="1">
      <c r="A742" s="9">
        <v>2018</v>
      </c>
      <c r="B742" s="2" t="s">
        <v>205</v>
      </c>
      <c r="C742" s="2" t="s">
        <v>205</v>
      </c>
      <c r="D742" s="2" t="s">
        <v>206</v>
      </c>
      <c r="E742" s="2" t="s">
        <v>16</v>
      </c>
      <c r="F742" s="8">
        <v>10800000</v>
      </c>
      <c r="G742" s="2" t="s">
        <v>205</v>
      </c>
      <c r="H742" s="2"/>
      <c r="I742" s="2"/>
      <c r="J742" s="2" t="s">
        <v>16</v>
      </c>
    </row>
    <row r="743" spans="1:10" ht="15.75" customHeight="1">
      <c r="A743" s="9">
        <v>2018</v>
      </c>
      <c r="B743" s="2" t="s">
        <v>205</v>
      </c>
      <c r="C743" s="2" t="s">
        <v>205</v>
      </c>
      <c r="D743" s="2" t="s">
        <v>206</v>
      </c>
      <c r="E743" s="2" t="s">
        <v>16</v>
      </c>
      <c r="F743" s="8">
        <v>12200000</v>
      </c>
      <c r="G743" s="2" t="s">
        <v>205</v>
      </c>
      <c r="H743" s="2"/>
      <c r="I743" s="2"/>
      <c r="J743" s="2" t="s">
        <v>16</v>
      </c>
    </row>
    <row r="744" spans="1:10" ht="15.75" customHeight="1">
      <c r="A744" s="9">
        <v>2018</v>
      </c>
      <c r="B744" s="2" t="s">
        <v>205</v>
      </c>
      <c r="C744" s="2" t="s">
        <v>205</v>
      </c>
      <c r="D744" s="2" t="s">
        <v>206</v>
      </c>
      <c r="E744" s="3" t="s">
        <v>14</v>
      </c>
      <c r="F744" s="8">
        <v>1371000000</v>
      </c>
      <c r="G744" s="2" t="s">
        <v>205</v>
      </c>
      <c r="H744" s="2"/>
    </row>
    <row r="745" spans="1:10" ht="15.75" customHeight="1">
      <c r="A745" s="9">
        <v>2018</v>
      </c>
      <c r="B745" s="2" t="s">
        <v>205</v>
      </c>
      <c r="C745" s="2" t="s">
        <v>205</v>
      </c>
      <c r="D745" s="2" t="s">
        <v>206</v>
      </c>
      <c r="E745" s="3" t="s">
        <v>15</v>
      </c>
      <c r="F745" s="8">
        <v>3200000000</v>
      </c>
      <c r="G745" s="2" t="s">
        <v>205</v>
      </c>
      <c r="H745" s="2"/>
    </row>
    <row r="746" spans="1:10" ht="15.75" customHeight="1">
      <c r="A746" s="9">
        <v>2018</v>
      </c>
      <c r="B746" s="2" t="s">
        <v>205</v>
      </c>
      <c r="C746" s="2" t="s">
        <v>205</v>
      </c>
      <c r="D746" s="2" t="s">
        <v>206</v>
      </c>
      <c r="E746" s="2" t="s">
        <v>16</v>
      </c>
      <c r="F746" s="8">
        <v>13500000</v>
      </c>
      <c r="G746" s="2" t="s">
        <v>205</v>
      </c>
      <c r="H746" s="2"/>
      <c r="I746" s="2"/>
      <c r="J746" s="2" t="s">
        <v>16</v>
      </c>
    </row>
    <row r="747" spans="1:10" ht="15.75" customHeight="1">
      <c r="A747" s="9">
        <v>2018</v>
      </c>
      <c r="B747" s="2" t="s">
        <v>205</v>
      </c>
      <c r="C747" s="2" t="s">
        <v>205</v>
      </c>
      <c r="D747" s="2" t="s">
        <v>206</v>
      </c>
      <c r="E747" s="3" t="s">
        <v>14</v>
      </c>
      <c r="F747" s="8">
        <v>1680000000</v>
      </c>
      <c r="G747" s="2" t="s">
        <v>205</v>
      </c>
      <c r="H747" s="2" t="s">
        <v>17</v>
      </c>
    </row>
    <row r="748" spans="1:10" ht="15.75" customHeight="1">
      <c r="A748" s="9">
        <v>2018</v>
      </c>
      <c r="B748" s="2" t="s">
        <v>205</v>
      </c>
      <c r="C748" s="2" t="s">
        <v>205</v>
      </c>
      <c r="D748" s="2" t="s">
        <v>206</v>
      </c>
      <c r="E748" s="3" t="s">
        <v>15</v>
      </c>
      <c r="F748" s="8">
        <v>3350000000</v>
      </c>
      <c r="G748" s="2" t="s">
        <v>205</v>
      </c>
      <c r="H748" s="2" t="s">
        <v>17</v>
      </c>
    </row>
    <row r="749" spans="1:10" ht="15.75" customHeight="1">
      <c r="A749" s="7">
        <v>2019</v>
      </c>
      <c r="B749" s="2" t="s">
        <v>205</v>
      </c>
      <c r="C749" s="2" t="s">
        <v>205</v>
      </c>
      <c r="D749" s="2" t="s">
        <v>206</v>
      </c>
      <c r="E749" s="2" t="s">
        <v>16</v>
      </c>
      <c r="F749" s="8">
        <v>13500000</v>
      </c>
      <c r="G749" s="2" t="s">
        <v>205</v>
      </c>
      <c r="H749" s="2" t="s">
        <v>17</v>
      </c>
      <c r="I749" s="2"/>
      <c r="J749" s="2" t="s">
        <v>16</v>
      </c>
    </row>
    <row r="750" spans="1:10" ht="15.75" customHeight="1">
      <c r="A750" s="7">
        <v>2019</v>
      </c>
      <c r="B750" s="2" t="s">
        <v>205</v>
      </c>
      <c r="C750" s="2" t="s">
        <v>205</v>
      </c>
      <c r="D750" s="2" t="s">
        <v>206</v>
      </c>
      <c r="E750" s="3" t="s">
        <v>14</v>
      </c>
      <c r="F750" s="8">
        <v>2000000000</v>
      </c>
      <c r="G750" s="2" t="s">
        <v>205</v>
      </c>
      <c r="H750" s="2" t="s">
        <v>17</v>
      </c>
    </row>
    <row r="751" spans="1:10" ht="15.75" customHeight="1">
      <c r="A751" s="7">
        <v>2019</v>
      </c>
      <c r="B751" s="2" t="s">
        <v>205</v>
      </c>
      <c r="C751" s="2" t="s">
        <v>205</v>
      </c>
      <c r="D751" s="2" t="s">
        <v>206</v>
      </c>
      <c r="E751" s="3" t="s">
        <v>15</v>
      </c>
      <c r="F751" s="8">
        <v>3360000000</v>
      </c>
      <c r="G751" s="2" t="s">
        <v>205</v>
      </c>
      <c r="H751" s="2" t="s">
        <v>17</v>
      </c>
    </row>
    <row r="752" spans="1:10" ht="15.75" customHeight="1">
      <c r="A752" s="9">
        <v>2019</v>
      </c>
      <c r="B752" s="2" t="s">
        <v>205</v>
      </c>
      <c r="C752" s="2" t="s">
        <v>205</v>
      </c>
      <c r="D752" s="2" t="s">
        <v>206</v>
      </c>
      <c r="E752" s="2" t="s">
        <v>16</v>
      </c>
      <c r="F752" s="8">
        <v>13000000</v>
      </c>
      <c r="G752" s="2" t="s">
        <v>205</v>
      </c>
      <c r="H752" s="2" t="s">
        <v>17</v>
      </c>
      <c r="I752" s="2"/>
      <c r="J752" s="2" t="s">
        <v>16</v>
      </c>
    </row>
    <row r="753" spans="1:25" ht="15.75" customHeight="1">
      <c r="A753" s="9">
        <v>2019</v>
      </c>
      <c r="B753" s="2" t="s">
        <v>105</v>
      </c>
      <c r="C753" s="2" t="s">
        <v>105</v>
      </c>
      <c r="D753" s="2" t="s">
        <v>106</v>
      </c>
      <c r="E753" s="3" t="s">
        <v>14</v>
      </c>
      <c r="F753" s="8">
        <v>29200000</v>
      </c>
      <c r="G753" s="2" t="s">
        <v>105</v>
      </c>
      <c r="H753" s="2" t="s">
        <v>107</v>
      </c>
    </row>
    <row r="754" spans="1:25" ht="15.75" customHeight="1">
      <c r="A754" s="9">
        <v>2019</v>
      </c>
      <c r="B754" s="2" t="s">
        <v>205</v>
      </c>
      <c r="C754" s="2" t="s">
        <v>205</v>
      </c>
      <c r="D754" s="2" t="s">
        <v>206</v>
      </c>
      <c r="E754" s="3" t="s">
        <v>15</v>
      </c>
      <c r="F754" s="8">
        <v>3290000000</v>
      </c>
      <c r="G754" s="2" t="s">
        <v>205</v>
      </c>
      <c r="H754" s="2" t="s">
        <v>17</v>
      </c>
    </row>
    <row r="755" spans="1:25" ht="15.75" customHeight="1">
      <c r="A755" s="20">
        <v>2019</v>
      </c>
      <c r="B755" s="2" t="s">
        <v>105</v>
      </c>
      <c r="C755" s="2" t="s">
        <v>105</v>
      </c>
      <c r="D755" s="2" t="s">
        <v>106</v>
      </c>
      <c r="E755" s="2" t="s">
        <v>16</v>
      </c>
      <c r="F755" s="8">
        <v>890000</v>
      </c>
      <c r="G755" s="2" t="s">
        <v>105</v>
      </c>
      <c r="H755" s="2" t="s">
        <v>132</v>
      </c>
      <c r="I755" s="2"/>
      <c r="J755" s="2" t="s">
        <v>16</v>
      </c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</row>
    <row r="756" spans="1:25" ht="15.75" customHeight="1">
      <c r="A756" s="9">
        <v>2019</v>
      </c>
      <c r="B756" s="3" t="s">
        <v>207</v>
      </c>
      <c r="C756" s="2" t="s">
        <v>205</v>
      </c>
      <c r="D756" s="2" t="s">
        <v>206</v>
      </c>
      <c r="E756" s="3" t="s">
        <v>14</v>
      </c>
      <c r="F756" s="8">
        <v>2270000000</v>
      </c>
      <c r="G756" s="3" t="s">
        <v>207</v>
      </c>
      <c r="H756" s="2" t="s">
        <v>36</v>
      </c>
    </row>
    <row r="757" spans="1:25" ht="15.75" customHeight="1">
      <c r="A757" s="9">
        <v>2019</v>
      </c>
      <c r="B757" s="2" t="s">
        <v>207</v>
      </c>
      <c r="C757" s="2" t="s">
        <v>205</v>
      </c>
      <c r="D757" s="2" t="s">
        <v>206</v>
      </c>
      <c r="E757" s="3" t="s">
        <v>15</v>
      </c>
      <c r="F757" s="8">
        <v>4630000000</v>
      </c>
      <c r="G757" s="3" t="s">
        <v>207</v>
      </c>
      <c r="H757" s="2" t="s">
        <v>36</v>
      </c>
    </row>
    <row r="758" spans="1:25" ht="15.75" customHeight="1">
      <c r="A758" s="9">
        <v>2019</v>
      </c>
      <c r="B758" s="2" t="s">
        <v>207</v>
      </c>
      <c r="C758" s="2" t="s">
        <v>205</v>
      </c>
      <c r="D758" s="2" t="s">
        <v>206</v>
      </c>
      <c r="E758" s="2" t="s">
        <v>16</v>
      </c>
      <c r="F758" s="8">
        <v>9913877</v>
      </c>
      <c r="G758" s="3" t="s">
        <v>207</v>
      </c>
      <c r="H758" s="2" t="s">
        <v>36</v>
      </c>
      <c r="I758" s="2"/>
      <c r="J758" s="2" t="s">
        <v>16</v>
      </c>
    </row>
    <row r="759" spans="1:25" ht="15.75" customHeight="1">
      <c r="A759" s="9">
        <v>2019</v>
      </c>
      <c r="B759" s="2" t="s">
        <v>207</v>
      </c>
      <c r="C759" s="2" t="s">
        <v>205</v>
      </c>
      <c r="D759" s="2" t="s">
        <v>206</v>
      </c>
      <c r="E759" s="3" t="s">
        <v>14</v>
      </c>
      <c r="F759" s="8">
        <v>2660000000</v>
      </c>
      <c r="G759" s="3" t="s">
        <v>207</v>
      </c>
      <c r="H759" s="2" t="s">
        <v>36</v>
      </c>
    </row>
    <row r="760" spans="1:25" ht="15.75" customHeight="1">
      <c r="A760" s="9">
        <v>2019</v>
      </c>
      <c r="B760" s="2" t="s">
        <v>207</v>
      </c>
      <c r="C760" s="2" t="s">
        <v>205</v>
      </c>
      <c r="D760" s="2" t="s">
        <v>206</v>
      </c>
      <c r="E760" s="3" t="s">
        <v>15</v>
      </c>
      <c r="F760" s="8">
        <v>5610000000</v>
      </c>
      <c r="G760" s="3" t="s">
        <v>207</v>
      </c>
      <c r="H760" s="2" t="s">
        <v>36</v>
      </c>
    </row>
    <row r="761" spans="1:25" ht="15.75" customHeight="1">
      <c r="A761" s="9">
        <v>2019</v>
      </c>
      <c r="B761" s="2" t="s">
        <v>207</v>
      </c>
      <c r="C761" s="2" t="s">
        <v>205</v>
      </c>
      <c r="D761" s="2" t="s">
        <v>206</v>
      </c>
      <c r="E761" s="2" t="s">
        <v>16</v>
      </c>
      <c r="F761" s="8">
        <v>5300000</v>
      </c>
      <c r="G761" s="3" t="s">
        <v>207</v>
      </c>
      <c r="H761" s="2" t="s">
        <v>36</v>
      </c>
      <c r="I761" s="2"/>
      <c r="J761" s="2" t="s">
        <v>16</v>
      </c>
    </row>
    <row r="762" spans="1:25" ht="15.75" customHeight="1">
      <c r="A762" s="9">
        <v>2019</v>
      </c>
      <c r="B762" s="3" t="s">
        <v>208</v>
      </c>
      <c r="C762" s="2" t="s">
        <v>205</v>
      </c>
      <c r="D762" s="2" t="s">
        <v>206</v>
      </c>
      <c r="E762" s="3" t="s">
        <v>14</v>
      </c>
      <c r="F762" s="10">
        <v>959284768</v>
      </c>
      <c r="G762" s="3" t="s">
        <v>208</v>
      </c>
      <c r="H762" s="3" t="s">
        <v>13</v>
      </c>
      <c r="K762" s="6"/>
    </row>
    <row r="763" spans="1:25" ht="15.75" customHeight="1">
      <c r="A763" s="9">
        <v>2019</v>
      </c>
      <c r="B763" s="2" t="s">
        <v>208</v>
      </c>
      <c r="C763" s="2" t="s">
        <v>205</v>
      </c>
      <c r="D763" s="2" t="s">
        <v>206</v>
      </c>
      <c r="E763" s="3" t="s">
        <v>15</v>
      </c>
      <c r="F763" s="8">
        <v>1409812466</v>
      </c>
      <c r="G763" s="2" t="s">
        <v>208</v>
      </c>
      <c r="H763" s="2" t="s">
        <v>13</v>
      </c>
    </row>
    <row r="764" spans="1:25" ht="15.75" customHeight="1">
      <c r="A764" s="9">
        <v>2019</v>
      </c>
      <c r="B764" s="2" t="s">
        <v>208</v>
      </c>
      <c r="C764" s="2" t="s">
        <v>205</v>
      </c>
      <c r="D764" s="2" t="s">
        <v>206</v>
      </c>
      <c r="E764" s="3" t="s">
        <v>14</v>
      </c>
      <c r="F764" s="8">
        <v>1123400000</v>
      </c>
      <c r="G764" s="2" t="s">
        <v>208</v>
      </c>
      <c r="H764" s="2"/>
    </row>
    <row r="765" spans="1:25" ht="15.75" customHeight="1">
      <c r="A765" s="9">
        <v>2019</v>
      </c>
      <c r="B765" s="2" t="s">
        <v>208</v>
      </c>
      <c r="C765" s="2" t="s">
        <v>205</v>
      </c>
      <c r="D765" s="2" t="s">
        <v>206</v>
      </c>
      <c r="E765" s="3" t="s">
        <v>15</v>
      </c>
      <c r="F765" s="8">
        <v>2256200000</v>
      </c>
      <c r="G765" s="2" t="s">
        <v>208</v>
      </c>
      <c r="H765" s="2"/>
    </row>
    <row r="766" spans="1:25" ht="15.75" customHeight="1">
      <c r="A766" s="9">
        <v>2019</v>
      </c>
      <c r="B766" s="2" t="s">
        <v>208</v>
      </c>
      <c r="C766" s="2" t="s">
        <v>205</v>
      </c>
      <c r="D766" s="2" t="s">
        <v>206</v>
      </c>
      <c r="E766" s="3" t="s">
        <v>14</v>
      </c>
      <c r="F766" s="8">
        <v>215915475</v>
      </c>
      <c r="G766" s="2" t="s">
        <v>208</v>
      </c>
      <c r="H766" s="2" t="s">
        <v>13</v>
      </c>
    </row>
    <row r="767" spans="1:25" ht="15.75" customHeight="1">
      <c r="A767" s="9">
        <v>2019</v>
      </c>
      <c r="B767" s="2" t="s">
        <v>208</v>
      </c>
      <c r="C767" s="2" t="s">
        <v>205</v>
      </c>
      <c r="D767" s="2" t="s">
        <v>206</v>
      </c>
      <c r="E767" s="3" t="s">
        <v>15</v>
      </c>
      <c r="F767" s="8">
        <v>348340163</v>
      </c>
      <c r="G767" s="2" t="s">
        <v>208</v>
      </c>
      <c r="H767" s="2" t="s">
        <v>13</v>
      </c>
    </row>
    <row r="768" spans="1:25" ht="15.75" customHeight="1">
      <c r="A768" s="9">
        <v>2019</v>
      </c>
      <c r="B768" s="2" t="s">
        <v>208</v>
      </c>
      <c r="C768" s="2" t="s">
        <v>205</v>
      </c>
      <c r="D768" s="2" t="s">
        <v>206</v>
      </c>
      <c r="E768" s="2" t="s">
        <v>12</v>
      </c>
      <c r="F768" s="8">
        <v>6800000</v>
      </c>
      <c r="G768" s="2" t="s">
        <v>208</v>
      </c>
      <c r="H768" s="2" t="s">
        <v>13</v>
      </c>
      <c r="I768" s="2"/>
      <c r="J768" s="2" t="s">
        <v>16</v>
      </c>
    </row>
    <row r="769" spans="1:28" ht="15.75" customHeight="1">
      <c r="A769" s="9">
        <v>2019</v>
      </c>
      <c r="B769" s="2" t="s">
        <v>129</v>
      </c>
      <c r="C769" s="2" t="s">
        <v>129</v>
      </c>
      <c r="D769" s="2" t="s">
        <v>130</v>
      </c>
      <c r="E769" s="3" t="s">
        <v>14</v>
      </c>
      <c r="F769" s="8">
        <v>160000000</v>
      </c>
      <c r="G769" s="2" t="s">
        <v>129</v>
      </c>
      <c r="H769" s="2" t="s">
        <v>17</v>
      </c>
    </row>
    <row r="770" spans="1:28" ht="15.75" customHeight="1">
      <c r="A770" s="9">
        <v>2019</v>
      </c>
      <c r="B770" s="2" t="s">
        <v>209</v>
      </c>
      <c r="C770" s="2" t="s">
        <v>205</v>
      </c>
      <c r="D770" s="2" t="s">
        <v>206</v>
      </c>
      <c r="E770" s="3" t="s">
        <v>15</v>
      </c>
      <c r="F770" s="8">
        <v>5530000000</v>
      </c>
      <c r="G770" s="2" t="s">
        <v>209</v>
      </c>
      <c r="H770" s="2" t="s">
        <v>36</v>
      </c>
    </row>
    <row r="771" spans="1:28" ht="15.75" customHeight="1">
      <c r="A771" s="9">
        <v>2019</v>
      </c>
      <c r="B771" s="2" t="s">
        <v>129</v>
      </c>
      <c r="C771" s="2" t="s">
        <v>129</v>
      </c>
      <c r="D771" s="2" t="s">
        <v>130</v>
      </c>
      <c r="E771" s="2" t="s">
        <v>16</v>
      </c>
      <c r="F771" s="8">
        <v>3200000</v>
      </c>
      <c r="G771" s="2" t="s">
        <v>129</v>
      </c>
      <c r="H771" s="2" t="s">
        <v>17</v>
      </c>
      <c r="I771" s="2"/>
      <c r="J771" s="2" t="s">
        <v>16</v>
      </c>
    </row>
    <row r="772" spans="1:28" ht="15.75" customHeight="1">
      <c r="A772" s="9">
        <v>2019</v>
      </c>
      <c r="B772" s="17" t="s">
        <v>78</v>
      </c>
      <c r="C772" s="17" t="s">
        <v>78</v>
      </c>
      <c r="D772" s="3" t="s">
        <v>79</v>
      </c>
      <c r="E772" s="2" t="s">
        <v>15</v>
      </c>
      <c r="F772" s="12">
        <v>1502100145</v>
      </c>
      <c r="G772" s="17" t="s">
        <v>78</v>
      </c>
      <c r="H772" s="2" t="s">
        <v>23</v>
      </c>
      <c r="I772" s="3"/>
      <c r="J772" s="2" t="s">
        <v>15</v>
      </c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</row>
    <row r="773" spans="1:28" ht="15.75" customHeight="1">
      <c r="A773" s="9">
        <v>2019</v>
      </c>
      <c r="B773" s="2" t="s">
        <v>210</v>
      </c>
      <c r="C773" s="2" t="s">
        <v>205</v>
      </c>
      <c r="D773" s="2" t="s">
        <v>206</v>
      </c>
      <c r="E773" s="2" t="s">
        <v>16</v>
      </c>
      <c r="F773" s="8">
        <v>6600000</v>
      </c>
      <c r="G773" s="2" t="s">
        <v>210</v>
      </c>
      <c r="H773" s="2"/>
      <c r="I773" s="2"/>
      <c r="J773" s="2" t="s">
        <v>16</v>
      </c>
    </row>
    <row r="774" spans="1:28" ht="15.75" customHeight="1">
      <c r="A774" s="9">
        <v>2019</v>
      </c>
      <c r="B774" s="2" t="s">
        <v>210</v>
      </c>
      <c r="C774" s="2" t="s">
        <v>205</v>
      </c>
      <c r="D774" s="2" t="s">
        <v>206</v>
      </c>
      <c r="E774" s="2" t="s">
        <v>16</v>
      </c>
      <c r="F774" s="8">
        <v>5690000</v>
      </c>
      <c r="G774" s="2" t="s">
        <v>210</v>
      </c>
      <c r="H774" s="2"/>
      <c r="I774" s="2"/>
      <c r="J774" s="2" t="s">
        <v>16</v>
      </c>
    </row>
    <row r="775" spans="1:28" ht="15.75" customHeight="1">
      <c r="A775" s="9">
        <v>2019</v>
      </c>
      <c r="B775" s="2" t="s">
        <v>210</v>
      </c>
      <c r="C775" s="2" t="s">
        <v>205</v>
      </c>
      <c r="D775" s="2" t="s">
        <v>206</v>
      </c>
      <c r="E775" s="3" t="s">
        <v>14</v>
      </c>
      <c r="F775" s="8">
        <v>2486000000</v>
      </c>
      <c r="G775" s="2" t="s">
        <v>210</v>
      </c>
      <c r="H775" s="2"/>
    </row>
    <row r="776" spans="1:28" ht="15.75" customHeight="1">
      <c r="A776" s="9">
        <v>2019</v>
      </c>
      <c r="B776" s="2" t="s">
        <v>210</v>
      </c>
      <c r="C776" s="2" t="s">
        <v>205</v>
      </c>
      <c r="D776" s="2" t="s">
        <v>206</v>
      </c>
      <c r="E776" s="3" t="s">
        <v>15</v>
      </c>
      <c r="F776" s="8">
        <v>4500000000</v>
      </c>
      <c r="G776" s="2" t="s">
        <v>210</v>
      </c>
      <c r="H776" s="2"/>
    </row>
    <row r="777" spans="1:28" ht="15.75" customHeight="1">
      <c r="A777" s="9">
        <v>2019</v>
      </c>
      <c r="B777" s="2" t="s">
        <v>210</v>
      </c>
      <c r="C777" s="2" t="s">
        <v>205</v>
      </c>
      <c r="D777" s="2" t="s">
        <v>206</v>
      </c>
      <c r="E777" s="2" t="s">
        <v>16</v>
      </c>
      <c r="F777" s="8">
        <v>4700000</v>
      </c>
      <c r="G777" s="2" t="s">
        <v>210</v>
      </c>
      <c r="H777" s="2"/>
      <c r="I777" s="2"/>
      <c r="J777" s="2" t="s">
        <v>16</v>
      </c>
    </row>
    <row r="778" spans="1:28" ht="15.75" customHeight="1">
      <c r="A778" s="9">
        <v>2019</v>
      </c>
      <c r="B778" s="2" t="s">
        <v>211</v>
      </c>
      <c r="C778" s="2" t="s">
        <v>205</v>
      </c>
      <c r="D778" s="2" t="s">
        <v>206</v>
      </c>
      <c r="E778" s="3" t="s">
        <v>14</v>
      </c>
      <c r="F778" s="8">
        <v>2400000000</v>
      </c>
      <c r="G778" s="2" t="s">
        <v>211</v>
      </c>
      <c r="H778" s="2"/>
    </row>
    <row r="779" spans="1:28" ht="15.75" customHeight="1">
      <c r="A779" s="9">
        <v>2019</v>
      </c>
      <c r="B779" s="2" t="s">
        <v>211</v>
      </c>
      <c r="C779" s="2" t="s">
        <v>205</v>
      </c>
      <c r="D779" s="2" t="s">
        <v>206</v>
      </c>
      <c r="E779" s="3" t="s">
        <v>15</v>
      </c>
      <c r="F779" s="8">
        <v>4500000000</v>
      </c>
      <c r="G779" s="2" t="s">
        <v>211</v>
      </c>
      <c r="H779" s="2"/>
    </row>
    <row r="780" spans="1:28" ht="15.75" customHeight="1">
      <c r="A780" s="9">
        <v>2019</v>
      </c>
      <c r="B780" s="2" t="s">
        <v>212</v>
      </c>
      <c r="C780" s="2" t="s">
        <v>205</v>
      </c>
      <c r="D780" s="2" t="s">
        <v>206</v>
      </c>
      <c r="E780" s="3" t="s">
        <v>14</v>
      </c>
      <c r="F780" s="8">
        <v>2180971363</v>
      </c>
      <c r="G780" s="2" t="s">
        <v>212</v>
      </c>
      <c r="H780" s="2" t="s">
        <v>73</v>
      </c>
    </row>
    <row r="781" spans="1:28" ht="15.75" customHeight="1">
      <c r="A781" s="9">
        <v>2019</v>
      </c>
      <c r="B781" s="2" t="s">
        <v>212</v>
      </c>
      <c r="C781" s="18" t="s">
        <v>205</v>
      </c>
      <c r="D781" s="2" t="s">
        <v>206</v>
      </c>
      <c r="E781" s="3" t="s">
        <v>15</v>
      </c>
      <c r="F781" s="4">
        <v>2981640112</v>
      </c>
      <c r="G781" s="2" t="s">
        <v>212</v>
      </c>
      <c r="H781" s="2" t="s">
        <v>73</v>
      </c>
      <c r="K781" s="6"/>
    </row>
    <row r="782" spans="1:28" ht="15.75" customHeight="1">
      <c r="A782" s="9">
        <v>2019</v>
      </c>
      <c r="B782" s="2" t="s">
        <v>212</v>
      </c>
      <c r="C782" s="2" t="s">
        <v>205</v>
      </c>
      <c r="D782" s="2" t="s">
        <v>206</v>
      </c>
      <c r="E782" s="3" t="s">
        <v>14</v>
      </c>
      <c r="F782" s="8">
        <v>2333200000</v>
      </c>
      <c r="G782" s="2" t="s">
        <v>212</v>
      </c>
      <c r="H782" s="2"/>
    </row>
    <row r="783" spans="1:28" ht="15.75" customHeight="1">
      <c r="A783" s="9">
        <v>2019</v>
      </c>
      <c r="B783" s="2" t="s">
        <v>212</v>
      </c>
      <c r="C783" s="2" t="s">
        <v>205</v>
      </c>
      <c r="D783" s="2" t="s">
        <v>206</v>
      </c>
      <c r="E783" s="3" t="s">
        <v>15</v>
      </c>
      <c r="F783" s="8">
        <v>3740700000</v>
      </c>
      <c r="G783" s="2" t="s">
        <v>212</v>
      </c>
      <c r="H783" s="2"/>
    </row>
    <row r="784" spans="1:28" ht="15.75" customHeight="1">
      <c r="A784" s="9">
        <v>2019</v>
      </c>
      <c r="B784" s="2" t="s">
        <v>213</v>
      </c>
      <c r="C784" s="2" t="s">
        <v>205</v>
      </c>
      <c r="D784" s="2" t="s">
        <v>206</v>
      </c>
      <c r="E784" s="3" t="s">
        <v>14</v>
      </c>
      <c r="F784" s="8">
        <v>1200000000</v>
      </c>
      <c r="G784" s="2" t="s">
        <v>214</v>
      </c>
      <c r="H784" s="2"/>
    </row>
    <row r="785" spans="1:10" ht="15.75" customHeight="1">
      <c r="A785" s="9">
        <v>2019</v>
      </c>
      <c r="B785" s="2" t="s">
        <v>213</v>
      </c>
      <c r="C785" s="2" t="s">
        <v>205</v>
      </c>
      <c r="D785" s="2" t="s">
        <v>206</v>
      </c>
      <c r="E785" s="3" t="s">
        <v>15</v>
      </c>
      <c r="F785" s="8">
        <v>2900000000</v>
      </c>
      <c r="G785" s="2" t="s">
        <v>205</v>
      </c>
      <c r="H785" s="2"/>
    </row>
    <row r="786" spans="1:10" ht="15.75" customHeight="1">
      <c r="A786" s="9">
        <v>2019</v>
      </c>
      <c r="B786" s="2" t="s">
        <v>212</v>
      </c>
      <c r="C786" s="3" t="s">
        <v>205</v>
      </c>
      <c r="D786" s="2" t="s">
        <v>206</v>
      </c>
      <c r="E786" s="2" t="s">
        <v>12</v>
      </c>
      <c r="F786" s="8">
        <v>5300000</v>
      </c>
      <c r="G786" s="2" t="s">
        <v>212</v>
      </c>
      <c r="H786" s="2" t="s">
        <v>215</v>
      </c>
      <c r="I786" s="2"/>
      <c r="J786" s="2" t="s">
        <v>16</v>
      </c>
    </row>
    <row r="787" spans="1:10" ht="15.75" customHeight="1">
      <c r="A787" s="9">
        <v>2019</v>
      </c>
      <c r="B787" s="14" t="s">
        <v>216</v>
      </c>
      <c r="C787" s="14" t="s">
        <v>216</v>
      </c>
      <c r="D787" s="14" t="s">
        <v>217</v>
      </c>
      <c r="E787" s="3" t="s">
        <v>15</v>
      </c>
      <c r="F787" s="4">
        <v>184398188</v>
      </c>
      <c r="G787" s="14" t="s">
        <v>216</v>
      </c>
      <c r="H787" s="14" t="s">
        <v>13</v>
      </c>
    </row>
    <row r="788" spans="1:10" ht="15.75" customHeight="1">
      <c r="A788" s="9">
        <v>2019</v>
      </c>
      <c r="B788" s="14" t="s">
        <v>216</v>
      </c>
      <c r="C788" s="14" t="s">
        <v>216</v>
      </c>
      <c r="D788" s="14" t="s">
        <v>217</v>
      </c>
      <c r="E788" s="14" t="s">
        <v>14</v>
      </c>
      <c r="F788" s="4">
        <v>99109148</v>
      </c>
      <c r="G788" s="14" t="s">
        <v>216</v>
      </c>
      <c r="H788" s="14" t="s">
        <v>13</v>
      </c>
    </row>
    <row r="789" spans="1:10" ht="15.75" customHeight="1">
      <c r="A789" s="9">
        <v>2019</v>
      </c>
      <c r="B789" s="17" t="s">
        <v>129</v>
      </c>
      <c r="C789" s="17" t="s">
        <v>129</v>
      </c>
      <c r="D789" s="3" t="s">
        <v>130</v>
      </c>
      <c r="E789" s="2" t="s">
        <v>16</v>
      </c>
      <c r="F789" s="12">
        <v>6800000</v>
      </c>
      <c r="G789" s="17" t="s">
        <v>129</v>
      </c>
      <c r="H789" s="2" t="s">
        <v>17</v>
      </c>
      <c r="I789" s="3"/>
      <c r="J789" s="2" t="s">
        <v>16</v>
      </c>
    </row>
    <row r="790" spans="1:10" ht="15.75" customHeight="1">
      <c r="A790" s="9">
        <v>2019</v>
      </c>
      <c r="B790" s="2" t="s">
        <v>218</v>
      </c>
      <c r="C790" s="2" t="s">
        <v>218</v>
      </c>
      <c r="D790" s="2" t="s">
        <v>219</v>
      </c>
      <c r="E790" s="3" t="s">
        <v>14</v>
      </c>
      <c r="F790" s="8">
        <v>148500000</v>
      </c>
      <c r="G790" s="2" t="s">
        <v>218</v>
      </c>
      <c r="H790" s="2"/>
    </row>
    <row r="791" spans="1:10" ht="15.75" customHeight="1">
      <c r="A791" s="9">
        <v>2019</v>
      </c>
      <c r="B791" s="2" t="s">
        <v>218</v>
      </c>
      <c r="C791" s="2" t="s">
        <v>218</v>
      </c>
      <c r="D791" s="2" t="s">
        <v>219</v>
      </c>
      <c r="E791" s="3" t="s">
        <v>15</v>
      </c>
      <c r="F791" s="8">
        <v>316000000</v>
      </c>
      <c r="G791" s="2" t="s">
        <v>218</v>
      </c>
      <c r="H791" s="2"/>
    </row>
    <row r="792" spans="1:10" ht="15.75" customHeight="1">
      <c r="A792" s="9">
        <v>2019</v>
      </c>
      <c r="B792" s="2" t="s">
        <v>218</v>
      </c>
      <c r="C792" s="2" t="s">
        <v>218</v>
      </c>
      <c r="D792" s="2" t="s">
        <v>219</v>
      </c>
      <c r="E792" s="2" t="s">
        <v>16</v>
      </c>
      <c r="F792" s="8">
        <v>1400000</v>
      </c>
      <c r="G792" s="2" t="s">
        <v>218</v>
      </c>
      <c r="H792" s="2"/>
      <c r="I792" s="2"/>
      <c r="J792" s="2" t="s">
        <v>16</v>
      </c>
    </row>
    <row r="793" spans="1:10" ht="15.75" customHeight="1">
      <c r="A793" s="9">
        <v>2019</v>
      </c>
      <c r="B793" s="2" t="s">
        <v>218</v>
      </c>
      <c r="C793" s="2" t="s">
        <v>218</v>
      </c>
      <c r="D793" s="2" t="s">
        <v>219</v>
      </c>
      <c r="E793" s="3" t="s">
        <v>14</v>
      </c>
      <c r="F793" s="8">
        <v>88300000</v>
      </c>
      <c r="G793" s="2" t="s">
        <v>218</v>
      </c>
      <c r="H793" s="2"/>
    </row>
    <row r="794" spans="1:10" ht="15.75" customHeight="1">
      <c r="A794" s="9">
        <v>2019</v>
      </c>
      <c r="B794" s="2" t="s">
        <v>220</v>
      </c>
      <c r="C794" s="2" t="s">
        <v>220</v>
      </c>
      <c r="D794" s="2" t="s">
        <v>221</v>
      </c>
      <c r="E794" s="3" t="s">
        <v>14</v>
      </c>
      <c r="F794" s="8">
        <v>21800000</v>
      </c>
      <c r="G794" s="2" t="s">
        <v>220</v>
      </c>
      <c r="H794" s="2"/>
    </row>
    <row r="795" spans="1:10" ht="15.75" customHeight="1">
      <c r="A795" s="9">
        <v>2019</v>
      </c>
      <c r="B795" s="2" t="s">
        <v>220</v>
      </c>
      <c r="C795" s="2" t="s">
        <v>220</v>
      </c>
      <c r="D795" s="2" t="s">
        <v>221</v>
      </c>
      <c r="E795" s="3" t="s">
        <v>15</v>
      </c>
      <c r="F795" s="8">
        <v>37700000</v>
      </c>
      <c r="G795" s="2" t="s">
        <v>220</v>
      </c>
      <c r="H795" s="2"/>
    </row>
    <row r="796" spans="1:10" ht="15.75" customHeight="1">
      <c r="A796" s="9">
        <v>2019</v>
      </c>
      <c r="B796" s="2" t="s">
        <v>218</v>
      </c>
      <c r="C796" s="2" t="s">
        <v>218</v>
      </c>
      <c r="D796" s="2" t="s">
        <v>219</v>
      </c>
      <c r="E796" s="3" t="s">
        <v>15</v>
      </c>
      <c r="F796" s="8">
        <v>297900000</v>
      </c>
      <c r="G796" s="2" t="s">
        <v>218</v>
      </c>
      <c r="H796" s="2"/>
    </row>
    <row r="797" spans="1:10" ht="15.75" customHeight="1">
      <c r="A797" s="9">
        <v>2019</v>
      </c>
      <c r="B797" s="2" t="s">
        <v>218</v>
      </c>
      <c r="C797" s="2" t="s">
        <v>218</v>
      </c>
      <c r="D797" s="2" t="s">
        <v>219</v>
      </c>
      <c r="E797" s="2" t="s">
        <v>16</v>
      </c>
      <c r="F797" s="8">
        <v>3100000</v>
      </c>
      <c r="G797" s="2" t="s">
        <v>218</v>
      </c>
      <c r="H797" s="2"/>
      <c r="I797" s="2"/>
      <c r="J797" s="2" t="s">
        <v>16</v>
      </c>
    </row>
    <row r="798" spans="1:10" ht="15.75" customHeight="1">
      <c r="A798" s="9">
        <v>2019</v>
      </c>
      <c r="B798" s="2" t="s">
        <v>218</v>
      </c>
      <c r="C798" s="2" t="s">
        <v>218</v>
      </c>
      <c r="D798" s="2" t="s">
        <v>219</v>
      </c>
      <c r="E798" s="3" t="s">
        <v>14</v>
      </c>
      <c r="F798" s="8">
        <v>56900000</v>
      </c>
      <c r="G798" s="2" t="s">
        <v>218</v>
      </c>
      <c r="H798" s="2" t="s">
        <v>17</v>
      </c>
    </row>
    <row r="799" spans="1:10" ht="15.75" customHeight="1">
      <c r="A799" s="9">
        <v>2019</v>
      </c>
      <c r="B799" s="2" t="s">
        <v>218</v>
      </c>
      <c r="C799" s="2" t="s">
        <v>218</v>
      </c>
      <c r="D799" s="2" t="s">
        <v>219</v>
      </c>
      <c r="E799" s="3" t="s">
        <v>15</v>
      </c>
      <c r="F799" s="8">
        <v>203600000</v>
      </c>
      <c r="G799" s="2" t="s">
        <v>218</v>
      </c>
      <c r="H799" s="2" t="s">
        <v>17</v>
      </c>
    </row>
    <row r="800" spans="1:10" ht="15.75" customHeight="1">
      <c r="A800" s="9">
        <v>2019</v>
      </c>
      <c r="B800" s="2" t="s">
        <v>218</v>
      </c>
      <c r="C800" s="2" t="s">
        <v>218</v>
      </c>
      <c r="D800" s="2" t="s">
        <v>219</v>
      </c>
      <c r="E800" s="2" t="s">
        <v>16</v>
      </c>
      <c r="F800" s="8">
        <v>3800000</v>
      </c>
      <c r="G800" s="2" t="s">
        <v>218</v>
      </c>
      <c r="H800" s="2" t="s">
        <v>17</v>
      </c>
      <c r="I800" s="2"/>
      <c r="J800" s="2" t="s">
        <v>16</v>
      </c>
    </row>
    <row r="801" spans="1:10" ht="15.75" customHeight="1">
      <c r="A801" s="9">
        <v>2019</v>
      </c>
      <c r="B801" s="2" t="s">
        <v>218</v>
      </c>
      <c r="C801" s="2" t="s">
        <v>218</v>
      </c>
      <c r="D801" s="2" t="s">
        <v>219</v>
      </c>
      <c r="E801" s="3" t="s">
        <v>14</v>
      </c>
      <c r="F801" s="8">
        <v>66599999.999999993</v>
      </c>
      <c r="G801" s="2" t="s">
        <v>218</v>
      </c>
      <c r="H801" s="2" t="s">
        <v>17</v>
      </c>
    </row>
    <row r="802" spans="1:10" ht="15.75" customHeight="1">
      <c r="A802" s="9">
        <v>2019</v>
      </c>
      <c r="B802" s="2" t="s">
        <v>218</v>
      </c>
      <c r="C802" s="2" t="s">
        <v>218</v>
      </c>
      <c r="D802" s="2" t="s">
        <v>219</v>
      </c>
      <c r="E802" s="3" t="s">
        <v>15</v>
      </c>
      <c r="F802" s="8">
        <v>186900000</v>
      </c>
      <c r="G802" s="2" t="s">
        <v>218</v>
      </c>
      <c r="H802" s="2" t="s">
        <v>17</v>
      </c>
    </row>
    <row r="803" spans="1:10" ht="15.75" customHeight="1">
      <c r="A803" s="9">
        <v>2019</v>
      </c>
      <c r="B803" s="2" t="s">
        <v>218</v>
      </c>
      <c r="C803" s="2" t="s">
        <v>218</v>
      </c>
      <c r="D803" s="2" t="s">
        <v>219</v>
      </c>
      <c r="E803" s="2" t="s">
        <v>16</v>
      </c>
      <c r="F803" s="8">
        <v>3400000</v>
      </c>
      <c r="G803" s="2" t="s">
        <v>218</v>
      </c>
      <c r="H803" s="2" t="s">
        <v>17</v>
      </c>
      <c r="I803" s="2"/>
      <c r="J803" s="2" t="s">
        <v>16</v>
      </c>
    </row>
    <row r="804" spans="1:10" ht="15.75" customHeight="1">
      <c r="A804" s="9">
        <v>2019</v>
      </c>
      <c r="B804" s="2" t="s">
        <v>218</v>
      </c>
      <c r="C804" s="2" t="s">
        <v>218</v>
      </c>
      <c r="D804" s="2" t="s">
        <v>219</v>
      </c>
      <c r="E804" s="3" t="s">
        <v>15</v>
      </c>
      <c r="F804" s="8">
        <v>164400000</v>
      </c>
      <c r="G804" s="2" t="s">
        <v>218</v>
      </c>
      <c r="H804" s="2" t="s">
        <v>17</v>
      </c>
    </row>
    <row r="805" spans="1:10" ht="15.75" customHeight="1">
      <c r="A805" s="9">
        <v>2019</v>
      </c>
      <c r="B805" s="2" t="s">
        <v>123</v>
      </c>
      <c r="C805" s="2" t="s">
        <v>123</v>
      </c>
      <c r="D805" s="2" t="s">
        <v>124</v>
      </c>
      <c r="E805" s="3" t="s">
        <v>14</v>
      </c>
      <c r="F805" s="8">
        <v>291600000</v>
      </c>
      <c r="G805" s="2" t="s">
        <v>123</v>
      </c>
      <c r="H805" s="2" t="s">
        <v>17</v>
      </c>
    </row>
    <row r="806" spans="1:10" ht="15.75" customHeight="1">
      <c r="A806" s="9">
        <v>2019</v>
      </c>
      <c r="B806" s="2" t="s">
        <v>82</v>
      </c>
      <c r="C806" s="2" t="s">
        <v>82</v>
      </c>
      <c r="D806" s="2" t="s">
        <v>83</v>
      </c>
      <c r="E806" s="3" t="s">
        <v>15</v>
      </c>
      <c r="F806" s="8">
        <v>252500000</v>
      </c>
      <c r="G806" s="2" t="s">
        <v>82</v>
      </c>
      <c r="H806" s="2" t="s">
        <v>17</v>
      </c>
    </row>
    <row r="807" spans="1:10" ht="15.75" customHeight="1">
      <c r="A807" s="9">
        <v>2019</v>
      </c>
      <c r="B807" s="2" t="s">
        <v>123</v>
      </c>
      <c r="C807" s="2" t="s">
        <v>123</v>
      </c>
      <c r="D807" s="2" t="s">
        <v>124</v>
      </c>
      <c r="E807" s="2" t="s">
        <v>16</v>
      </c>
      <c r="F807" s="8">
        <v>2600000</v>
      </c>
      <c r="G807" s="2" t="s">
        <v>123</v>
      </c>
      <c r="H807" s="2" t="s">
        <v>17</v>
      </c>
      <c r="I807" s="2"/>
      <c r="J807" s="2" t="s">
        <v>16</v>
      </c>
    </row>
    <row r="808" spans="1:10" ht="15.75" customHeight="1">
      <c r="A808" s="9">
        <v>2019</v>
      </c>
      <c r="B808" s="2" t="s">
        <v>222</v>
      </c>
      <c r="C808" s="2" t="s">
        <v>222</v>
      </c>
      <c r="D808" s="2" t="s">
        <v>223</v>
      </c>
      <c r="E808" s="3" t="s">
        <v>15</v>
      </c>
      <c r="F808" s="8">
        <v>222700000</v>
      </c>
      <c r="G808" s="2" t="s">
        <v>222</v>
      </c>
      <c r="H808" s="2" t="s">
        <v>17</v>
      </c>
    </row>
    <row r="809" spans="1:10" ht="15.75" customHeight="1">
      <c r="A809" s="9">
        <v>2019</v>
      </c>
      <c r="B809" s="3" t="s">
        <v>126</v>
      </c>
      <c r="C809" s="11" t="s">
        <v>123</v>
      </c>
      <c r="D809" s="2" t="s">
        <v>124</v>
      </c>
      <c r="E809" s="2" t="s">
        <v>16</v>
      </c>
      <c r="F809" s="42">
        <v>7800000</v>
      </c>
      <c r="G809" s="3" t="s">
        <v>126</v>
      </c>
      <c r="H809" s="2" t="s">
        <v>132</v>
      </c>
      <c r="I809" s="2" t="s">
        <v>28</v>
      </c>
      <c r="J809" s="2" t="s">
        <v>16</v>
      </c>
    </row>
    <row r="810" spans="1:10" ht="15.75" customHeight="1">
      <c r="A810" s="9">
        <v>2019</v>
      </c>
      <c r="B810" s="2" t="s">
        <v>136</v>
      </c>
      <c r="C810" s="2" t="s">
        <v>136</v>
      </c>
      <c r="D810" s="2" t="s">
        <v>137</v>
      </c>
      <c r="E810" s="3" t="s">
        <v>14</v>
      </c>
      <c r="F810" s="8">
        <v>172300000</v>
      </c>
      <c r="G810" s="2" t="s">
        <v>136</v>
      </c>
      <c r="H810" s="2" t="s">
        <v>17</v>
      </c>
    </row>
    <row r="811" spans="1:10" ht="15.75" customHeight="1">
      <c r="A811" s="9">
        <v>2019</v>
      </c>
      <c r="B811" s="2" t="s">
        <v>136</v>
      </c>
      <c r="C811" s="2" t="s">
        <v>136</v>
      </c>
      <c r="D811" s="2" t="s">
        <v>137</v>
      </c>
      <c r="E811" s="2" t="s">
        <v>16</v>
      </c>
      <c r="F811" s="8">
        <v>941000</v>
      </c>
      <c r="G811" s="2" t="s">
        <v>136</v>
      </c>
      <c r="H811" s="2" t="s">
        <v>17</v>
      </c>
      <c r="I811" s="2"/>
      <c r="J811" s="2" t="s">
        <v>16</v>
      </c>
    </row>
    <row r="812" spans="1:10" ht="15.75" customHeight="1">
      <c r="A812" s="9">
        <v>2019</v>
      </c>
      <c r="B812" s="2" t="s">
        <v>224</v>
      </c>
      <c r="C812" s="2" t="s">
        <v>222</v>
      </c>
      <c r="D812" s="2" t="s">
        <v>223</v>
      </c>
      <c r="E812" s="3" t="s">
        <v>15</v>
      </c>
      <c r="F812" s="8">
        <v>737600000</v>
      </c>
      <c r="G812" s="2" t="s">
        <v>224</v>
      </c>
      <c r="H812" s="2" t="s">
        <v>22</v>
      </c>
    </row>
    <row r="813" spans="1:10" ht="15.75" customHeight="1">
      <c r="A813" s="9">
        <v>2019</v>
      </c>
      <c r="B813" s="17" t="s">
        <v>82</v>
      </c>
      <c r="C813" s="17" t="s">
        <v>82</v>
      </c>
      <c r="D813" s="3" t="s">
        <v>83</v>
      </c>
      <c r="E813" s="2" t="s">
        <v>15</v>
      </c>
      <c r="F813" s="12">
        <v>235600000</v>
      </c>
      <c r="G813" s="17" t="s">
        <v>82</v>
      </c>
      <c r="H813" s="2" t="s">
        <v>23</v>
      </c>
      <c r="I813" s="3"/>
      <c r="J813" s="2" t="s">
        <v>15</v>
      </c>
    </row>
    <row r="814" spans="1:10" ht="15.75" customHeight="1">
      <c r="A814" s="9">
        <v>2019</v>
      </c>
      <c r="B814" s="2" t="s">
        <v>225</v>
      </c>
      <c r="C814" s="2" t="s">
        <v>225</v>
      </c>
      <c r="D814" s="2" t="s">
        <v>226</v>
      </c>
      <c r="E814" s="3" t="s">
        <v>14</v>
      </c>
      <c r="F814" s="8">
        <v>349400000</v>
      </c>
      <c r="G814" s="2" t="s">
        <v>225</v>
      </c>
      <c r="H814" s="2"/>
    </row>
    <row r="815" spans="1:10" ht="15.75" customHeight="1">
      <c r="A815" s="9">
        <v>2019</v>
      </c>
      <c r="B815" s="3" t="s">
        <v>227</v>
      </c>
      <c r="C815" s="2" t="s">
        <v>99</v>
      </c>
      <c r="D815" s="2" t="s">
        <v>100</v>
      </c>
      <c r="E815" s="3" t="s">
        <v>14</v>
      </c>
      <c r="F815" s="8">
        <v>26626535</v>
      </c>
      <c r="G815" s="3" t="s">
        <v>227</v>
      </c>
      <c r="H815" s="14" t="s">
        <v>67</v>
      </c>
    </row>
    <row r="816" spans="1:10" ht="15.75" customHeight="1">
      <c r="A816" s="9">
        <v>2019</v>
      </c>
      <c r="B816" s="2" t="s">
        <v>225</v>
      </c>
      <c r="C816" s="2" t="s">
        <v>225</v>
      </c>
      <c r="D816" s="2" t="s">
        <v>226</v>
      </c>
      <c r="E816" s="3" t="s">
        <v>15</v>
      </c>
      <c r="F816" s="8">
        <v>596000000</v>
      </c>
      <c r="G816" s="2" t="s">
        <v>225</v>
      </c>
      <c r="H816" s="2"/>
    </row>
    <row r="817" spans="1:10" ht="15.75" customHeight="1">
      <c r="A817" s="9">
        <v>2019</v>
      </c>
      <c r="B817" s="2" t="s">
        <v>225</v>
      </c>
      <c r="C817" s="2" t="s">
        <v>225</v>
      </c>
      <c r="D817" s="2" t="s">
        <v>226</v>
      </c>
      <c r="E817" s="2" t="s">
        <v>16</v>
      </c>
      <c r="F817" s="8">
        <v>14700000</v>
      </c>
      <c r="G817" s="2" t="s">
        <v>225</v>
      </c>
      <c r="H817" s="2"/>
      <c r="I817" s="2"/>
      <c r="J817" s="2" t="s">
        <v>16</v>
      </c>
    </row>
    <row r="818" spans="1:10" ht="15.75" customHeight="1">
      <c r="A818" s="9">
        <v>2019</v>
      </c>
      <c r="B818" s="2" t="s">
        <v>225</v>
      </c>
      <c r="C818" s="2" t="s">
        <v>225</v>
      </c>
      <c r="D818" s="2" t="s">
        <v>226</v>
      </c>
      <c r="E818" s="3" t="s">
        <v>14</v>
      </c>
      <c r="F818" s="8">
        <v>781000000</v>
      </c>
      <c r="G818" s="2" t="s">
        <v>225</v>
      </c>
      <c r="H818" s="2"/>
    </row>
    <row r="819" spans="1:10" ht="15.75" customHeight="1">
      <c r="A819" s="9">
        <v>2019</v>
      </c>
      <c r="B819" s="2" t="s">
        <v>225</v>
      </c>
      <c r="C819" s="2" t="s">
        <v>225</v>
      </c>
      <c r="D819" s="2" t="s">
        <v>226</v>
      </c>
      <c r="E819" s="3" t="s">
        <v>15</v>
      </c>
      <c r="F819" s="8">
        <v>1600000000</v>
      </c>
      <c r="G819" s="2" t="s">
        <v>225</v>
      </c>
      <c r="H819" s="2"/>
    </row>
    <row r="820" spans="1:10" ht="15.75" customHeight="1">
      <c r="A820" s="9">
        <v>2019</v>
      </c>
      <c r="B820" s="3" t="s">
        <v>225</v>
      </c>
      <c r="C820" s="2" t="s">
        <v>225</v>
      </c>
      <c r="D820" s="2" t="s">
        <v>226</v>
      </c>
      <c r="E820" s="2" t="s">
        <v>16</v>
      </c>
      <c r="F820" s="8">
        <v>15900000</v>
      </c>
      <c r="G820" s="2" t="s">
        <v>225</v>
      </c>
      <c r="H820" s="2"/>
      <c r="I820" s="2"/>
      <c r="J820" s="2" t="s">
        <v>16</v>
      </c>
    </row>
    <row r="821" spans="1:10" ht="15.75" customHeight="1">
      <c r="A821" s="9">
        <v>2019</v>
      </c>
      <c r="B821" s="2" t="s">
        <v>225</v>
      </c>
      <c r="C821" s="2" t="s">
        <v>225</v>
      </c>
      <c r="D821" s="2" t="s">
        <v>226</v>
      </c>
      <c r="E821" s="3" t="s">
        <v>14</v>
      </c>
      <c r="F821" s="8">
        <v>935800000</v>
      </c>
      <c r="G821" s="2" t="s">
        <v>225</v>
      </c>
      <c r="H821" s="2"/>
    </row>
    <row r="822" spans="1:10" ht="15.75" customHeight="1">
      <c r="A822" s="9">
        <v>2019</v>
      </c>
      <c r="B822" s="2" t="s">
        <v>225</v>
      </c>
      <c r="C822" s="2" t="s">
        <v>225</v>
      </c>
      <c r="D822" s="2" t="s">
        <v>226</v>
      </c>
      <c r="E822" s="3" t="s">
        <v>15</v>
      </c>
      <c r="F822" s="8">
        <v>1600000000</v>
      </c>
      <c r="G822" s="2" t="s">
        <v>225</v>
      </c>
      <c r="H822" s="2"/>
    </row>
    <row r="823" spans="1:10" ht="15.75" customHeight="1">
      <c r="A823" s="9">
        <v>2019</v>
      </c>
      <c r="B823" s="2" t="s">
        <v>225</v>
      </c>
      <c r="C823" s="2" t="s">
        <v>225</v>
      </c>
      <c r="D823" s="2" t="s">
        <v>226</v>
      </c>
      <c r="E823" s="2" t="s">
        <v>16</v>
      </c>
      <c r="F823" s="8">
        <v>21200000</v>
      </c>
      <c r="G823" s="2" t="s">
        <v>225</v>
      </c>
      <c r="H823" s="2"/>
      <c r="I823" s="2"/>
      <c r="J823" s="2" t="s">
        <v>16</v>
      </c>
    </row>
    <row r="824" spans="1:10" ht="15.75" customHeight="1">
      <c r="A824" s="9">
        <v>2019</v>
      </c>
      <c r="B824" s="2" t="s">
        <v>225</v>
      </c>
      <c r="C824" s="2" t="s">
        <v>225</v>
      </c>
      <c r="D824" s="2" t="s">
        <v>226</v>
      </c>
      <c r="E824" s="3" t="s">
        <v>14</v>
      </c>
      <c r="F824" s="8">
        <v>1330000000</v>
      </c>
      <c r="G824" s="2" t="s">
        <v>225</v>
      </c>
      <c r="H824" s="2" t="s">
        <v>17</v>
      </c>
    </row>
    <row r="825" spans="1:10" ht="15.75" customHeight="1">
      <c r="A825" s="9">
        <v>2019</v>
      </c>
      <c r="B825" s="2" t="s">
        <v>225</v>
      </c>
      <c r="C825" s="2" t="s">
        <v>225</v>
      </c>
      <c r="D825" s="2" t="s">
        <v>226</v>
      </c>
      <c r="E825" s="3" t="s">
        <v>15</v>
      </c>
      <c r="F825" s="8">
        <v>2340000000</v>
      </c>
      <c r="G825" s="2" t="s">
        <v>225</v>
      </c>
      <c r="H825" s="2" t="s">
        <v>17</v>
      </c>
    </row>
    <row r="826" spans="1:10" ht="15.75" customHeight="1">
      <c r="A826" s="9">
        <v>2019</v>
      </c>
      <c r="B826" s="14" t="s">
        <v>228</v>
      </c>
      <c r="C826" s="14" t="s">
        <v>228</v>
      </c>
      <c r="D826" s="14" t="s">
        <v>229</v>
      </c>
      <c r="E826" s="3" t="s">
        <v>15</v>
      </c>
      <c r="F826" s="4">
        <v>478399290</v>
      </c>
      <c r="G826" s="14" t="s">
        <v>228</v>
      </c>
      <c r="H826" s="14" t="s">
        <v>13</v>
      </c>
    </row>
    <row r="827" spans="1:10" ht="15.75" customHeight="1">
      <c r="A827" s="9">
        <v>2019</v>
      </c>
      <c r="B827" s="14" t="s">
        <v>228</v>
      </c>
      <c r="C827" s="14" t="s">
        <v>228</v>
      </c>
      <c r="D827" s="14" t="s">
        <v>229</v>
      </c>
      <c r="E827" s="14" t="s">
        <v>14</v>
      </c>
      <c r="F827" s="4">
        <v>226189188</v>
      </c>
      <c r="G827" s="14" t="s">
        <v>228</v>
      </c>
      <c r="H827" s="14" t="s">
        <v>13</v>
      </c>
    </row>
    <row r="828" spans="1:10" ht="15.75" customHeight="1">
      <c r="A828" s="9">
        <v>2019</v>
      </c>
      <c r="B828" s="2" t="s">
        <v>225</v>
      </c>
      <c r="C828" s="2" t="s">
        <v>225</v>
      </c>
      <c r="D828" s="2" t="s">
        <v>226</v>
      </c>
      <c r="E828" s="2" t="s">
        <v>16</v>
      </c>
      <c r="F828" s="8">
        <v>18800000</v>
      </c>
      <c r="G828" s="2" t="s">
        <v>225</v>
      </c>
      <c r="H828" s="2" t="s">
        <v>17</v>
      </c>
      <c r="I828" s="2"/>
      <c r="J828" s="2" t="s">
        <v>16</v>
      </c>
    </row>
    <row r="829" spans="1:10" ht="15.75" customHeight="1">
      <c r="A829" s="9">
        <v>2019</v>
      </c>
      <c r="B829" s="3" t="s">
        <v>230</v>
      </c>
      <c r="C829" s="2" t="s">
        <v>230</v>
      </c>
      <c r="D829" s="14"/>
      <c r="E829" s="3" t="s">
        <v>14</v>
      </c>
      <c r="F829" s="8">
        <v>286827637</v>
      </c>
      <c r="G829" s="3" t="s">
        <v>230</v>
      </c>
      <c r="H829" s="2" t="s">
        <v>13</v>
      </c>
    </row>
    <row r="830" spans="1:10" ht="15.75" customHeight="1">
      <c r="A830" s="9">
        <v>2019</v>
      </c>
      <c r="B830" s="3" t="s">
        <v>228</v>
      </c>
      <c r="C830" s="2" t="s">
        <v>228</v>
      </c>
      <c r="D830" s="14" t="s">
        <v>229</v>
      </c>
      <c r="E830" s="3" t="s">
        <v>12</v>
      </c>
      <c r="F830" s="8">
        <v>8000000</v>
      </c>
      <c r="G830" s="3" t="s">
        <v>228</v>
      </c>
      <c r="H830" s="2" t="s">
        <v>13</v>
      </c>
      <c r="I830" s="3"/>
      <c r="J830" s="3" t="s">
        <v>16</v>
      </c>
    </row>
    <row r="831" spans="1:10" ht="15.75" customHeight="1">
      <c r="A831" s="9">
        <v>2019</v>
      </c>
      <c r="B831" s="2" t="s">
        <v>228</v>
      </c>
      <c r="C831" s="2" t="s">
        <v>228</v>
      </c>
      <c r="D831" s="14" t="s">
        <v>229</v>
      </c>
      <c r="E831" s="3" t="s">
        <v>14</v>
      </c>
      <c r="F831" s="8">
        <v>142500000</v>
      </c>
      <c r="G831" s="2" t="s">
        <v>228</v>
      </c>
      <c r="H831" s="2"/>
    </row>
    <row r="832" spans="1:10" ht="15.75" customHeight="1">
      <c r="A832" s="9">
        <v>2019</v>
      </c>
      <c r="B832" s="2" t="s">
        <v>228</v>
      </c>
      <c r="C832" s="2" t="s">
        <v>228</v>
      </c>
      <c r="D832" s="14" t="s">
        <v>229</v>
      </c>
      <c r="E832" s="3" t="s">
        <v>15</v>
      </c>
      <c r="F832" s="8">
        <v>352300000</v>
      </c>
      <c r="G832" s="2" t="s">
        <v>228</v>
      </c>
      <c r="H832" s="2"/>
    </row>
    <row r="833" spans="1:10" ht="15.75" customHeight="1">
      <c r="A833" s="9">
        <v>2019</v>
      </c>
      <c r="B833" s="2" t="s">
        <v>228</v>
      </c>
      <c r="C833" s="2" t="s">
        <v>228</v>
      </c>
      <c r="D833" s="14" t="s">
        <v>229</v>
      </c>
      <c r="E833" s="2" t="s">
        <v>16</v>
      </c>
      <c r="F833" s="8">
        <v>4300000</v>
      </c>
      <c r="G833" s="2" t="s">
        <v>228</v>
      </c>
      <c r="H833" s="2" t="s">
        <v>17</v>
      </c>
      <c r="I833" s="2"/>
      <c r="J833" s="2" t="s">
        <v>16</v>
      </c>
    </row>
    <row r="834" spans="1:10" ht="15.75" customHeight="1">
      <c r="A834" s="9">
        <v>2019</v>
      </c>
      <c r="B834" s="17" t="s">
        <v>136</v>
      </c>
      <c r="C834" s="17" t="s">
        <v>136</v>
      </c>
      <c r="D834" s="3" t="s">
        <v>137</v>
      </c>
      <c r="E834" s="2" t="s">
        <v>16</v>
      </c>
      <c r="F834" s="12">
        <v>960000</v>
      </c>
      <c r="G834" s="17" t="s">
        <v>136</v>
      </c>
      <c r="H834" s="2" t="s">
        <v>17</v>
      </c>
      <c r="I834" s="3"/>
      <c r="J834" s="2" t="s">
        <v>16</v>
      </c>
    </row>
    <row r="835" spans="1:10" ht="15.75" customHeight="1">
      <c r="A835" s="9">
        <v>2019</v>
      </c>
      <c r="B835" s="2" t="s">
        <v>228</v>
      </c>
      <c r="C835" s="2" t="s">
        <v>228</v>
      </c>
      <c r="D835" s="14" t="s">
        <v>229</v>
      </c>
      <c r="E835" s="3" t="s">
        <v>15</v>
      </c>
      <c r="F835" s="8">
        <v>467900000</v>
      </c>
      <c r="G835" s="2" t="s">
        <v>228</v>
      </c>
      <c r="H835" s="32" t="s">
        <v>107</v>
      </c>
    </row>
    <row r="836" spans="1:10" ht="15.75" customHeight="1">
      <c r="A836" s="9">
        <v>2019</v>
      </c>
      <c r="B836" s="2" t="s">
        <v>228</v>
      </c>
      <c r="C836" s="2" t="s">
        <v>228</v>
      </c>
      <c r="D836" s="14" t="s">
        <v>229</v>
      </c>
      <c r="E836" s="3" t="s">
        <v>14</v>
      </c>
      <c r="F836" s="8">
        <v>206902892</v>
      </c>
      <c r="G836" s="2" t="s">
        <v>228</v>
      </c>
      <c r="H836" s="2" t="s">
        <v>13</v>
      </c>
    </row>
    <row r="837" spans="1:10" ht="15.75" customHeight="1">
      <c r="A837" s="9">
        <v>2019</v>
      </c>
      <c r="B837" s="2" t="s">
        <v>228</v>
      </c>
      <c r="C837" s="2" t="s">
        <v>228</v>
      </c>
      <c r="D837" s="14" t="s">
        <v>229</v>
      </c>
      <c r="E837" s="3" t="s">
        <v>15</v>
      </c>
      <c r="F837" s="8">
        <v>238444169</v>
      </c>
      <c r="G837" s="2" t="s">
        <v>228</v>
      </c>
      <c r="H837" s="2" t="s">
        <v>13</v>
      </c>
    </row>
    <row r="838" spans="1:10" ht="15.75" customHeight="1">
      <c r="A838" s="9">
        <v>2019</v>
      </c>
      <c r="B838" s="2" t="s">
        <v>228</v>
      </c>
      <c r="C838" s="2" t="s">
        <v>228</v>
      </c>
      <c r="D838" s="14" t="s">
        <v>229</v>
      </c>
      <c r="E838" s="2" t="s">
        <v>12</v>
      </c>
      <c r="F838" s="8">
        <v>4559084</v>
      </c>
      <c r="G838" s="2" t="s">
        <v>228</v>
      </c>
      <c r="H838" s="2" t="s">
        <v>13</v>
      </c>
      <c r="I838" s="2"/>
      <c r="J838" s="2" t="s">
        <v>16</v>
      </c>
    </row>
    <row r="839" spans="1:10" ht="15.75" customHeight="1">
      <c r="A839" s="9">
        <v>2019</v>
      </c>
      <c r="B839" s="2" t="s">
        <v>228</v>
      </c>
      <c r="C839" s="2" t="s">
        <v>228</v>
      </c>
      <c r="D839" s="14" t="s">
        <v>229</v>
      </c>
      <c r="E839" s="2" t="s">
        <v>12</v>
      </c>
      <c r="F839" s="8">
        <v>1700000</v>
      </c>
      <c r="G839" s="2" t="s">
        <v>228</v>
      </c>
      <c r="H839" s="2" t="s">
        <v>22</v>
      </c>
      <c r="I839" s="2"/>
      <c r="J839" s="2" t="s">
        <v>16</v>
      </c>
    </row>
    <row r="840" spans="1:10" ht="15.75" customHeight="1">
      <c r="A840" s="9">
        <v>2019</v>
      </c>
      <c r="B840" s="2" t="s">
        <v>228</v>
      </c>
      <c r="C840" s="2" t="s">
        <v>228</v>
      </c>
      <c r="D840" s="14" t="s">
        <v>229</v>
      </c>
      <c r="E840" s="2" t="s">
        <v>14</v>
      </c>
      <c r="F840" s="8">
        <v>76494116</v>
      </c>
      <c r="G840" s="2" t="s">
        <v>228</v>
      </c>
      <c r="H840" s="2" t="s">
        <v>22</v>
      </c>
    </row>
    <row r="841" spans="1:10" ht="15.75" customHeight="1">
      <c r="A841" s="9">
        <v>2019</v>
      </c>
      <c r="B841" s="2" t="s">
        <v>228</v>
      </c>
      <c r="C841" s="2" t="s">
        <v>228</v>
      </c>
      <c r="D841" s="14" t="s">
        <v>229</v>
      </c>
      <c r="E841" s="3" t="s">
        <v>15</v>
      </c>
      <c r="F841" s="8">
        <v>146971839</v>
      </c>
      <c r="G841" s="2" t="s">
        <v>228</v>
      </c>
      <c r="H841" s="2" t="s">
        <v>22</v>
      </c>
    </row>
    <row r="842" spans="1:10" ht="15.75" customHeight="1">
      <c r="A842" s="9">
        <v>2019</v>
      </c>
      <c r="B842" s="3" t="s">
        <v>231</v>
      </c>
      <c r="C842" s="2" t="s">
        <v>232</v>
      </c>
      <c r="D842" s="2"/>
      <c r="E842" s="3" t="s">
        <v>14</v>
      </c>
      <c r="F842" s="19">
        <v>4500000</v>
      </c>
      <c r="G842" s="3" t="s">
        <v>231</v>
      </c>
      <c r="H842" s="2" t="s">
        <v>22</v>
      </c>
    </row>
    <row r="843" spans="1:10" ht="15.75" customHeight="1">
      <c r="A843" s="9">
        <v>2019</v>
      </c>
      <c r="B843" s="3" t="s">
        <v>231</v>
      </c>
      <c r="C843" s="2" t="s">
        <v>232</v>
      </c>
      <c r="D843" s="2"/>
      <c r="E843" s="3" t="s">
        <v>15</v>
      </c>
      <c r="F843" s="8">
        <v>27100000</v>
      </c>
      <c r="G843" s="3" t="s">
        <v>231</v>
      </c>
      <c r="H843" s="2" t="s">
        <v>22</v>
      </c>
    </row>
    <row r="844" spans="1:10" ht="15.75" customHeight="1">
      <c r="A844" s="9">
        <v>2019</v>
      </c>
      <c r="B844" s="2" t="s">
        <v>233</v>
      </c>
      <c r="C844" s="2" t="s">
        <v>234</v>
      </c>
      <c r="D844" s="2"/>
      <c r="E844" s="3" t="s">
        <v>14</v>
      </c>
      <c r="F844" s="8">
        <v>1200000</v>
      </c>
      <c r="G844" s="2" t="s">
        <v>235</v>
      </c>
      <c r="H844" s="2"/>
    </row>
    <row r="845" spans="1:10" ht="15.75" customHeight="1">
      <c r="A845" s="9">
        <v>2019</v>
      </c>
      <c r="B845" s="2" t="s">
        <v>233</v>
      </c>
      <c r="C845" s="2" t="s">
        <v>234</v>
      </c>
      <c r="D845" s="2"/>
      <c r="E845" s="3" t="s">
        <v>15</v>
      </c>
      <c r="F845" s="8">
        <v>4900000</v>
      </c>
      <c r="G845" s="2" t="s">
        <v>235</v>
      </c>
      <c r="H845" s="2"/>
    </row>
    <row r="846" spans="1:10" ht="15.75" customHeight="1">
      <c r="A846" s="9">
        <v>2019</v>
      </c>
      <c r="B846" s="2" t="s">
        <v>236</v>
      </c>
      <c r="C846" s="2" t="s">
        <v>234</v>
      </c>
      <c r="D846" s="2"/>
      <c r="E846" s="3" t="s">
        <v>14</v>
      </c>
      <c r="F846" s="8">
        <v>23300000</v>
      </c>
      <c r="G846" s="2" t="s">
        <v>235</v>
      </c>
      <c r="H846" s="2"/>
    </row>
    <row r="847" spans="1:10" ht="15.75" customHeight="1">
      <c r="A847" s="9">
        <v>2019</v>
      </c>
      <c r="B847" s="2" t="s">
        <v>236</v>
      </c>
      <c r="C847" s="2" t="s">
        <v>234</v>
      </c>
      <c r="D847" s="2"/>
      <c r="E847" s="3" t="s">
        <v>15</v>
      </c>
      <c r="F847" s="8">
        <v>49800000</v>
      </c>
      <c r="G847" s="2" t="s">
        <v>235</v>
      </c>
      <c r="H847" s="2"/>
    </row>
    <row r="848" spans="1:10" ht="15.75" customHeight="1">
      <c r="A848" s="9">
        <v>2019</v>
      </c>
      <c r="B848" s="2" t="s">
        <v>236</v>
      </c>
      <c r="C848" s="2" t="s">
        <v>234</v>
      </c>
      <c r="D848" s="2"/>
      <c r="E848" s="3" t="s">
        <v>14</v>
      </c>
      <c r="F848" s="8">
        <v>1600000</v>
      </c>
      <c r="G848" s="2" t="s">
        <v>235</v>
      </c>
      <c r="H848" s="2"/>
    </row>
    <row r="849" spans="1:28" ht="15.75" customHeight="1">
      <c r="A849" s="9">
        <v>2019</v>
      </c>
      <c r="B849" s="2" t="s">
        <v>236</v>
      </c>
      <c r="C849" s="2" t="s">
        <v>234</v>
      </c>
      <c r="D849" s="2"/>
      <c r="E849" s="3" t="s">
        <v>15</v>
      </c>
      <c r="F849" s="8">
        <v>10300000</v>
      </c>
      <c r="G849" s="2" t="s">
        <v>235</v>
      </c>
      <c r="H849" s="2"/>
    </row>
    <row r="850" spans="1:28" ht="15.75" customHeight="1">
      <c r="A850" s="9">
        <v>2019</v>
      </c>
      <c r="B850" s="2" t="s">
        <v>237</v>
      </c>
      <c r="C850" s="2" t="s">
        <v>234</v>
      </c>
      <c r="D850" s="2"/>
      <c r="E850" s="2" t="s">
        <v>16</v>
      </c>
      <c r="F850" s="8">
        <v>20200000</v>
      </c>
      <c r="G850" s="2" t="s">
        <v>235</v>
      </c>
      <c r="H850" s="2"/>
      <c r="I850" s="2"/>
      <c r="J850" s="2" t="s">
        <v>16</v>
      </c>
    </row>
    <row r="851" spans="1:28" ht="15.75" customHeight="1">
      <c r="A851" s="9">
        <v>2019</v>
      </c>
      <c r="B851" s="2" t="s">
        <v>237</v>
      </c>
      <c r="C851" s="2" t="s">
        <v>234</v>
      </c>
      <c r="D851" s="2"/>
      <c r="E851" s="2" t="s">
        <v>16</v>
      </c>
      <c r="F851" s="8">
        <v>20400000</v>
      </c>
      <c r="G851" s="2" t="s">
        <v>235</v>
      </c>
      <c r="H851" s="2"/>
      <c r="I851" s="2"/>
      <c r="J851" s="2" t="s">
        <v>16</v>
      </c>
    </row>
    <row r="852" spans="1:28" ht="15.75" customHeight="1">
      <c r="A852" s="7">
        <v>2020</v>
      </c>
      <c r="B852" s="3" t="s">
        <v>230</v>
      </c>
      <c r="C852" s="2" t="s">
        <v>230</v>
      </c>
      <c r="D852" s="2"/>
      <c r="E852" s="3" t="s">
        <v>12</v>
      </c>
      <c r="F852" s="8">
        <v>1534832</v>
      </c>
      <c r="G852" s="3" t="s">
        <v>230</v>
      </c>
      <c r="H852" s="2" t="s">
        <v>13</v>
      </c>
      <c r="I852" s="3"/>
      <c r="J852" s="3" t="s">
        <v>16</v>
      </c>
    </row>
    <row r="853" spans="1:28" ht="15.75" customHeight="1">
      <c r="A853" s="7">
        <v>2020</v>
      </c>
      <c r="B853" s="2" t="s">
        <v>225</v>
      </c>
      <c r="C853" s="2" t="s">
        <v>225</v>
      </c>
      <c r="D853" s="2" t="s">
        <v>226</v>
      </c>
      <c r="E853" s="3" t="s">
        <v>14</v>
      </c>
      <c r="F853" s="8">
        <v>2290000000</v>
      </c>
      <c r="G853" s="2" t="s">
        <v>225</v>
      </c>
      <c r="H853" s="2" t="s">
        <v>17</v>
      </c>
    </row>
    <row r="854" spans="1:28" ht="15.75" customHeight="1">
      <c r="A854" s="9">
        <v>2020</v>
      </c>
      <c r="B854" s="2" t="s">
        <v>228</v>
      </c>
      <c r="C854" s="2" t="s">
        <v>228</v>
      </c>
      <c r="D854" s="2" t="s">
        <v>229</v>
      </c>
      <c r="E854" s="2" t="s">
        <v>14</v>
      </c>
      <c r="F854" s="4">
        <v>221723553</v>
      </c>
      <c r="G854" s="2" t="s">
        <v>228</v>
      </c>
      <c r="H854" s="2" t="s">
        <v>13</v>
      </c>
      <c r="I854" s="15"/>
      <c r="J854" s="15"/>
    </row>
    <row r="855" spans="1:28" ht="15.75" customHeight="1">
      <c r="A855" s="9">
        <v>2020</v>
      </c>
      <c r="B855" s="2" t="s">
        <v>225</v>
      </c>
      <c r="C855" s="2" t="s">
        <v>225</v>
      </c>
      <c r="D855" s="2" t="s">
        <v>226</v>
      </c>
      <c r="E855" s="3" t="s">
        <v>15</v>
      </c>
      <c r="F855" s="8">
        <v>2960000000</v>
      </c>
      <c r="G855" s="2" t="s">
        <v>225</v>
      </c>
      <c r="H855" s="2" t="s">
        <v>17</v>
      </c>
    </row>
    <row r="856" spans="1:28" ht="15.75" customHeight="1">
      <c r="A856" s="9">
        <v>2020</v>
      </c>
      <c r="B856" s="2" t="s">
        <v>225</v>
      </c>
      <c r="C856" s="2" t="s">
        <v>225</v>
      </c>
      <c r="D856" s="2" t="s">
        <v>226</v>
      </c>
      <c r="E856" s="2" t="s">
        <v>16</v>
      </c>
      <c r="F856" s="8">
        <v>22200000</v>
      </c>
      <c r="G856" s="2" t="s">
        <v>225</v>
      </c>
      <c r="H856" s="2" t="s">
        <v>17</v>
      </c>
      <c r="I856" s="2"/>
      <c r="J856" s="2" t="s">
        <v>16</v>
      </c>
    </row>
    <row r="857" spans="1:28" ht="15.75" customHeight="1">
      <c r="A857" s="9">
        <v>2020</v>
      </c>
      <c r="B857" s="2" t="s">
        <v>143</v>
      </c>
      <c r="C857" s="2" t="s">
        <v>143</v>
      </c>
      <c r="D857" s="2" t="s">
        <v>144</v>
      </c>
      <c r="E857" s="3" t="s">
        <v>14</v>
      </c>
      <c r="F857" s="8">
        <v>221700000</v>
      </c>
      <c r="G857" s="2" t="s">
        <v>143</v>
      </c>
      <c r="H857" s="2" t="s">
        <v>17</v>
      </c>
    </row>
    <row r="858" spans="1:28" ht="15.75" customHeight="1">
      <c r="A858" s="9">
        <v>2020</v>
      </c>
      <c r="B858" s="2" t="s">
        <v>225</v>
      </c>
      <c r="C858" s="2" t="s">
        <v>225</v>
      </c>
      <c r="D858" s="2" t="s">
        <v>226</v>
      </c>
      <c r="E858" s="3" t="s">
        <v>15</v>
      </c>
      <c r="F858" s="8">
        <v>4190000000.0000005</v>
      </c>
      <c r="G858" s="2" t="s">
        <v>225</v>
      </c>
      <c r="H858" s="2" t="s">
        <v>17</v>
      </c>
    </row>
    <row r="859" spans="1:28" ht="15.75" customHeight="1">
      <c r="A859" s="45">
        <v>2020</v>
      </c>
      <c r="B859" s="2" t="s">
        <v>96</v>
      </c>
      <c r="C859" s="2" t="s">
        <v>96</v>
      </c>
      <c r="D859" s="2" t="s">
        <v>97</v>
      </c>
      <c r="E859" s="3" t="s">
        <v>15</v>
      </c>
      <c r="F859" s="8">
        <v>520000000</v>
      </c>
      <c r="G859" s="2" t="s">
        <v>96</v>
      </c>
      <c r="H859" s="2" t="s">
        <v>17</v>
      </c>
    </row>
    <row r="860" spans="1:28" ht="15.75" customHeight="1">
      <c r="A860" s="45">
        <v>2020</v>
      </c>
      <c r="B860" s="2" t="s">
        <v>143</v>
      </c>
      <c r="C860" s="2" t="s">
        <v>143</v>
      </c>
      <c r="D860" s="2" t="s">
        <v>144</v>
      </c>
      <c r="E860" s="2" t="s">
        <v>16</v>
      </c>
      <c r="F860" s="8">
        <v>2300000</v>
      </c>
      <c r="G860" s="2" t="s">
        <v>143</v>
      </c>
      <c r="H860" s="2" t="s">
        <v>17</v>
      </c>
      <c r="I860" s="2"/>
      <c r="J860" s="2" t="s">
        <v>16</v>
      </c>
      <c r="Z860" s="14"/>
      <c r="AA860" s="14"/>
      <c r="AB860" s="14"/>
    </row>
    <row r="861" spans="1:28" ht="15.75" customHeight="1">
      <c r="A861" s="9">
        <v>2020</v>
      </c>
      <c r="B861" s="17" t="s">
        <v>143</v>
      </c>
      <c r="C861" s="17" t="s">
        <v>143</v>
      </c>
      <c r="D861" s="2" t="s">
        <v>144</v>
      </c>
      <c r="E861" s="2" t="s">
        <v>16</v>
      </c>
      <c r="F861" s="12">
        <v>3700000</v>
      </c>
      <c r="G861" s="17" t="s">
        <v>143</v>
      </c>
      <c r="H861" s="2" t="s">
        <v>17</v>
      </c>
      <c r="I861" s="3"/>
      <c r="J861" s="2" t="s">
        <v>16</v>
      </c>
      <c r="Z861" s="14"/>
      <c r="AA861" s="14"/>
      <c r="AB861" s="14"/>
    </row>
    <row r="862" spans="1:28" ht="15.75" customHeight="1">
      <c r="A862" s="9">
        <v>2020</v>
      </c>
      <c r="B862" s="2" t="s">
        <v>152</v>
      </c>
      <c r="C862" s="2" t="s">
        <v>153</v>
      </c>
      <c r="D862" s="2" t="s">
        <v>154</v>
      </c>
      <c r="E862" s="3" t="s">
        <v>15</v>
      </c>
      <c r="F862" s="4">
        <v>14781209</v>
      </c>
      <c r="G862" s="2" t="s">
        <v>152</v>
      </c>
      <c r="H862" s="2" t="s">
        <v>67</v>
      </c>
      <c r="I862" s="15"/>
      <c r="J862" s="15"/>
    </row>
    <row r="863" spans="1:28" ht="15.75" customHeight="1">
      <c r="A863" s="9">
        <v>2020</v>
      </c>
      <c r="B863" s="14" t="s">
        <v>238</v>
      </c>
      <c r="C863" s="14" t="s">
        <v>225</v>
      </c>
      <c r="D863" s="2" t="s">
        <v>226</v>
      </c>
      <c r="E863" s="3" t="s">
        <v>15</v>
      </c>
      <c r="F863" s="4">
        <v>186121370</v>
      </c>
      <c r="G863" s="14" t="s">
        <v>238</v>
      </c>
      <c r="H863" s="14" t="s">
        <v>13</v>
      </c>
    </row>
    <row r="864" spans="1:28" ht="15.75" customHeight="1">
      <c r="A864" s="9">
        <v>2020</v>
      </c>
      <c r="B864" s="14" t="s">
        <v>238</v>
      </c>
      <c r="C864" s="14" t="s">
        <v>225</v>
      </c>
      <c r="D864" s="2" t="s">
        <v>226</v>
      </c>
      <c r="E864" s="14" t="s">
        <v>14</v>
      </c>
      <c r="F864" s="4">
        <v>121373288</v>
      </c>
      <c r="G864" s="14" t="s">
        <v>238</v>
      </c>
      <c r="H864" s="14" t="s">
        <v>13</v>
      </c>
    </row>
    <row r="865" spans="1:11" ht="15.75" customHeight="1">
      <c r="A865" s="9">
        <v>2020</v>
      </c>
      <c r="B865" s="2" t="s">
        <v>165</v>
      </c>
      <c r="C865" s="2" t="s">
        <v>166</v>
      </c>
      <c r="D865" s="2" t="s">
        <v>167</v>
      </c>
      <c r="E865" s="3" t="s">
        <v>15</v>
      </c>
      <c r="F865" s="4">
        <v>14840854</v>
      </c>
      <c r="G865" s="2" t="s">
        <v>165</v>
      </c>
      <c r="H865" s="2" t="s">
        <v>67</v>
      </c>
      <c r="I865" s="15"/>
      <c r="J865" s="15"/>
    </row>
    <row r="866" spans="1:11" ht="15.75" customHeight="1">
      <c r="A866" s="9">
        <v>2020</v>
      </c>
      <c r="B866" s="3" t="s">
        <v>238</v>
      </c>
      <c r="C866" s="2" t="s">
        <v>225</v>
      </c>
      <c r="D866" s="2" t="s">
        <v>226</v>
      </c>
      <c r="E866" s="3" t="s">
        <v>12</v>
      </c>
      <c r="F866" s="8">
        <v>3861100</v>
      </c>
      <c r="G866" s="3" t="s">
        <v>238</v>
      </c>
      <c r="H866" s="2" t="s">
        <v>13</v>
      </c>
      <c r="I866" s="3"/>
      <c r="J866" s="3" t="s">
        <v>16</v>
      </c>
    </row>
    <row r="867" spans="1:11" ht="15.75" customHeight="1">
      <c r="A867" s="9">
        <v>2020</v>
      </c>
      <c r="B867" s="2" t="s">
        <v>238</v>
      </c>
      <c r="C867" s="2" t="s">
        <v>225</v>
      </c>
      <c r="D867" s="2" t="s">
        <v>226</v>
      </c>
      <c r="E867" s="3" t="s">
        <v>14</v>
      </c>
      <c r="F867" s="8">
        <v>395844880</v>
      </c>
      <c r="G867" s="2" t="s">
        <v>238</v>
      </c>
      <c r="H867" s="2" t="s">
        <v>13</v>
      </c>
    </row>
    <row r="868" spans="1:11" ht="15.75" customHeight="1">
      <c r="A868" s="9">
        <v>2020</v>
      </c>
      <c r="B868" s="2" t="s">
        <v>238</v>
      </c>
      <c r="C868" s="2" t="s">
        <v>225</v>
      </c>
      <c r="D868" s="2" t="s">
        <v>226</v>
      </c>
      <c r="E868" s="3" t="s">
        <v>15</v>
      </c>
      <c r="F868" s="8">
        <v>705769562</v>
      </c>
      <c r="G868" s="2" t="s">
        <v>238</v>
      </c>
      <c r="H868" s="2" t="s">
        <v>13</v>
      </c>
    </row>
    <row r="869" spans="1:11" ht="15.75" customHeight="1">
      <c r="A869" s="9">
        <v>2020</v>
      </c>
      <c r="B869" s="2" t="s">
        <v>238</v>
      </c>
      <c r="C869" s="18" t="s">
        <v>225</v>
      </c>
      <c r="D869" s="2" t="s">
        <v>226</v>
      </c>
      <c r="E869" s="2" t="s">
        <v>14</v>
      </c>
      <c r="F869" s="4">
        <v>326374446</v>
      </c>
      <c r="G869" s="2" t="s">
        <v>238</v>
      </c>
      <c r="H869" s="2" t="s">
        <v>13</v>
      </c>
      <c r="I869" s="15"/>
      <c r="J869" s="15"/>
      <c r="K869" s="6"/>
    </row>
    <row r="870" spans="1:11" ht="15.75" customHeight="1">
      <c r="A870" s="45">
        <v>2020</v>
      </c>
      <c r="B870" s="2" t="s">
        <v>238</v>
      </c>
      <c r="C870" s="2" t="s">
        <v>225</v>
      </c>
      <c r="D870" s="2" t="s">
        <v>226</v>
      </c>
      <c r="E870" s="3" t="s">
        <v>15</v>
      </c>
      <c r="F870" s="8">
        <v>585602868</v>
      </c>
      <c r="G870" s="2" t="s">
        <v>238</v>
      </c>
      <c r="H870" s="2" t="s">
        <v>13</v>
      </c>
    </row>
    <row r="871" spans="1:11" ht="15.75" customHeight="1">
      <c r="A871" s="9">
        <v>2020</v>
      </c>
      <c r="B871" s="2" t="s">
        <v>238</v>
      </c>
      <c r="C871" s="2" t="s">
        <v>225</v>
      </c>
      <c r="D871" s="2" t="s">
        <v>226</v>
      </c>
      <c r="E871" s="2" t="s">
        <v>12</v>
      </c>
      <c r="F871" s="8">
        <v>6055575</v>
      </c>
      <c r="G871" s="2" t="s">
        <v>238</v>
      </c>
      <c r="H871" s="2" t="s">
        <v>13</v>
      </c>
      <c r="I871" s="2"/>
      <c r="J871" s="2" t="s">
        <v>16</v>
      </c>
    </row>
    <row r="872" spans="1:11" ht="15.75" customHeight="1">
      <c r="A872" s="45">
        <v>2020</v>
      </c>
      <c r="B872" s="2" t="s">
        <v>227</v>
      </c>
      <c r="C872" s="2" t="s">
        <v>99</v>
      </c>
      <c r="D872" s="2" t="s">
        <v>100</v>
      </c>
      <c r="E872" s="3" t="s">
        <v>15</v>
      </c>
      <c r="F872" s="4">
        <v>46358480</v>
      </c>
      <c r="G872" s="2" t="s">
        <v>227</v>
      </c>
      <c r="H872" s="2" t="s">
        <v>67</v>
      </c>
      <c r="I872" s="15"/>
      <c r="J872" s="15"/>
    </row>
    <row r="873" spans="1:11" ht="15.75" customHeight="1">
      <c r="A873" s="45">
        <v>2020</v>
      </c>
      <c r="B873" s="2" t="s">
        <v>238</v>
      </c>
      <c r="C873" s="2" t="s">
        <v>225</v>
      </c>
      <c r="D873" s="2" t="s">
        <v>226</v>
      </c>
      <c r="E873" s="2" t="s">
        <v>12</v>
      </c>
      <c r="F873" s="8">
        <v>7700000</v>
      </c>
      <c r="G873" s="2" t="s">
        <v>238</v>
      </c>
      <c r="H873" s="2" t="s">
        <v>13</v>
      </c>
      <c r="I873" s="2"/>
      <c r="J873" s="2" t="s">
        <v>16</v>
      </c>
    </row>
    <row r="874" spans="1:11" ht="15.75" customHeight="1">
      <c r="A874" s="45">
        <v>2020</v>
      </c>
      <c r="B874" s="2" t="s">
        <v>230</v>
      </c>
      <c r="C874" s="2" t="s">
        <v>230</v>
      </c>
      <c r="D874" s="2"/>
      <c r="E874" s="3" t="s">
        <v>15</v>
      </c>
      <c r="F874" s="4">
        <v>712179158</v>
      </c>
      <c r="G874" s="2" t="s">
        <v>230</v>
      </c>
      <c r="H874" s="2" t="s">
        <v>13</v>
      </c>
      <c r="I874" s="15"/>
      <c r="J874" s="15"/>
    </row>
    <row r="875" spans="1:11" ht="15.75" customHeight="1">
      <c r="A875" s="9">
        <v>2020</v>
      </c>
      <c r="B875" s="2" t="s">
        <v>239</v>
      </c>
      <c r="C875" s="2" t="s">
        <v>225</v>
      </c>
      <c r="D875" s="2" t="s">
        <v>226</v>
      </c>
      <c r="E875" s="3" t="s">
        <v>14</v>
      </c>
      <c r="F875" s="8">
        <v>30300000</v>
      </c>
      <c r="G875" s="2" t="s">
        <v>239</v>
      </c>
      <c r="H875" s="2"/>
    </row>
    <row r="876" spans="1:11" ht="15.75" customHeight="1">
      <c r="A876" s="9">
        <v>2020</v>
      </c>
      <c r="B876" s="2" t="s">
        <v>228</v>
      </c>
      <c r="C876" s="2" t="s">
        <v>228</v>
      </c>
      <c r="D876" s="2" t="s">
        <v>229</v>
      </c>
      <c r="E876" s="3" t="s">
        <v>15</v>
      </c>
      <c r="F876" s="4">
        <v>478582358</v>
      </c>
      <c r="G876" s="2" t="s">
        <v>228</v>
      </c>
      <c r="H876" s="2" t="s">
        <v>13</v>
      </c>
      <c r="I876" s="15"/>
      <c r="J876" s="15"/>
    </row>
    <row r="877" spans="1:11" ht="15.75" customHeight="1">
      <c r="A877" s="9">
        <v>2020</v>
      </c>
      <c r="B877" s="2" t="s">
        <v>239</v>
      </c>
      <c r="C877" s="2" t="s">
        <v>225</v>
      </c>
      <c r="D877" s="2" t="s">
        <v>226</v>
      </c>
      <c r="E877" s="3" t="s">
        <v>15</v>
      </c>
      <c r="F877" s="8">
        <v>94100000</v>
      </c>
      <c r="G877" s="2" t="s">
        <v>239</v>
      </c>
      <c r="H877" s="2"/>
    </row>
    <row r="878" spans="1:11" ht="15.75" customHeight="1">
      <c r="A878" s="9">
        <v>2020</v>
      </c>
      <c r="B878" s="2" t="s">
        <v>239</v>
      </c>
      <c r="C878" s="2" t="s">
        <v>225</v>
      </c>
      <c r="D878" s="2" t="s">
        <v>226</v>
      </c>
      <c r="E878" s="2" t="s">
        <v>16</v>
      </c>
      <c r="F878" s="8">
        <v>163980</v>
      </c>
      <c r="G878" s="2" t="s">
        <v>239</v>
      </c>
      <c r="H878" s="2"/>
      <c r="I878" s="2"/>
      <c r="J878" s="2" t="s">
        <v>16</v>
      </c>
    </row>
    <row r="879" spans="1:11" ht="15.75" customHeight="1">
      <c r="A879" s="9">
        <v>2020</v>
      </c>
      <c r="B879" s="2" t="s">
        <v>101</v>
      </c>
      <c r="C879" s="2" t="s">
        <v>99</v>
      </c>
      <c r="D879" s="2" t="s">
        <v>100</v>
      </c>
      <c r="E879" s="3" t="s">
        <v>15</v>
      </c>
      <c r="F879" s="4">
        <v>289746771</v>
      </c>
      <c r="G879" s="2" t="s">
        <v>101</v>
      </c>
      <c r="H879" s="2" t="s">
        <v>22</v>
      </c>
      <c r="I879" s="15"/>
      <c r="J879" s="15"/>
    </row>
    <row r="880" spans="1:11" ht="15.75" customHeight="1">
      <c r="A880" s="9">
        <v>2020</v>
      </c>
      <c r="B880" s="3" t="s">
        <v>238</v>
      </c>
      <c r="C880" s="2" t="s">
        <v>225</v>
      </c>
      <c r="D880" s="2" t="s">
        <v>226</v>
      </c>
      <c r="E880" s="3" t="s">
        <v>14</v>
      </c>
      <c r="F880" s="8">
        <v>194389288</v>
      </c>
      <c r="G880" s="3" t="s">
        <v>238</v>
      </c>
      <c r="H880" s="2" t="s">
        <v>13</v>
      </c>
    </row>
    <row r="881" spans="1:25" ht="15.75" customHeight="1">
      <c r="A881" s="9">
        <v>2020</v>
      </c>
      <c r="B881" s="2" t="s">
        <v>238</v>
      </c>
      <c r="C881" s="2" t="s">
        <v>225</v>
      </c>
      <c r="D881" s="2" t="s">
        <v>226</v>
      </c>
      <c r="E881" s="3" t="s">
        <v>15</v>
      </c>
      <c r="F881" s="4">
        <v>292309700</v>
      </c>
      <c r="G881" s="2" t="s">
        <v>238</v>
      </c>
      <c r="H881" s="2" t="s">
        <v>13</v>
      </c>
      <c r="I881" s="15"/>
      <c r="J881" s="15"/>
    </row>
    <row r="882" spans="1:25" ht="15.75" customHeight="1">
      <c r="A882" s="9">
        <v>2020</v>
      </c>
      <c r="B882" s="2" t="s">
        <v>101</v>
      </c>
      <c r="C882" s="2" t="s">
        <v>99</v>
      </c>
      <c r="D882" s="2" t="s">
        <v>100</v>
      </c>
      <c r="E882" s="2" t="s">
        <v>14</v>
      </c>
      <c r="F882" s="4">
        <v>99533300</v>
      </c>
      <c r="G882" s="2" t="s">
        <v>101</v>
      </c>
      <c r="H882" s="2" t="s">
        <v>22</v>
      </c>
      <c r="I882" s="15"/>
      <c r="J882" s="15"/>
    </row>
    <row r="883" spans="1:25" ht="15.75" customHeight="1">
      <c r="A883" s="9">
        <v>2020</v>
      </c>
      <c r="B883" s="2" t="s">
        <v>155</v>
      </c>
      <c r="C883" s="2" t="s">
        <v>155</v>
      </c>
      <c r="D883" s="2" t="s">
        <v>156</v>
      </c>
      <c r="E883" s="3" t="s">
        <v>14</v>
      </c>
      <c r="F883" s="8">
        <v>504500000</v>
      </c>
      <c r="G883" s="2" t="s">
        <v>155</v>
      </c>
      <c r="H883" s="2" t="s">
        <v>17</v>
      </c>
    </row>
    <row r="884" spans="1:25" ht="15.75" customHeight="1">
      <c r="A884" s="9">
        <v>2020</v>
      </c>
      <c r="B884" s="17" t="s">
        <v>96</v>
      </c>
      <c r="C884" s="17" t="s">
        <v>96</v>
      </c>
      <c r="D884" s="3" t="s">
        <v>97</v>
      </c>
      <c r="E884" s="2" t="s">
        <v>15</v>
      </c>
      <c r="F884" s="12">
        <v>0</v>
      </c>
      <c r="G884" s="17" t="s">
        <v>96</v>
      </c>
      <c r="H884" s="2" t="s">
        <v>23</v>
      </c>
      <c r="I884" s="3"/>
      <c r="J884" s="2" t="s">
        <v>15</v>
      </c>
    </row>
    <row r="885" spans="1:25" ht="15.75" customHeight="1">
      <c r="A885" s="45">
        <v>2020</v>
      </c>
      <c r="B885" s="2" t="s">
        <v>155</v>
      </c>
      <c r="C885" s="2" t="s">
        <v>155</v>
      </c>
      <c r="D885" s="2" t="s">
        <v>156</v>
      </c>
      <c r="E885" s="2" t="s">
        <v>16</v>
      </c>
      <c r="F885" s="8">
        <v>7100000</v>
      </c>
      <c r="G885" s="2" t="s">
        <v>155</v>
      </c>
      <c r="H885" s="2" t="s">
        <v>17</v>
      </c>
      <c r="I885" s="2"/>
      <c r="J885" s="2" t="s">
        <v>16</v>
      </c>
    </row>
    <row r="886" spans="1:25" ht="15.75" customHeight="1">
      <c r="A886" s="45">
        <v>2020</v>
      </c>
      <c r="B886" s="17" t="s">
        <v>155</v>
      </c>
      <c r="C886" s="17" t="s">
        <v>155</v>
      </c>
      <c r="D886" s="3" t="s">
        <v>156</v>
      </c>
      <c r="E886" s="2" t="s">
        <v>16</v>
      </c>
      <c r="F886" s="12">
        <v>10600000</v>
      </c>
      <c r="G886" s="17" t="s">
        <v>155</v>
      </c>
      <c r="H886" s="2" t="s">
        <v>17</v>
      </c>
      <c r="I886" s="3"/>
      <c r="J886" s="2" t="s">
        <v>16</v>
      </c>
    </row>
    <row r="887" spans="1:25" ht="15.75" customHeight="1">
      <c r="A887" s="9">
        <v>2020</v>
      </c>
      <c r="B887" s="14" t="s">
        <v>163</v>
      </c>
      <c r="C887" s="2" t="s">
        <v>163</v>
      </c>
      <c r="D887" s="14" t="s">
        <v>164</v>
      </c>
      <c r="E887" s="3" t="s">
        <v>14</v>
      </c>
      <c r="F887" s="8">
        <v>202600000</v>
      </c>
      <c r="G887" s="14" t="s">
        <v>163</v>
      </c>
      <c r="H887" s="2" t="s">
        <v>17</v>
      </c>
    </row>
    <row r="888" spans="1:25" ht="15" customHeight="1">
      <c r="A888" s="9">
        <v>2020</v>
      </c>
      <c r="B888" s="14" t="s">
        <v>163</v>
      </c>
      <c r="C888" s="2" t="s">
        <v>163</v>
      </c>
      <c r="D888" s="14" t="s">
        <v>164</v>
      </c>
      <c r="E888" s="2" t="s">
        <v>16</v>
      </c>
      <c r="F888" s="8">
        <v>2500000</v>
      </c>
      <c r="G888" s="14" t="s">
        <v>163</v>
      </c>
      <c r="H888" s="2" t="s">
        <v>17</v>
      </c>
      <c r="I888" s="2"/>
      <c r="J888" s="2" t="s">
        <v>16</v>
      </c>
    </row>
    <row r="889" spans="1:25" ht="15.75" customHeight="1">
      <c r="A889" s="9">
        <v>2020</v>
      </c>
      <c r="B889" s="21" t="s">
        <v>163</v>
      </c>
      <c r="C889" s="21" t="s">
        <v>163</v>
      </c>
      <c r="D889" s="3" t="s">
        <v>164</v>
      </c>
      <c r="E889" s="2" t="s">
        <v>16</v>
      </c>
      <c r="F889" s="12">
        <v>2400000</v>
      </c>
      <c r="G889" s="21" t="s">
        <v>163</v>
      </c>
      <c r="H889" s="2" t="s">
        <v>17</v>
      </c>
      <c r="I889" s="3"/>
      <c r="J889" s="2" t="s">
        <v>16</v>
      </c>
    </row>
    <row r="890" spans="1:25" ht="15.75" customHeight="1">
      <c r="A890" s="9">
        <v>2020</v>
      </c>
      <c r="B890" s="11" t="s">
        <v>168</v>
      </c>
      <c r="C890" s="3" t="s">
        <v>168</v>
      </c>
      <c r="D890" s="2" t="s">
        <v>169</v>
      </c>
      <c r="E890" s="2" t="s">
        <v>16</v>
      </c>
      <c r="F890" s="4">
        <v>6710000</v>
      </c>
      <c r="G890" s="2" t="s">
        <v>168</v>
      </c>
      <c r="H890" s="2" t="s">
        <v>34</v>
      </c>
      <c r="I890" s="3" t="s">
        <v>28</v>
      </c>
      <c r="J890" s="2" t="s">
        <v>16</v>
      </c>
    </row>
    <row r="891" spans="1:25" ht="15.75" customHeight="1">
      <c r="A891" s="9">
        <v>2020</v>
      </c>
      <c r="B891" s="11" t="s">
        <v>174</v>
      </c>
      <c r="C891" s="11" t="s">
        <v>174</v>
      </c>
      <c r="D891" s="2" t="s">
        <v>175</v>
      </c>
      <c r="E891" s="2" t="s">
        <v>16</v>
      </c>
      <c r="F891" s="4">
        <v>39000000</v>
      </c>
      <c r="G891" s="2" t="s">
        <v>174</v>
      </c>
      <c r="H891" s="2" t="s">
        <v>34</v>
      </c>
      <c r="I891" s="3" t="s">
        <v>28</v>
      </c>
      <c r="J891" s="2" t="s">
        <v>16</v>
      </c>
    </row>
    <row r="892" spans="1:25" ht="15.75" customHeight="1">
      <c r="A892" s="9">
        <v>2020</v>
      </c>
      <c r="B892" s="3" t="s">
        <v>240</v>
      </c>
      <c r="C892" s="3" t="s">
        <v>181</v>
      </c>
      <c r="D892" s="2" t="s">
        <v>182</v>
      </c>
      <c r="E892" s="2" t="s">
        <v>16</v>
      </c>
      <c r="F892" s="4">
        <v>1700000</v>
      </c>
      <c r="G892" s="3" t="s">
        <v>241</v>
      </c>
      <c r="H892" s="2" t="s">
        <v>27</v>
      </c>
      <c r="I892" s="3" t="s">
        <v>28</v>
      </c>
      <c r="J892" s="2" t="s">
        <v>16</v>
      </c>
    </row>
    <row r="893" spans="1:25" ht="15.75" customHeight="1">
      <c r="A893" s="9">
        <v>2020</v>
      </c>
      <c r="B893" s="2" t="s">
        <v>115</v>
      </c>
      <c r="C893" s="2" t="s">
        <v>115</v>
      </c>
      <c r="D893" s="2" t="s">
        <v>116</v>
      </c>
      <c r="E893" s="3" t="s">
        <v>15</v>
      </c>
      <c r="F893" s="8">
        <v>110000000</v>
      </c>
      <c r="G893" s="2" t="s">
        <v>115</v>
      </c>
      <c r="H893" s="2" t="s">
        <v>17</v>
      </c>
    </row>
    <row r="894" spans="1:25" ht="15.75" customHeight="1">
      <c r="A894" s="9">
        <v>2020</v>
      </c>
      <c r="B894" s="2" t="s">
        <v>185</v>
      </c>
      <c r="C894" s="2" t="s">
        <v>185</v>
      </c>
      <c r="D894" s="14" t="s">
        <v>186</v>
      </c>
      <c r="E894" s="3" t="s">
        <v>14</v>
      </c>
      <c r="F894" s="8">
        <v>812300000</v>
      </c>
      <c r="G894" s="2" t="s">
        <v>185</v>
      </c>
      <c r="H894" s="2" t="s">
        <v>17</v>
      </c>
    </row>
    <row r="895" spans="1:25" ht="15.75" customHeight="1">
      <c r="A895" s="9">
        <v>2020</v>
      </c>
      <c r="B895" s="2" t="s">
        <v>185</v>
      </c>
      <c r="C895" s="2" t="s">
        <v>185</v>
      </c>
      <c r="D895" s="14" t="s">
        <v>186</v>
      </c>
      <c r="E895" s="2" t="s">
        <v>16</v>
      </c>
      <c r="F895" s="8">
        <v>4200000</v>
      </c>
      <c r="G895" s="2" t="s">
        <v>185</v>
      </c>
      <c r="H895" s="2" t="s">
        <v>17</v>
      </c>
      <c r="I895" s="2"/>
      <c r="J895" s="2" t="s">
        <v>16</v>
      </c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</row>
    <row r="896" spans="1:25" ht="15.75" customHeight="1">
      <c r="A896" s="9">
        <v>2020</v>
      </c>
      <c r="B896" s="17" t="s">
        <v>185</v>
      </c>
      <c r="C896" s="17" t="s">
        <v>185</v>
      </c>
      <c r="D896" s="3" t="s">
        <v>186</v>
      </c>
      <c r="E896" s="2" t="s">
        <v>16</v>
      </c>
      <c r="F896" s="12">
        <v>5200000</v>
      </c>
      <c r="G896" s="17" t="s">
        <v>185</v>
      </c>
      <c r="H896" s="2" t="s">
        <v>17</v>
      </c>
      <c r="I896" s="3"/>
      <c r="J896" s="2" t="s">
        <v>16</v>
      </c>
    </row>
    <row r="897" spans="1:10" ht="15.75" customHeight="1">
      <c r="A897" s="9">
        <v>2020</v>
      </c>
      <c r="B897" s="3" t="s">
        <v>188</v>
      </c>
      <c r="C897" s="3" t="s">
        <v>188</v>
      </c>
      <c r="D897" s="2" t="s">
        <v>189</v>
      </c>
      <c r="E897" s="3" t="s">
        <v>14</v>
      </c>
      <c r="F897" s="8">
        <v>1010000000</v>
      </c>
      <c r="G897" s="3" t="s">
        <v>188</v>
      </c>
      <c r="H897" s="2" t="s">
        <v>17</v>
      </c>
    </row>
    <row r="898" spans="1:10" ht="15.75" customHeight="1">
      <c r="A898" s="9">
        <v>2020</v>
      </c>
      <c r="B898" s="17" t="s">
        <v>115</v>
      </c>
      <c r="C898" s="17" t="s">
        <v>115</v>
      </c>
      <c r="D898" s="3" t="s">
        <v>116</v>
      </c>
      <c r="E898" s="2" t="s">
        <v>15</v>
      </c>
      <c r="F898" s="12">
        <v>0</v>
      </c>
      <c r="G898" s="17" t="s">
        <v>115</v>
      </c>
      <c r="H898" s="2" t="s">
        <v>23</v>
      </c>
      <c r="I898" s="3"/>
      <c r="J898" s="2" t="s">
        <v>15</v>
      </c>
    </row>
    <row r="899" spans="1:10" ht="15.75" customHeight="1">
      <c r="A899" s="9">
        <v>2020</v>
      </c>
      <c r="B899" s="2" t="s">
        <v>197</v>
      </c>
      <c r="C899" s="3" t="s">
        <v>188</v>
      </c>
      <c r="D899" s="2" t="s">
        <v>189</v>
      </c>
      <c r="E899" s="3" t="s">
        <v>14</v>
      </c>
      <c r="F899" s="8">
        <v>348200000</v>
      </c>
      <c r="G899" s="2" t="s">
        <v>198</v>
      </c>
      <c r="H899" s="2" t="s">
        <v>36</v>
      </c>
    </row>
    <row r="900" spans="1:10" ht="15.75" customHeight="1">
      <c r="A900" s="9">
        <v>2020</v>
      </c>
      <c r="B900" s="2" t="s">
        <v>129</v>
      </c>
      <c r="C900" s="2" t="s">
        <v>129</v>
      </c>
      <c r="D900" s="2" t="s">
        <v>130</v>
      </c>
      <c r="E900" s="3" t="s">
        <v>15</v>
      </c>
      <c r="F900" s="8">
        <v>365600000</v>
      </c>
      <c r="G900" s="2" t="s">
        <v>129</v>
      </c>
      <c r="H900" s="2" t="s">
        <v>17</v>
      </c>
    </row>
    <row r="901" spans="1:10" ht="15.75" customHeight="1">
      <c r="A901" s="9">
        <v>2020</v>
      </c>
      <c r="B901" s="3" t="s">
        <v>188</v>
      </c>
      <c r="C901" s="3" t="s">
        <v>188</v>
      </c>
      <c r="D901" s="2" t="s">
        <v>189</v>
      </c>
      <c r="E901" s="2" t="s">
        <v>16</v>
      </c>
      <c r="F901" s="8">
        <v>7200000</v>
      </c>
      <c r="G901" s="3" t="s">
        <v>188</v>
      </c>
      <c r="H901" s="2" t="s">
        <v>17</v>
      </c>
      <c r="I901" s="2"/>
      <c r="J901" s="2" t="s">
        <v>16</v>
      </c>
    </row>
    <row r="902" spans="1:10" ht="15.75" customHeight="1">
      <c r="A902" s="9">
        <v>2020</v>
      </c>
      <c r="B902" s="17" t="s">
        <v>129</v>
      </c>
      <c r="C902" s="17" t="s">
        <v>129</v>
      </c>
      <c r="D902" s="3" t="s">
        <v>130</v>
      </c>
      <c r="E902" s="2" t="s">
        <v>15</v>
      </c>
      <c r="F902" s="12">
        <v>498000000</v>
      </c>
      <c r="G902" s="17" t="s">
        <v>129</v>
      </c>
      <c r="H902" s="2" t="s">
        <v>23</v>
      </c>
      <c r="I902" s="3"/>
      <c r="J902" s="2" t="s">
        <v>15</v>
      </c>
    </row>
    <row r="903" spans="1:10" ht="15.75" customHeight="1">
      <c r="A903" s="9">
        <v>2020</v>
      </c>
      <c r="B903" s="2" t="s">
        <v>197</v>
      </c>
      <c r="C903" s="3" t="s">
        <v>188</v>
      </c>
      <c r="D903" s="2" t="s">
        <v>189</v>
      </c>
      <c r="E903" s="2" t="s">
        <v>16</v>
      </c>
      <c r="F903" s="8">
        <v>1500000</v>
      </c>
      <c r="G903" s="2" t="s">
        <v>198</v>
      </c>
      <c r="H903" s="35" t="s">
        <v>47</v>
      </c>
      <c r="I903" s="2"/>
      <c r="J903" s="2" t="s">
        <v>16</v>
      </c>
    </row>
    <row r="904" spans="1:10" ht="15.75" customHeight="1">
      <c r="A904" s="9">
        <v>2020</v>
      </c>
      <c r="B904" s="17" t="s">
        <v>123</v>
      </c>
      <c r="C904" s="17" t="s">
        <v>123</v>
      </c>
      <c r="D904" s="3" t="s">
        <v>124</v>
      </c>
      <c r="E904" s="2" t="s">
        <v>15</v>
      </c>
      <c r="F904" s="12">
        <v>254400000</v>
      </c>
      <c r="G904" s="17" t="s">
        <v>123</v>
      </c>
      <c r="H904" s="2" t="s">
        <v>23</v>
      </c>
      <c r="I904" s="3"/>
      <c r="J904" s="2" t="s">
        <v>15</v>
      </c>
    </row>
    <row r="905" spans="1:10" ht="15.75" customHeight="1">
      <c r="A905" s="45">
        <v>2020</v>
      </c>
      <c r="B905" s="46" t="s">
        <v>188</v>
      </c>
      <c r="C905" s="46" t="s">
        <v>188</v>
      </c>
      <c r="D905" s="25" t="s">
        <v>189</v>
      </c>
      <c r="E905" s="26" t="s">
        <v>16</v>
      </c>
      <c r="F905" s="29">
        <v>7500000</v>
      </c>
      <c r="G905" s="46" t="s">
        <v>188</v>
      </c>
      <c r="H905" s="26" t="s">
        <v>17</v>
      </c>
      <c r="I905" s="25"/>
      <c r="J905" s="26" t="s">
        <v>16</v>
      </c>
    </row>
    <row r="906" spans="1:10" ht="15.75" customHeight="1">
      <c r="A906" s="9">
        <v>2020</v>
      </c>
      <c r="B906" s="2" t="s">
        <v>136</v>
      </c>
      <c r="C906" s="2" t="s">
        <v>136</v>
      </c>
      <c r="D906" s="2" t="s">
        <v>137</v>
      </c>
      <c r="E906" s="3" t="s">
        <v>15</v>
      </c>
      <c r="F906" s="8">
        <v>215000000</v>
      </c>
      <c r="G906" s="2" t="s">
        <v>136</v>
      </c>
      <c r="H906" s="2" t="s">
        <v>17</v>
      </c>
    </row>
    <row r="907" spans="1:10" ht="15.75" customHeight="1">
      <c r="A907" s="45">
        <v>2020</v>
      </c>
      <c r="B907" s="24" t="s">
        <v>242</v>
      </c>
      <c r="C907" s="25" t="s">
        <v>188</v>
      </c>
      <c r="D907" s="25" t="s">
        <v>189</v>
      </c>
      <c r="E907" s="26" t="s">
        <v>16</v>
      </c>
      <c r="F907" s="37">
        <v>1220000</v>
      </c>
      <c r="G907" s="24" t="s">
        <v>242</v>
      </c>
      <c r="H907" s="30" t="s">
        <v>47</v>
      </c>
      <c r="I907" s="25"/>
      <c r="J907" s="26" t="s">
        <v>16</v>
      </c>
    </row>
    <row r="908" spans="1:10" ht="15.75" customHeight="1">
      <c r="A908" s="9">
        <v>2020</v>
      </c>
      <c r="B908" s="17" t="s">
        <v>136</v>
      </c>
      <c r="C908" s="17" t="s">
        <v>136</v>
      </c>
      <c r="D908" s="3" t="s">
        <v>137</v>
      </c>
      <c r="E908" s="2" t="s">
        <v>15</v>
      </c>
      <c r="F908" s="12">
        <v>276455940</v>
      </c>
      <c r="G908" s="17" t="s">
        <v>136</v>
      </c>
      <c r="H908" s="2" t="s">
        <v>23</v>
      </c>
      <c r="I908" s="3"/>
      <c r="J908" s="2" t="s">
        <v>15</v>
      </c>
    </row>
    <row r="909" spans="1:10" ht="15.75" customHeight="1">
      <c r="A909" s="9">
        <v>2020</v>
      </c>
      <c r="B909" s="2" t="s">
        <v>143</v>
      </c>
      <c r="C909" s="2" t="s">
        <v>143</v>
      </c>
      <c r="D909" s="2" t="s">
        <v>144</v>
      </c>
      <c r="E909" s="3" t="s">
        <v>15</v>
      </c>
      <c r="F909" s="8">
        <v>373500000</v>
      </c>
      <c r="G909" s="2" t="s">
        <v>143</v>
      </c>
      <c r="H909" s="2" t="s">
        <v>17</v>
      </c>
    </row>
    <row r="910" spans="1:10" ht="15.75" customHeight="1">
      <c r="A910" s="9">
        <v>2020</v>
      </c>
      <c r="B910" s="2" t="s">
        <v>203</v>
      </c>
      <c r="C910" s="2" t="s">
        <v>203</v>
      </c>
      <c r="D910" s="14" t="s">
        <v>204</v>
      </c>
      <c r="E910" s="3" t="s">
        <v>14</v>
      </c>
      <c r="F910" s="8">
        <v>582000000</v>
      </c>
      <c r="G910" s="2" t="s">
        <v>203</v>
      </c>
      <c r="H910" s="2" t="s">
        <v>17</v>
      </c>
    </row>
    <row r="911" spans="1:10" ht="15.75" customHeight="1">
      <c r="A911" s="9">
        <v>2020</v>
      </c>
      <c r="B911" s="17" t="s">
        <v>143</v>
      </c>
      <c r="C911" s="17" t="s">
        <v>143</v>
      </c>
      <c r="D911" s="3" t="s">
        <v>144</v>
      </c>
      <c r="E911" s="2" t="s">
        <v>15</v>
      </c>
      <c r="F911" s="12">
        <v>500000000</v>
      </c>
      <c r="G911" s="17" t="s">
        <v>143</v>
      </c>
      <c r="H911" s="2" t="s">
        <v>23</v>
      </c>
      <c r="I911" s="3"/>
      <c r="J911" s="2" t="s">
        <v>15</v>
      </c>
    </row>
    <row r="912" spans="1:10" ht="15.75" customHeight="1">
      <c r="A912" s="9">
        <v>2020</v>
      </c>
      <c r="B912" s="2" t="s">
        <v>203</v>
      </c>
      <c r="C912" s="2" t="s">
        <v>203</v>
      </c>
      <c r="D912" s="14" t="s">
        <v>204</v>
      </c>
      <c r="E912" s="2" t="s">
        <v>16</v>
      </c>
      <c r="F912" s="8">
        <v>5700000</v>
      </c>
      <c r="G912" s="2" t="s">
        <v>203</v>
      </c>
      <c r="H912" s="2" t="s">
        <v>17</v>
      </c>
      <c r="I912" s="2"/>
      <c r="J912" s="2" t="s">
        <v>16</v>
      </c>
    </row>
    <row r="913" spans="1:10" ht="15.75" customHeight="1">
      <c r="A913" s="9">
        <v>2020</v>
      </c>
      <c r="B913" s="2" t="s">
        <v>155</v>
      </c>
      <c r="C913" s="2" t="s">
        <v>155</v>
      </c>
      <c r="D913" s="2" t="s">
        <v>156</v>
      </c>
      <c r="E913" s="3" t="s">
        <v>15</v>
      </c>
      <c r="F913" s="8">
        <v>789000000</v>
      </c>
      <c r="G913" s="2" t="s">
        <v>155</v>
      </c>
      <c r="H913" s="2" t="s">
        <v>17</v>
      </c>
    </row>
    <row r="914" spans="1:10" ht="15.75" customHeight="1">
      <c r="A914" s="9">
        <v>2020</v>
      </c>
      <c r="B914" s="17" t="s">
        <v>203</v>
      </c>
      <c r="C914" s="17" t="s">
        <v>203</v>
      </c>
      <c r="D914" s="3" t="s">
        <v>204</v>
      </c>
      <c r="E914" s="2" t="s">
        <v>16</v>
      </c>
      <c r="F914" s="12">
        <v>12200000</v>
      </c>
      <c r="G914" s="17" t="s">
        <v>203</v>
      </c>
      <c r="H914" s="2" t="s">
        <v>17</v>
      </c>
      <c r="I914" s="3"/>
      <c r="J914" s="2" t="s">
        <v>16</v>
      </c>
    </row>
    <row r="915" spans="1:10" ht="15.75" customHeight="1">
      <c r="A915" s="9">
        <v>2020</v>
      </c>
      <c r="B915" s="17" t="s">
        <v>155</v>
      </c>
      <c r="C915" s="17" t="s">
        <v>155</v>
      </c>
      <c r="D915" s="3" t="s">
        <v>156</v>
      </c>
      <c r="E915" s="2" t="s">
        <v>15</v>
      </c>
      <c r="F915" s="12">
        <v>0</v>
      </c>
      <c r="G915" s="17" t="s">
        <v>155</v>
      </c>
      <c r="H915" s="2" t="s">
        <v>23</v>
      </c>
      <c r="I915" s="3"/>
      <c r="J915" s="2" t="s">
        <v>15</v>
      </c>
    </row>
    <row r="916" spans="1:10" ht="15.75" customHeight="1">
      <c r="A916" s="9">
        <v>2020</v>
      </c>
      <c r="B916" s="14" t="s">
        <v>163</v>
      </c>
      <c r="C916" s="2" t="s">
        <v>163</v>
      </c>
      <c r="D916" s="14" t="s">
        <v>164</v>
      </c>
      <c r="E916" s="3" t="s">
        <v>15</v>
      </c>
      <c r="F916" s="8">
        <v>348000000</v>
      </c>
      <c r="G916" s="14" t="s">
        <v>163</v>
      </c>
      <c r="H916" s="2" t="s">
        <v>17</v>
      </c>
    </row>
    <row r="917" spans="1:10" ht="15.75" customHeight="1">
      <c r="A917" s="9">
        <v>2020</v>
      </c>
      <c r="B917" s="2" t="s">
        <v>205</v>
      </c>
      <c r="C917" s="2" t="s">
        <v>205</v>
      </c>
      <c r="D917" s="2" t="s">
        <v>206</v>
      </c>
      <c r="E917" s="3" t="s">
        <v>14</v>
      </c>
      <c r="F917" s="8">
        <v>1730000000</v>
      </c>
      <c r="G917" s="2" t="s">
        <v>205</v>
      </c>
      <c r="H917" s="2" t="s">
        <v>17</v>
      </c>
    </row>
    <row r="918" spans="1:10" ht="15.75" customHeight="1">
      <c r="A918" s="9">
        <v>2020</v>
      </c>
      <c r="B918" s="2" t="s">
        <v>209</v>
      </c>
      <c r="C918" s="2" t="s">
        <v>205</v>
      </c>
      <c r="D918" s="2" t="s">
        <v>206</v>
      </c>
      <c r="E918" s="3" t="s">
        <v>14</v>
      </c>
      <c r="F918" s="8">
        <v>2009999999.9999998</v>
      </c>
      <c r="G918" s="2" t="s">
        <v>209</v>
      </c>
      <c r="H918" s="2" t="s">
        <v>36</v>
      </c>
    </row>
    <row r="919" spans="1:10" ht="15.75" customHeight="1">
      <c r="A919" s="9">
        <v>2020</v>
      </c>
      <c r="B919" s="17" t="s">
        <v>163</v>
      </c>
      <c r="C919" s="17" t="s">
        <v>163</v>
      </c>
      <c r="D919" s="3" t="s">
        <v>164</v>
      </c>
      <c r="E919" s="2" t="s">
        <v>15</v>
      </c>
      <c r="F919" s="12">
        <v>417567330</v>
      </c>
      <c r="G919" s="17" t="s">
        <v>163</v>
      </c>
      <c r="H919" s="2" t="s">
        <v>23</v>
      </c>
      <c r="I919" s="3"/>
      <c r="J919" s="2" t="s">
        <v>15</v>
      </c>
    </row>
    <row r="920" spans="1:10" ht="15.75" customHeight="1">
      <c r="A920" s="9">
        <v>2020</v>
      </c>
      <c r="B920" s="2" t="s">
        <v>205</v>
      </c>
      <c r="C920" s="2" t="s">
        <v>205</v>
      </c>
      <c r="D920" s="2" t="s">
        <v>206</v>
      </c>
      <c r="E920" s="2" t="s">
        <v>16</v>
      </c>
      <c r="F920" s="8">
        <v>11700000</v>
      </c>
      <c r="G920" s="2" t="s">
        <v>205</v>
      </c>
      <c r="H920" s="2" t="s">
        <v>17</v>
      </c>
      <c r="I920" s="2"/>
      <c r="J920" s="2" t="s">
        <v>16</v>
      </c>
    </row>
    <row r="921" spans="1:10" ht="15.75" customHeight="1">
      <c r="A921" s="9">
        <v>2020</v>
      </c>
      <c r="B921" s="17" t="s">
        <v>168</v>
      </c>
      <c r="C921" s="17" t="s">
        <v>168</v>
      </c>
      <c r="D921" s="3" t="s">
        <v>169</v>
      </c>
      <c r="E921" s="2" t="s">
        <v>15</v>
      </c>
      <c r="F921" s="12">
        <v>0</v>
      </c>
      <c r="G921" s="17" t="s">
        <v>168</v>
      </c>
      <c r="H921" s="2" t="s">
        <v>23</v>
      </c>
      <c r="I921" s="3"/>
      <c r="J921" s="2" t="s">
        <v>15</v>
      </c>
    </row>
    <row r="922" spans="1:10" ht="15.75" customHeight="1">
      <c r="A922" s="9">
        <v>2020</v>
      </c>
      <c r="B922" s="2" t="s">
        <v>209</v>
      </c>
      <c r="C922" s="2" t="s">
        <v>205</v>
      </c>
      <c r="D922" s="2" t="s">
        <v>206</v>
      </c>
      <c r="E922" s="2" t="s">
        <v>16</v>
      </c>
      <c r="F922" s="8">
        <v>5600000</v>
      </c>
      <c r="G922" s="2" t="s">
        <v>209</v>
      </c>
      <c r="H922" s="35" t="s">
        <v>47</v>
      </c>
      <c r="I922" s="2"/>
      <c r="J922" s="2" t="s">
        <v>16</v>
      </c>
    </row>
    <row r="923" spans="1:10" ht="15.75" customHeight="1">
      <c r="A923" s="9">
        <v>2020</v>
      </c>
      <c r="B923" s="17" t="s">
        <v>205</v>
      </c>
      <c r="C923" s="17" t="s">
        <v>205</v>
      </c>
      <c r="D923" s="14" t="s">
        <v>206</v>
      </c>
      <c r="E923" s="2" t="s">
        <v>16</v>
      </c>
      <c r="F923" s="12">
        <v>11100000</v>
      </c>
      <c r="G923" s="17" t="s">
        <v>205</v>
      </c>
      <c r="H923" s="2" t="s">
        <v>17</v>
      </c>
      <c r="I923" s="3"/>
      <c r="J923" s="2" t="s">
        <v>16</v>
      </c>
    </row>
    <row r="924" spans="1:10" ht="15.75" customHeight="1">
      <c r="A924" s="45">
        <v>2020</v>
      </c>
      <c r="B924" s="17" t="s">
        <v>243</v>
      </c>
      <c r="C924" s="11" t="s">
        <v>136</v>
      </c>
      <c r="D924" s="3"/>
      <c r="E924" s="2" t="s">
        <v>15</v>
      </c>
      <c r="F924" s="12">
        <v>0</v>
      </c>
      <c r="G924" s="17" t="s">
        <v>243</v>
      </c>
      <c r="H924" s="2" t="s">
        <v>73</v>
      </c>
      <c r="I924" s="3"/>
      <c r="J924" s="2" t="s">
        <v>15</v>
      </c>
    </row>
    <row r="925" spans="1:10" ht="15.75" customHeight="1">
      <c r="A925" s="9">
        <v>2020</v>
      </c>
      <c r="B925" s="2" t="s">
        <v>185</v>
      </c>
      <c r="C925" s="2" t="s">
        <v>185</v>
      </c>
      <c r="D925" s="14" t="s">
        <v>186</v>
      </c>
      <c r="E925" s="3" t="s">
        <v>15</v>
      </c>
      <c r="F925" s="8">
        <v>1030000000</v>
      </c>
      <c r="G925" s="2" t="s">
        <v>185</v>
      </c>
      <c r="H925" s="2" t="s">
        <v>17</v>
      </c>
    </row>
    <row r="926" spans="1:10" ht="15.75" customHeight="1">
      <c r="A926" s="45">
        <v>2020</v>
      </c>
      <c r="B926" s="11" t="s">
        <v>244</v>
      </c>
      <c r="C926" s="3" t="s">
        <v>205</v>
      </c>
      <c r="D926" s="14" t="s">
        <v>206</v>
      </c>
      <c r="E926" s="2" t="s">
        <v>16</v>
      </c>
      <c r="F926" s="12">
        <v>10000000</v>
      </c>
      <c r="G926" s="11" t="s">
        <v>244</v>
      </c>
      <c r="H926" s="35" t="s">
        <v>47</v>
      </c>
      <c r="I926" s="2"/>
      <c r="J926" s="2" t="s">
        <v>16</v>
      </c>
    </row>
    <row r="927" spans="1:10" ht="15.75" customHeight="1">
      <c r="A927" s="9">
        <v>2020</v>
      </c>
      <c r="B927" s="17" t="s">
        <v>185</v>
      </c>
      <c r="C927" s="17" t="s">
        <v>185</v>
      </c>
      <c r="D927" s="3" t="s">
        <v>186</v>
      </c>
      <c r="E927" s="2" t="s">
        <v>15</v>
      </c>
      <c r="F927" s="12">
        <v>0</v>
      </c>
      <c r="G927" s="17" t="s">
        <v>185</v>
      </c>
      <c r="H927" s="2" t="s">
        <v>23</v>
      </c>
      <c r="I927" s="3"/>
      <c r="J927" s="2" t="s">
        <v>15</v>
      </c>
    </row>
    <row r="928" spans="1:10" ht="15.75" customHeight="1">
      <c r="A928" s="9">
        <v>2020</v>
      </c>
      <c r="B928" s="3" t="s">
        <v>188</v>
      </c>
      <c r="C928" s="3" t="s">
        <v>188</v>
      </c>
      <c r="D928" s="2" t="s">
        <v>189</v>
      </c>
      <c r="E928" s="3" t="s">
        <v>15</v>
      </c>
      <c r="F928" s="8">
        <v>1540000000</v>
      </c>
      <c r="G928" s="3" t="s">
        <v>188</v>
      </c>
      <c r="H928" s="2" t="s">
        <v>17</v>
      </c>
    </row>
    <row r="929" spans="1:10" ht="15.75" customHeight="1">
      <c r="A929" s="9">
        <v>2020</v>
      </c>
      <c r="B929" s="2" t="s">
        <v>245</v>
      </c>
      <c r="C929" s="3" t="s">
        <v>246</v>
      </c>
      <c r="D929" s="2" t="s">
        <v>247</v>
      </c>
      <c r="E929" s="2" t="s">
        <v>16</v>
      </c>
      <c r="F929" s="4">
        <v>11100000</v>
      </c>
      <c r="G929" s="2" t="s">
        <v>245</v>
      </c>
      <c r="H929" s="2" t="s">
        <v>27</v>
      </c>
      <c r="I929" s="2" t="s">
        <v>28</v>
      </c>
      <c r="J929" s="2" t="s">
        <v>16</v>
      </c>
    </row>
    <row r="930" spans="1:10" ht="15.75" customHeight="1">
      <c r="A930" s="9">
        <v>2020</v>
      </c>
      <c r="B930" s="17" t="s">
        <v>188</v>
      </c>
      <c r="C930" s="17" t="s">
        <v>188</v>
      </c>
      <c r="D930" s="3" t="s">
        <v>189</v>
      </c>
      <c r="E930" s="2" t="s">
        <v>15</v>
      </c>
      <c r="F930" s="12">
        <v>1500000000</v>
      </c>
      <c r="G930" s="17" t="s">
        <v>188</v>
      </c>
      <c r="H930" s="2" t="s">
        <v>23</v>
      </c>
      <c r="I930" s="3"/>
      <c r="J930" s="2" t="s">
        <v>15</v>
      </c>
    </row>
    <row r="931" spans="1:10" ht="15.75" customHeight="1">
      <c r="A931" s="9">
        <v>2020</v>
      </c>
      <c r="B931" s="11" t="s">
        <v>248</v>
      </c>
      <c r="C931" s="11" t="s">
        <v>248</v>
      </c>
      <c r="D931" s="2" t="s">
        <v>249</v>
      </c>
      <c r="E931" s="2" t="s">
        <v>16</v>
      </c>
      <c r="F931" s="4">
        <v>3500000</v>
      </c>
      <c r="G931" s="2" t="s">
        <v>248</v>
      </c>
      <c r="H931" s="2" t="s">
        <v>34</v>
      </c>
      <c r="I931" s="3" t="s">
        <v>28</v>
      </c>
      <c r="J931" s="2" t="s">
        <v>16</v>
      </c>
    </row>
    <row r="932" spans="1:10" ht="15.75" customHeight="1">
      <c r="A932" s="9">
        <v>2020</v>
      </c>
      <c r="B932" s="2" t="s">
        <v>250</v>
      </c>
      <c r="C932" s="3" t="s">
        <v>216</v>
      </c>
      <c r="D932" s="2" t="s">
        <v>217</v>
      </c>
      <c r="E932" s="2" t="s">
        <v>16</v>
      </c>
      <c r="F932" s="4">
        <v>13570000</v>
      </c>
      <c r="G932" s="2" t="s">
        <v>250</v>
      </c>
      <c r="H932" s="2" t="s">
        <v>27</v>
      </c>
      <c r="I932" s="3" t="s">
        <v>28</v>
      </c>
      <c r="J932" s="2" t="s">
        <v>16</v>
      </c>
    </row>
    <row r="933" spans="1:10" ht="15.75" customHeight="1">
      <c r="A933" s="9">
        <v>2021</v>
      </c>
      <c r="B933" s="17" t="s">
        <v>251</v>
      </c>
      <c r="C933" s="17" t="s">
        <v>188</v>
      </c>
      <c r="D933" s="3" t="s">
        <v>189</v>
      </c>
      <c r="E933" s="2" t="s">
        <v>15</v>
      </c>
      <c r="F933" s="12">
        <v>868677970</v>
      </c>
      <c r="G933" s="17" t="s">
        <v>188</v>
      </c>
      <c r="H933" s="2" t="s">
        <v>73</v>
      </c>
      <c r="I933" s="3"/>
      <c r="J933" s="2" t="s">
        <v>15</v>
      </c>
    </row>
    <row r="934" spans="1:10" ht="15.75" customHeight="1">
      <c r="A934" s="9">
        <v>2021</v>
      </c>
      <c r="B934" s="2" t="s">
        <v>197</v>
      </c>
      <c r="C934" s="3" t="s">
        <v>188</v>
      </c>
      <c r="D934" s="2" t="s">
        <v>189</v>
      </c>
      <c r="E934" s="3" t="s">
        <v>15</v>
      </c>
      <c r="F934" s="8">
        <v>951000000</v>
      </c>
      <c r="G934" s="2" t="s">
        <v>198</v>
      </c>
      <c r="H934" s="2" t="s">
        <v>36</v>
      </c>
    </row>
    <row r="935" spans="1:10" ht="15.75" customHeight="1">
      <c r="A935" s="9">
        <v>2021</v>
      </c>
      <c r="B935" s="2" t="s">
        <v>218</v>
      </c>
      <c r="C935" s="2" t="s">
        <v>218</v>
      </c>
      <c r="D935" s="2" t="s">
        <v>219</v>
      </c>
      <c r="E935" s="3" t="s">
        <v>14</v>
      </c>
      <c r="F935" s="8">
        <v>81100000</v>
      </c>
      <c r="G935" s="2" t="s">
        <v>218</v>
      </c>
      <c r="H935" s="2" t="s">
        <v>17</v>
      </c>
    </row>
    <row r="936" spans="1:10" ht="15.75" customHeight="1">
      <c r="A936" s="9">
        <v>2021</v>
      </c>
      <c r="B936" s="2" t="s">
        <v>203</v>
      </c>
      <c r="C936" s="2" t="s">
        <v>203</v>
      </c>
      <c r="D936" s="14" t="s">
        <v>204</v>
      </c>
      <c r="E936" s="3" t="s">
        <v>15</v>
      </c>
      <c r="F936" s="8">
        <v>1400000000</v>
      </c>
      <c r="G936" s="2" t="s">
        <v>203</v>
      </c>
      <c r="H936" s="2" t="s">
        <v>17</v>
      </c>
    </row>
    <row r="937" spans="1:10" ht="15.75" customHeight="1">
      <c r="A937" s="9">
        <v>2021</v>
      </c>
      <c r="B937" s="2" t="s">
        <v>218</v>
      </c>
      <c r="C937" s="2" t="s">
        <v>218</v>
      </c>
      <c r="D937" s="2" t="s">
        <v>219</v>
      </c>
      <c r="E937" s="2" t="s">
        <v>16</v>
      </c>
      <c r="F937" s="8">
        <v>3500000</v>
      </c>
      <c r="G937" s="2" t="s">
        <v>218</v>
      </c>
      <c r="H937" s="2" t="s">
        <v>17</v>
      </c>
      <c r="I937" s="2"/>
      <c r="J937" s="2" t="s">
        <v>16</v>
      </c>
    </row>
    <row r="938" spans="1:10" ht="15.75" customHeight="1">
      <c r="A938" s="9">
        <v>2021</v>
      </c>
      <c r="B938" s="11" t="s">
        <v>218</v>
      </c>
      <c r="C938" s="11" t="s">
        <v>218</v>
      </c>
      <c r="D938" s="14" t="s">
        <v>219</v>
      </c>
      <c r="E938" s="2" t="s">
        <v>16</v>
      </c>
      <c r="F938" s="22">
        <v>3400000</v>
      </c>
      <c r="G938" s="11" t="s">
        <v>218</v>
      </c>
      <c r="H938" s="2" t="s">
        <v>17</v>
      </c>
      <c r="I938" s="3"/>
      <c r="J938" s="2" t="s">
        <v>16</v>
      </c>
    </row>
    <row r="939" spans="1:10" ht="15.75" customHeight="1">
      <c r="A939" s="9">
        <v>2021</v>
      </c>
      <c r="B939" s="17" t="s">
        <v>203</v>
      </c>
      <c r="C939" s="17" t="s">
        <v>203</v>
      </c>
      <c r="D939" s="3" t="s">
        <v>204</v>
      </c>
      <c r="E939" s="2" t="s">
        <v>15</v>
      </c>
      <c r="F939" s="12">
        <v>0</v>
      </c>
      <c r="G939" s="17" t="s">
        <v>203</v>
      </c>
      <c r="H939" s="2" t="s">
        <v>23</v>
      </c>
      <c r="I939" s="3"/>
      <c r="J939" s="2" t="s">
        <v>15</v>
      </c>
    </row>
    <row r="940" spans="1:10" ht="15.75" customHeight="1">
      <c r="A940" s="9">
        <v>2021</v>
      </c>
      <c r="B940" s="2" t="s">
        <v>205</v>
      </c>
      <c r="C940" s="2" t="s">
        <v>205</v>
      </c>
      <c r="D940" s="2" t="s">
        <v>206</v>
      </c>
      <c r="E940" s="3" t="s">
        <v>15</v>
      </c>
      <c r="F940" s="8">
        <v>3300000000</v>
      </c>
      <c r="G940" s="2" t="s">
        <v>205</v>
      </c>
      <c r="H940" s="2" t="s">
        <v>17</v>
      </c>
    </row>
    <row r="941" spans="1:10" ht="15.75" customHeight="1">
      <c r="A941" s="9">
        <v>2021</v>
      </c>
      <c r="B941" s="2" t="s">
        <v>222</v>
      </c>
      <c r="C941" s="2" t="s">
        <v>222</v>
      </c>
      <c r="D941" s="2" t="s">
        <v>223</v>
      </c>
      <c r="E941" s="3" t="s">
        <v>14</v>
      </c>
      <c r="F941" s="8">
        <v>55500000</v>
      </c>
      <c r="G941" s="2" t="s">
        <v>222</v>
      </c>
      <c r="H941" s="2" t="s">
        <v>17</v>
      </c>
    </row>
    <row r="942" spans="1:10" ht="15.75" customHeight="1">
      <c r="A942" s="9">
        <v>2021</v>
      </c>
      <c r="B942" s="17" t="s">
        <v>205</v>
      </c>
      <c r="C942" s="17" t="s">
        <v>205</v>
      </c>
      <c r="D942" s="3" t="s">
        <v>206</v>
      </c>
      <c r="E942" s="2" t="s">
        <v>15</v>
      </c>
      <c r="F942" s="12">
        <v>4200000000</v>
      </c>
      <c r="G942" s="17" t="s">
        <v>205</v>
      </c>
      <c r="H942" s="2" t="s">
        <v>23</v>
      </c>
      <c r="I942" s="3"/>
      <c r="J942" s="2" t="s">
        <v>15</v>
      </c>
    </row>
    <row r="943" spans="1:10" ht="15.75" customHeight="1">
      <c r="A943" s="9">
        <v>2021</v>
      </c>
      <c r="B943" s="2" t="s">
        <v>224</v>
      </c>
      <c r="C943" s="2" t="s">
        <v>222</v>
      </c>
      <c r="D943" s="2" t="s">
        <v>223</v>
      </c>
      <c r="E943" s="3" t="s">
        <v>14</v>
      </c>
      <c r="F943" s="8">
        <v>382600000</v>
      </c>
      <c r="G943" s="2" t="s">
        <v>224</v>
      </c>
      <c r="H943" s="2" t="s">
        <v>22</v>
      </c>
    </row>
    <row r="944" spans="1:10" ht="15.75" customHeight="1">
      <c r="A944" s="9">
        <v>2021</v>
      </c>
      <c r="B944" s="2" t="s">
        <v>222</v>
      </c>
      <c r="C944" s="2" t="s">
        <v>222</v>
      </c>
      <c r="D944" s="2" t="s">
        <v>223</v>
      </c>
      <c r="E944" s="2" t="s">
        <v>16</v>
      </c>
      <c r="F944" s="8">
        <v>7000000</v>
      </c>
      <c r="G944" s="2" t="s">
        <v>222</v>
      </c>
      <c r="H944" s="2" t="s">
        <v>17</v>
      </c>
      <c r="I944" s="2"/>
      <c r="J944" s="2" t="s">
        <v>16</v>
      </c>
    </row>
    <row r="945" spans="1:10" ht="15.75" customHeight="1">
      <c r="A945" s="9">
        <v>2021</v>
      </c>
      <c r="B945" s="17" t="s">
        <v>252</v>
      </c>
      <c r="C945" s="17" t="s">
        <v>253</v>
      </c>
      <c r="D945" s="3" t="s">
        <v>206</v>
      </c>
      <c r="E945" s="2" t="s">
        <v>15</v>
      </c>
      <c r="F945" s="12">
        <v>5841000000</v>
      </c>
      <c r="G945" s="17" t="s">
        <v>253</v>
      </c>
      <c r="H945" s="2" t="s">
        <v>73</v>
      </c>
      <c r="I945" s="3"/>
      <c r="J945" s="2" t="s">
        <v>15</v>
      </c>
    </row>
    <row r="946" spans="1:10" ht="15.75" customHeight="1">
      <c r="A946" s="9">
        <v>2021</v>
      </c>
      <c r="B946" s="2" t="s">
        <v>209</v>
      </c>
      <c r="C946" s="2" t="s">
        <v>205</v>
      </c>
      <c r="D946" s="2" t="s">
        <v>206</v>
      </c>
      <c r="E946" s="3" t="s">
        <v>15</v>
      </c>
      <c r="F946" s="8">
        <v>5200000000</v>
      </c>
      <c r="G946" s="2" t="s">
        <v>209</v>
      </c>
      <c r="H946" s="2" t="s">
        <v>36</v>
      </c>
    </row>
    <row r="947" spans="1:10" ht="15.75" customHeight="1">
      <c r="A947" s="9">
        <v>2021</v>
      </c>
      <c r="B947" s="2" t="s">
        <v>224</v>
      </c>
      <c r="C947" s="2" t="s">
        <v>222</v>
      </c>
      <c r="D947" s="2" t="s">
        <v>223</v>
      </c>
      <c r="E947" s="2" t="s">
        <v>16</v>
      </c>
      <c r="F947" s="8">
        <v>3600000</v>
      </c>
      <c r="G947" s="2" t="s">
        <v>224</v>
      </c>
      <c r="H947" s="2" t="s">
        <v>22</v>
      </c>
      <c r="I947" s="2"/>
      <c r="J947" s="2" t="s">
        <v>16</v>
      </c>
    </row>
    <row r="948" spans="1:10" ht="15.75" customHeight="1">
      <c r="A948" s="9">
        <v>2021</v>
      </c>
      <c r="B948" s="17" t="s">
        <v>254</v>
      </c>
      <c r="C948" s="17" t="s">
        <v>255</v>
      </c>
      <c r="D948" s="3"/>
      <c r="E948" s="2" t="s">
        <v>15</v>
      </c>
      <c r="F948" s="12">
        <v>68193940</v>
      </c>
      <c r="G948" s="17" t="s">
        <v>255</v>
      </c>
      <c r="H948" s="2" t="s">
        <v>73</v>
      </c>
      <c r="I948" s="3"/>
      <c r="J948" s="2" t="s">
        <v>15</v>
      </c>
    </row>
    <row r="949" spans="1:10" ht="15.75" customHeight="1">
      <c r="A949" s="9">
        <v>2021</v>
      </c>
      <c r="B949" s="24" t="s">
        <v>222</v>
      </c>
      <c r="C949" s="24" t="s">
        <v>222</v>
      </c>
      <c r="D949" s="28" t="s">
        <v>223</v>
      </c>
      <c r="E949" s="26" t="s">
        <v>16</v>
      </c>
      <c r="F949" s="29">
        <v>7000000</v>
      </c>
      <c r="G949" s="24" t="s">
        <v>222</v>
      </c>
      <c r="H949" s="26" t="s">
        <v>17</v>
      </c>
      <c r="I949" s="25"/>
      <c r="J949" s="26" t="s">
        <v>16</v>
      </c>
    </row>
    <row r="950" spans="1:10" ht="15.75" customHeight="1">
      <c r="A950" s="9">
        <v>2021</v>
      </c>
      <c r="B950" s="2" t="s">
        <v>218</v>
      </c>
      <c r="C950" s="2" t="s">
        <v>218</v>
      </c>
      <c r="D950" s="2" t="s">
        <v>219</v>
      </c>
      <c r="E950" s="3" t="s">
        <v>15</v>
      </c>
      <c r="F950" s="8">
        <v>157800000</v>
      </c>
      <c r="G950" s="2" t="s">
        <v>218</v>
      </c>
      <c r="H950" s="2" t="s">
        <v>17</v>
      </c>
    </row>
    <row r="951" spans="1:10" ht="15.75" customHeight="1">
      <c r="A951" s="9">
        <v>2021</v>
      </c>
      <c r="B951" s="24" t="s">
        <v>256</v>
      </c>
      <c r="C951" s="25" t="s">
        <v>222</v>
      </c>
      <c r="D951" s="28" t="s">
        <v>223</v>
      </c>
      <c r="E951" s="26" t="s">
        <v>16</v>
      </c>
      <c r="F951" s="29">
        <v>6100000</v>
      </c>
      <c r="G951" s="24" t="s">
        <v>256</v>
      </c>
      <c r="H951" s="30" t="s">
        <v>47</v>
      </c>
      <c r="I951" s="26"/>
      <c r="J951" s="26" t="s">
        <v>16</v>
      </c>
    </row>
    <row r="952" spans="1:10" ht="15.75" customHeight="1">
      <c r="A952" s="9">
        <v>2021</v>
      </c>
      <c r="B952" s="17" t="s">
        <v>218</v>
      </c>
      <c r="C952" s="17" t="s">
        <v>218</v>
      </c>
      <c r="D952" s="3" t="s">
        <v>219</v>
      </c>
      <c r="E952" s="2" t="s">
        <v>15</v>
      </c>
      <c r="F952" s="12">
        <v>0</v>
      </c>
      <c r="G952" s="17" t="s">
        <v>218</v>
      </c>
      <c r="H952" s="2" t="s">
        <v>23</v>
      </c>
      <c r="I952" s="3"/>
      <c r="J952" s="2" t="s">
        <v>15</v>
      </c>
    </row>
    <row r="953" spans="1:10" ht="15.75" customHeight="1">
      <c r="A953" s="9">
        <v>2021</v>
      </c>
      <c r="B953" s="2" t="s">
        <v>222</v>
      </c>
      <c r="C953" s="2" t="s">
        <v>222</v>
      </c>
      <c r="D953" s="2" t="s">
        <v>223</v>
      </c>
      <c r="E953" s="3" t="s">
        <v>15</v>
      </c>
      <c r="F953" s="8">
        <v>750000000</v>
      </c>
      <c r="G953" s="2" t="s">
        <v>222</v>
      </c>
      <c r="H953" s="2" t="s">
        <v>17</v>
      </c>
    </row>
    <row r="954" spans="1:10" ht="15.75" customHeight="1">
      <c r="A954" s="9">
        <v>2021</v>
      </c>
      <c r="B954" s="2" t="s">
        <v>225</v>
      </c>
      <c r="C954" s="2" t="s">
        <v>225</v>
      </c>
      <c r="D954" s="2" t="s">
        <v>226</v>
      </c>
      <c r="E954" s="3" t="s">
        <v>14</v>
      </c>
      <c r="F954" s="8">
        <v>2970000000</v>
      </c>
      <c r="G954" s="2" t="s">
        <v>225</v>
      </c>
      <c r="H954" s="2" t="s">
        <v>17</v>
      </c>
    </row>
    <row r="955" spans="1:10" ht="15.75" customHeight="1">
      <c r="A955" s="9">
        <v>2021</v>
      </c>
      <c r="B955" s="2" t="s">
        <v>225</v>
      </c>
      <c r="C955" s="2" t="s">
        <v>225</v>
      </c>
      <c r="D955" s="2" t="s">
        <v>226</v>
      </c>
      <c r="E955" s="2" t="s">
        <v>16</v>
      </c>
      <c r="F955" s="8">
        <v>24100000</v>
      </c>
      <c r="G955" s="2" t="s">
        <v>225</v>
      </c>
      <c r="H955" s="2" t="s">
        <v>17</v>
      </c>
      <c r="I955" s="2"/>
      <c r="J955" s="2" t="s">
        <v>16</v>
      </c>
    </row>
    <row r="956" spans="1:10" ht="15.75" customHeight="1">
      <c r="A956" s="9">
        <v>2021</v>
      </c>
      <c r="B956" s="17" t="s">
        <v>222</v>
      </c>
      <c r="C956" s="17" t="s">
        <v>222</v>
      </c>
      <c r="D956" s="3" t="s">
        <v>223</v>
      </c>
      <c r="E956" s="2" t="s">
        <v>15</v>
      </c>
      <c r="F956" s="12">
        <v>762500000</v>
      </c>
      <c r="G956" s="17" t="s">
        <v>222</v>
      </c>
      <c r="H956" s="2" t="s">
        <v>23</v>
      </c>
      <c r="I956" s="3"/>
      <c r="J956" s="2" t="s">
        <v>15</v>
      </c>
    </row>
    <row r="957" spans="1:10" ht="15.75" customHeight="1">
      <c r="A957" s="9">
        <v>2021</v>
      </c>
      <c r="B957" s="17" t="s">
        <v>225</v>
      </c>
      <c r="C957" s="17" t="s">
        <v>225</v>
      </c>
      <c r="D957" s="3" t="s">
        <v>226</v>
      </c>
      <c r="E957" s="2" t="s">
        <v>16</v>
      </c>
      <c r="F957" s="12">
        <v>24300000</v>
      </c>
      <c r="G957" s="17" t="s">
        <v>225</v>
      </c>
      <c r="H957" s="2" t="s">
        <v>17</v>
      </c>
      <c r="I957" s="3"/>
      <c r="J957" s="2" t="s">
        <v>16</v>
      </c>
    </row>
    <row r="958" spans="1:10" ht="15.75" customHeight="1">
      <c r="A958" s="9">
        <v>2021</v>
      </c>
      <c r="B958" s="17" t="s">
        <v>257</v>
      </c>
      <c r="C958" s="17" t="s">
        <v>222</v>
      </c>
      <c r="D958" s="3" t="s">
        <v>223</v>
      </c>
      <c r="E958" s="2" t="s">
        <v>15</v>
      </c>
      <c r="F958" s="12">
        <v>1436993560</v>
      </c>
      <c r="G958" s="17" t="s">
        <v>222</v>
      </c>
      <c r="H958" s="2" t="s">
        <v>73</v>
      </c>
      <c r="I958" s="3"/>
      <c r="J958" s="2" t="s">
        <v>15</v>
      </c>
    </row>
    <row r="959" spans="1:10" ht="15.75" customHeight="1">
      <c r="A959" s="9">
        <v>2021</v>
      </c>
      <c r="B959" s="2" t="s">
        <v>224</v>
      </c>
      <c r="C959" s="2" t="s">
        <v>222</v>
      </c>
      <c r="D959" s="2" t="s">
        <v>223</v>
      </c>
      <c r="E959" s="3" t="s">
        <v>15</v>
      </c>
      <c r="F959" s="8">
        <v>1350000000</v>
      </c>
      <c r="G959" s="2" t="s">
        <v>224</v>
      </c>
      <c r="H959" s="2" t="s">
        <v>22</v>
      </c>
    </row>
    <row r="960" spans="1:10" ht="15.75" customHeight="1">
      <c r="A960" s="9">
        <v>2021</v>
      </c>
      <c r="B960" s="2" t="s">
        <v>225</v>
      </c>
      <c r="C960" s="2" t="s">
        <v>225</v>
      </c>
      <c r="D960" s="2" t="s">
        <v>226</v>
      </c>
      <c r="E960" s="3" t="s">
        <v>15</v>
      </c>
      <c r="F960" s="8">
        <v>3200000000</v>
      </c>
      <c r="G960" s="2" t="s">
        <v>225</v>
      </c>
      <c r="H960" s="2" t="s">
        <v>17</v>
      </c>
    </row>
    <row r="961" spans="1:10" ht="15.75" customHeight="1">
      <c r="A961" s="9">
        <v>2021</v>
      </c>
      <c r="B961" s="2" t="s">
        <v>258</v>
      </c>
      <c r="C961" s="3" t="s">
        <v>259</v>
      </c>
      <c r="D961" s="2" t="s">
        <v>260</v>
      </c>
      <c r="E961" s="2" t="s">
        <v>16</v>
      </c>
      <c r="F961" s="4">
        <v>9790000</v>
      </c>
      <c r="G961" s="2" t="s">
        <v>258</v>
      </c>
      <c r="H961" s="2" t="s">
        <v>27</v>
      </c>
      <c r="I961" s="3" t="s">
        <v>28</v>
      </c>
      <c r="J961" s="2" t="s">
        <v>16</v>
      </c>
    </row>
    <row r="962" spans="1:10" ht="15.75" customHeight="1">
      <c r="A962" s="9">
        <v>2021</v>
      </c>
      <c r="B962" s="17" t="s">
        <v>225</v>
      </c>
      <c r="C962" s="17" t="s">
        <v>225</v>
      </c>
      <c r="D962" s="3" t="s">
        <v>226</v>
      </c>
      <c r="E962" s="2" t="s">
        <v>15</v>
      </c>
      <c r="F962" s="12">
        <v>0</v>
      </c>
      <c r="G962" s="17" t="s">
        <v>225</v>
      </c>
      <c r="H962" s="2" t="s">
        <v>23</v>
      </c>
      <c r="I962" s="3"/>
      <c r="J962" s="2" t="s">
        <v>15</v>
      </c>
    </row>
    <row r="963" spans="1:10" ht="15.75" customHeight="1">
      <c r="A963" s="9">
        <v>2021</v>
      </c>
      <c r="B963" s="2" t="s">
        <v>228</v>
      </c>
      <c r="C963" s="2" t="s">
        <v>228</v>
      </c>
      <c r="D963" s="14" t="s">
        <v>229</v>
      </c>
      <c r="E963" s="3" t="s">
        <v>14</v>
      </c>
      <c r="F963" s="8">
        <v>233300000</v>
      </c>
      <c r="G963" s="2" t="s">
        <v>228</v>
      </c>
      <c r="H963" s="32" t="s">
        <v>107</v>
      </c>
    </row>
    <row r="964" spans="1:10" ht="15.75" customHeight="1">
      <c r="A964" s="9">
        <v>2021</v>
      </c>
      <c r="B964" s="2" t="s">
        <v>228</v>
      </c>
      <c r="C964" s="2" t="s">
        <v>228</v>
      </c>
      <c r="D964" s="14" t="s">
        <v>229</v>
      </c>
      <c r="E964" s="2" t="s">
        <v>16</v>
      </c>
      <c r="F964" s="8">
        <v>5300000</v>
      </c>
      <c r="G964" s="2" t="s">
        <v>228</v>
      </c>
      <c r="H964" s="2" t="s">
        <v>132</v>
      </c>
      <c r="I964" s="2"/>
      <c r="J964" s="2" t="s">
        <v>16</v>
      </c>
    </row>
    <row r="965" spans="1:10" ht="15.75" customHeight="1">
      <c r="A965" s="9">
        <v>2021</v>
      </c>
      <c r="B965" s="17" t="s">
        <v>228</v>
      </c>
      <c r="C965" s="17" t="s">
        <v>228</v>
      </c>
      <c r="D965" s="3" t="s">
        <v>229</v>
      </c>
      <c r="E965" s="2" t="s">
        <v>16</v>
      </c>
      <c r="F965" s="12">
        <v>7500000</v>
      </c>
      <c r="G965" s="17" t="s">
        <v>228</v>
      </c>
      <c r="H965" s="2" t="s">
        <v>17</v>
      </c>
      <c r="I965" s="3"/>
      <c r="J965" s="2" t="s">
        <v>16</v>
      </c>
    </row>
    <row r="966" spans="1:10" ht="15.75" customHeight="1">
      <c r="A966" s="9">
        <v>2021</v>
      </c>
      <c r="B966" s="17" t="s">
        <v>228</v>
      </c>
      <c r="C966" s="17" t="s">
        <v>228</v>
      </c>
      <c r="D966" s="3" t="s">
        <v>229</v>
      </c>
      <c r="E966" s="2" t="s">
        <v>15</v>
      </c>
      <c r="F966" s="12">
        <v>0</v>
      </c>
      <c r="G966" s="17" t="s">
        <v>228</v>
      </c>
      <c r="H966" s="2" t="s">
        <v>23</v>
      </c>
      <c r="I966" s="3"/>
      <c r="J966" s="2" t="s">
        <v>15</v>
      </c>
    </row>
    <row r="967" spans="1:10" ht="15.75" customHeight="1">
      <c r="A967" s="9">
        <v>2021</v>
      </c>
      <c r="B967" s="11" t="s">
        <v>24</v>
      </c>
      <c r="C967" s="11" t="s">
        <v>24</v>
      </c>
      <c r="D967" s="3" t="s">
        <v>25</v>
      </c>
      <c r="E967" s="2" t="s">
        <v>16</v>
      </c>
      <c r="F967" s="42">
        <v>3533773</v>
      </c>
      <c r="G967" s="11" t="s">
        <v>24</v>
      </c>
      <c r="H967" s="2" t="s">
        <v>17</v>
      </c>
      <c r="I967" s="3" t="s">
        <v>28</v>
      </c>
      <c r="J967" s="2" t="s">
        <v>16</v>
      </c>
    </row>
    <row r="968" spans="1:10" ht="15.75" customHeight="1">
      <c r="A968" s="9">
        <v>2021</v>
      </c>
      <c r="B968" s="11" t="s">
        <v>30</v>
      </c>
      <c r="C968" s="11" t="s">
        <v>30</v>
      </c>
      <c r="D968" s="3" t="s">
        <v>31</v>
      </c>
      <c r="E968" s="2" t="s">
        <v>16</v>
      </c>
      <c r="F968" s="42">
        <v>2255830</v>
      </c>
      <c r="G968" s="11" t="s">
        <v>30</v>
      </c>
      <c r="H968" s="2" t="s">
        <v>17</v>
      </c>
      <c r="I968" s="3" t="s">
        <v>28</v>
      </c>
      <c r="J968" s="2" t="s">
        <v>16</v>
      </c>
    </row>
    <row r="969" spans="1:10" ht="15.75" customHeight="1">
      <c r="A969" s="9">
        <v>2021</v>
      </c>
      <c r="B969" s="11" t="s">
        <v>38</v>
      </c>
      <c r="C969" s="11" t="s">
        <v>38</v>
      </c>
      <c r="D969" s="3" t="s">
        <v>39</v>
      </c>
      <c r="E969" s="2" t="s">
        <v>16</v>
      </c>
      <c r="F969" s="42">
        <v>4406243</v>
      </c>
      <c r="G969" s="11" t="s">
        <v>38</v>
      </c>
      <c r="H969" s="2" t="s">
        <v>17</v>
      </c>
      <c r="I969" s="3" t="s">
        <v>28</v>
      </c>
      <c r="J969" s="2" t="s">
        <v>16</v>
      </c>
    </row>
    <row r="970" spans="1:10" ht="15.75" customHeight="1">
      <c r="A970" s="9">
        <v>2021</v>
      </c>
      <c r="B970" s="11" t="s">
        <v>41</v>
      </c>
      <c r="C970" s="11" t="s">
        <v>41</v>
      </c>
      <c r="D970" s="3" t="s">
        <v>42</v>
      </c>
      <c r="E970" s="2" t="s">
        <v>16</v>
      </c>
      <c r="F970" s="42">
        <v>2800000</v>
      </c>
      <c r="G970" s="11" t="s">
        <v>41</v>
      </c>
      <c r="H970" s="2" t="s">
        <v>17</v>
      </c>
      <c r="I970" s="3" t="s">
        <v>28</v>
      </c>
      <c r="J970" s="2" t="s">
        <v>16</v>
      </c>
    </row>
    <row r="971" spans="1:10" ht="15.75" customHeight="1">
      <c r="A971" s="9">
        <v>2021</v>
      </c>
      <c r="B971" s="11" t="s">
        <v>44</v>
      </c>
      <c r="C971" s="11" t="s">
        <v>44</v>
      </c>
      <c r="D971" s="3" t="s">
        <v>45</v>
      </c>
      <c r="E971" s="2" t="s">
        <v>16</v>
      </c>
      <c r="F971" s="42">
        <v>5496653</v>
      </c>
      <c r="G971" s="11" t="s">
        <v>44</v>
      </c>
      <c r="H971" s="2" t="s">
        <v>17</v>
      </c>
      <c r="I971" s="3" t="s">
        <v>28</v>
      </c>
      <c r="J971" s="2" t="s">
        <v>16</v>
      </c>
    </row>
    <row r="972" spans="1:10" ht="15.75" customHeight="1">
      <c r="A972" s="9">
        <v>2021</v>
      </c>
      <c r="B972" s="11" t="s">
        <v>80</v>
      </c>
      <c r="C972" s="11" t="s">
        <v>80</v>
      </c>
      <c r="D972" s="3" t="s">
        <v>81</v>
      </c>
      <c r="E972" s="2" t="s">
        <v>16</v>
      </c>
      <c r="F972" s="42">
        <v>6731041</v>
      </c>
      <c r="G972" s="11" t="s">
        <v>80</v>
      </c>
      <c r="H972" s="2" t="s">
        <v>17</v>
      </c>
      <c r="I972" s="3" t="s">
        <v>28</v>
      </c>
      <c r="J972" s="2" t="s">
        <v>16</v>
      </c>
    </row>
    <row r="973" spans="1:10" ht="15.75" customHeight="1">
      <c r="A973" s="9">
        <v>2021</v>
      </c>
      <c r="B973" s="11" t="s">
        <v>157</v>
      </c>
      <c r="C973" s="11" t="s">
        <v>157</v>
      </c>
      <c r="D973" s="3" t="s">
        <v>58</v>
      </c>
      <c r="E973" s="2" t="s">
        <v>16</v>
      </c>
      <c r="F973" s="42">
        <v>19616782</v>
      </c>
      <c r="G973" s="11" t="s">
        <v>157</v>
      </c>
      <c r="H973" s="2" t="s">
        <v>17</v>
      </c>
      <c r="I973" s="3" t="s">
        <v>28</v>
      </c>
      <c r="J973" s="2" t="s">
        <v>16</v>
      </c>
    </row>
    <row r="974" spans="1:10" ht="15.75" customHeight="1">
      <c r="A974" s="9">
        <v>2021</v>
      </c>
      <c r="B974" s="11" t="s">
        <v>82</v>
      </c>
      <c r="C974" s="11" t="s">
        <v>82</v>
      </c>
      <c r="D974" s="3" t="s">
        <v>83</v>
      </c>
      <c r="E974" s="2" t="s">
        <v>16</v>
      </c>
      <c r="F974" s="42">
        <v>4400000</v>
      </c>
      <c r="G974" s="11" t="s">
        <v>82</v>
      </c>
      <c r="H974" s="2" t="s">
        <v>17</v>
      </c>
      <c r="I974" s="3" t="s">
        <v>28</v>
      </c>
      <c r="J974" s="2" t="s">
        <v>16</v>
      </c>
    </row>
    <row r="975" spans="1:10" ht="15.75" customHeight="1">
      <c r="A975" s="9">
        <v>2021</v>
      </c>
      <c r="B975" s="11" t="s">
        <v>96</v>
      </c>
      <c r="C975" s="11" t="s">
        <v>96</v>
      </c>
      <c r="D975" s="3" t="s">
        <v>97</v>
      </c>
      <c r="E975" s="2" t="s">
        <v>16</v>
      </c>
      <c r="F975" s="42">
        <v>4100000</v>
      </c>
      <c r="G975" s="11" t="s">
        <v>96</v>
      </c>
      <c r="H975" s="2" t="s">
        <v>17</v>
      </c>
      <c r="I975" s="3" t="s">
        <v>28</v>
      </c>
      <c r="J975" s="2" t="s">
        <v>16</v>
      </c>
    </row>
    <row r="976" spans="1:10" ht="15.75" customHeight="1">
      <c r="A976" s="9">
        <v>2021</v>
      </c>
      <c r="B976" s="11" t="s">
        <v>115</v>
      </c>
      <c r="C976" s="11" t="s">
        <v>115</v>
      </c>
      <c r="D976" s="3" t="s">
        <v>116</v>
      </c>
      <c r="E976" s="2" t="s">
        <v>16</v>
      </c>
      <c r="F976" s="42">
        <v>1250662</v>
      </c>
      <c r="G976" s="11" t="s">
        <v>115</v>
      </c>
      <c r="H976" s="2" t="s">
        <v>17</v>
      </c>
      <c r="I976" s="3" t="s">
        <v>28</v>
      </c>
      <c r="J976" s="2" t="s">
        <v>16</v>
      </c>
    </row>
    <row r="977" spans="1:10" ht="15.75" customHeight="1">
      <c r="A977" s="9">
        <v>2021</v>
      </c>
      <c r="B977" s="11" t="s">
        <v>129</v>
      </c>
      <c r="C977" s="11" t="s">
        <v>129</v>
      </c>
      <c r="D977" s="3" t="s">
        <v>130</v>
      </c>
      <c r="E977" s="2" t="s">
        <v>16</v>
      </c>
      <c r="F977" s="42">
        <v>5917269</v>
      </c>
      <c r="G977" s="11" t="s">
        <v>129</v>
      </c>
      <c r="H977" s="2" t="s">
        <v>17</v>
      </c>
      <c r="I977" s="3" t="s">
        <v>28</v>
      </c>
      <c r="J977" s="2" t="s">
        <v>16</v>
      </c>
    </row>
    <row r="978" spans="1:10" ht="15.75" customHeight="1">
      <c r="A978" s="9">
        <v>2021</v>
      </c>
      <c r="B978" s="11" t="s">
        <v>123</v>
      </c>
      <c r="C978" s="11" t="s">
        <v>123</v>
      </c>
      <c r="D978" s="3" t="s">
        <v>124</v>
      </c>
      <c r="E978" s="2" t="s">
        <v>16</v>
      </c>
      <c r="F978" s="42">
        <v>1326777</v>
      </c>
      <c r="G978" s="11" t="s">
        <v>123</v>
      </c>
      <c r="H978" s="2" t="s">
        <v>17</v>
      </c>
      <c r="I978" s="3" t="s">
        <v>28</v>
      </c>
      <c r="J978" s="2" t="s">
        <v>16</v>
      </c>
    </row>
    <row r="979" spans="1:10" ht="15.75" customHeight="1">
      <c r="A979" s="9">
        <v>2021</v>
      </c>
      <c r="B979" s="11" t="s">
        <v>136</v>
      </c>
      <c r="C979" s="11" t="s">
        <v>136</v>
      </c>
      <c r="D979" s="3" t="s">
        <v>137</v>
      </c>
      <c r="E979" s="2" t="s">
        <v>16</v>
      </c>
      <c r="F979" s="42">
        <v>1035782</v>
      </c>
      <c r="G979" s="11" t="s">
        <v>136</v>
      </c>
      <c r="H979" s="2" t="s">
        <v>17</v>
      </c>
      <c r="I979" s="3" t="s">
        <v>28</v>
      </c>
      <c r="J979" s="2" t="s">
        <v>16</v>
      </c>
    </row>
    <row r="980" spans="1:10" ht="15.75" customHeight="1">
      <c r="A980" s="9">
        <v>2021</v>
      </c>
      <c r="B980" s="11" t="s">
        <v>143</v>
      </c>
      <c r="C980" s="11" t="s">
        <v>143</v>
      </c>
      <c r="D980" s="3" t="s">
        <v>144</v>
      </c>
      <c r="E980" s="2" t="s">
        <v>16</v>
      </c>
      <c r="F980" s="42">
        <v>3821659</v>
      </c>
      <c r="G980" s="11" t="s">
        <v>143</v>
      </c>
      <c r="H980" s="2" t="s">
        <v>17</v>
      </c>
      <c r="I980" s="3" t="s">
        <v>28</v>
      </c>
      <c r="J980" s="2" t="s">
        <v>16</v>
      </c>
    </row>
    <row r="981" spans="1:10" ht="15.75" customHeight="1">
      <c r="A981" s="9">
        <v>2021</v>
      </c>
      <c r="B981" s="11" t="s">
        <v>155</v>
      </c>
      <c r="C981" s="11" t="s">
        <v>155</v>
      </c>
      <c r="D981" s="3" t="s">
        <v>156</v>
      </c>
      <c r="E981" s="2" t="s">
        <v>16</v>
      </c>
      <c r="F981" s="42">
        <v>8700000</v>
      </c>
      <c r="G981" s="11" t="s">
        <v>155</v>
      </c>
      <c r="H981" s="2" t="s">
        <v>17</v>
      </c>
      <c r="I981" s="3" t="s">
        <v>28</v>
      </c>
      <c r="J981" s="2" t="s">
        <v>16</v>
      </c>
    </row>
    <row r="982" spans="1:10" ht="15.75" customHeight="1">
      <c r="A982" s="9">
        <v>2021</v>
      </c>
      <c r="B982" s="11" t="s">
        <v>163</v>
      </c>
      <c r="C982" s="11" t="s">
        <v>163</v>
      </c>
      <c r="D982" s="3" t="s">
        <v>164</v>
      </c>
      <c r="E982" s="2" t="s">
        <v>16</v>
      </c>
      <c r="F982" s="42">
        <v>2400000</v>
      </c>
      <c r="G982" s="11" t="s">
        <v>163</v>
      </c>
      <c r="H982" s="2" t="s">
        <v>17</v>
      </c>
      <c r="I982" s="3" t="s">
        <v>28</v>
      </c>
      <c r="J982" s="2" t="s">
        <v>16</v>
      </c>
    </row>
    <row r="983" spans="1:10" ht="15.75" customHeight="1">
      <c r="A983" s="9">
        <v>2021</v>
      </c>
      <c r="B983" s="11" t="s">
        <v>168</v>
      </c>
      <c r="C983" s="11" t="s">
        <v>168</v>
      </c>
      <c r="D983" s="2" t="s">
        <v>169</v>
      </c>
      <c r="E983" s="2" t="s">
        <v>16</v>
      </c>
      <c r="F983" s="42">
        <v>11000000</v>
      </c>
      <c r="G983" s="11" t="s">
        <v>168</v>
      </c>
      <c r="H983" s="2" t="s">
        <v>17</v>
      </c>
      <c r="I983" s="3" t="s">
        <v>28</v>
      </c>
      <c r="J983" s="2" t="s">
        <v>16</v>
      </c>
    </row>
    <row r="984" spans="1:10" ht="15.75" customHeight="1">
      <c r="A984" s="9">
        <v>2021</v>
      </c>
      <c r="B984" s="11" t="s">
        <v>185</v>
      </c>
      <c r="C984" s="11" t="s">
        <v>185</v>
      </c>
      <c r="D984" s="3" t="s">
        <v>186</v>
      </c>
      <c r="E984" s="2" t="s">
        <v>16</v>
      </c>
      <c r="F984" s="42">
        <v>5932722</v>
      </c>
      <c r="G984" s="11" t="s">
        <v>185</v>
      </c>
      <c r="H984" s="2" t="s">
        <v>17</v>
      </c>
      <c r="I984" s="3" t="s">
        <v>28</v>
      </c>
      <c r="J984" s="2" t="s">
        <v>16</v>
      </c>
    </row>
    <row r="985" spans="1:10" ht="15.75" customHeight="1">
      <c r="A985" s="9">
        <v>2021</v>
      </c>
      <c r="B985" s="11" t="s">
        <v>188</v>
      </c>
      <c r="C985" s="11" t="s">
        <v>188</v>
      </c>
      <c r="D985" s="3" t="s">
        <v>189</v>
      </c>
      <c r="E985" s="2" t="s">
        <v>16</v>
      </c>
      <c r="F985" s="42">
        <v>8310533</v>
      </c>
      <c r="G985" s="11" t="s">
        <v>188</v>
      </c>
      <c r="H985" s="2" t="s">
        <v>17</v>
      </c>
      <c r="I985" s="3" t="s">
        <v>28</v>
      </c>
      <c r="J985" s="2" t="s">
        <v>16</v>
      </c>
    </row>
    <row r="986" spans="1:10" ht="15.75" customHeight="1">
      <c r="A986" s="9">
        <v>2021</v>
      </c>
      <c r="B986" s="11" t="s">
        <v>203</v>
      </c>
      <c r="C986" s="11" t="s">
        <v>203</v>
      </c>
      <c r="D986" s="3" t="s">
        <v>204</v>
      </c>
      <c r="E986" s="2" t="s">
        <v>16</v>
      </c>
      <c r="F986" s="42">
        <v>13446501</v>
      </c>
      <c r="G986" s="11" t="s">
        <v>203</v>
      </c>
      <c r="H986" s="2" t="s">
        <v>17</v>
      </c>
      <c r="I986" s="3" t="s">
        <v>28</v>
      </c>
      <c r="J986" s="2" t="s">
        <v>16</v>
      </c>
    </row>
    <row r="987" spans="1:10" ht="15.75" customHeight="1">
      <c r="A987" s="9">
        <v>2021</v>
      </c>
      <c r="B987" s="11" t="s">
        <v>205</v>
      </c>
      <c r="C987" s="11" t="s">
        <v>205</v>
      </c>
      <c r="D987" s="3" t="s">
        <v>206</v>
      </c>
      <c r="E987" s="2" t="s">
        <v>16</v>
      </c>
      <c r="F987" s="42">
        <v>13000000</v>
      </c>
      <c r="G987" s="11" t="s">
        <v>205</v>
      </c>
      <c r="H987" s="2" t="s">
        <v>17</v>
      </c>
      <c r="I987" s="3" t="s">
        <v>28</v>
      </c>
      <c r="J987" s="2" t="s">
        <v>16</v>
      </c>
    </row>
    <row r="988" spans="1:10" ht="15.75" customHeight="1">
      <c r="A988" s="9">
        <v>2021</v>
      </c>
      <c r="B988" s="11" t="s">
        <v>218</v>
      </c>
      <c r="C988" s="11" t="s">
        <v>218</v>
      </c>
      <c r="D988" s="3" t="s">
        <v>219</v>
      </c>
      <c r="E988" s="2" t="s">
        <v>16</v>
      </c>
      <c r="F988" s="42">
        <v>3400000</v>
      </c>
      <c r="G988" s="11" t="s">
        <v>218</v>
      </c>
      <c r="H988" s="2" t="s">
        <v>17</v>
      </c>
      <c r="I988" s="3" t="s">
        <v>28</v>
      </c>
      <c r="J988" s="2" t="s">
        <v>16</v>
      </c>
    </row>
    <row r="989" spans="1:10" ht="15.75" customHeight="1">
      <c r="A989" s="9">
        <v>2021</v>
      </c>
      <c r="B989" s="11" t="s">
        <v>222</v>
      </c>
      <c r="C989" s="11" t="s">
        <v>222</v>
      </c>
      <c r="D989" s="3" t="s">
        <v>223</v>
      </c>
      <c r="E989" s="2" t="s">
        <v>16</v>
      </c>
      <c r="F989" s="42">
        <v>7000000</v>
      </c>
      <c r="G989" s="11" t="s">
        <v>222</v>
      </c>
      <c r="H989" s="2" t="s">
        <v>17</v>
      </c>
      <c r="I989" s="3" t="s">
        <v>28</v>
      </c>
      <c r="J989" s="2" t="s">
        <v>16</v>
      </c>
    </row>
    <row r="990" spans="1:10" ht="15.75" customHeight="1">
      <c r="A990" s="9">
        <v>2021</v>
      </c>
      <c r="B990" s="11" t="s">
        <v>225</v>
      </c>
      <c r="C990" s="11" t="s">
        <v>225</v>
      </c>
      <c r="D990" s="3" t="s">
        <v>226</v>
      </c>
      <c r="E990" s="2" t="s">
        <v>16</v>
      </c>
      <c r="F990" s="42">
        <v>20700000</v>
      </c>
      <c r="G990" s="11" t="s">
        <v>225</v>
      </c>
      <c r="H990" s="2" t="s">
        <v>17</v>
      </c>
      <c r="I990" s="3" t="s">
        <v>28</v>
      </c>
      <c r="J990" s="2" t="s">
        <v>16</v>
      </c>
    </row>
    <row r="991" spans="1:10" ht="15.75" customHeight="1">
      <c r="A991" s="9">
        <v>2021</v>
      </c>
      <c r="B991" s="11" t="s">
        <v>228</v>
      </c>
      <c r="C991" s="11" t="s">
        <v>228</v>
      </c>
      <c r="D991" s="3" t="s">
        <v>229</v>
      </c>
      <c r="E991" s="2" t="s">
        <v>16</v>
      </c>
      <c r="F991" s="42">
        <v>6800000</v>
      </c>
      <c r="G991" s="11" t="s">
        <v>228</v>
      </c>
      <c r="H991" s="2" t="s">
        <v>17</v>
      </c>
      <c r="I991" s="3" t="s">
        <v>28</v>
      </c>
      <c r="J991" s="2" t="s">
        <v>16</v>
      </c>
    </row>
    <row r="992" spans="1:10" ht="15.75" customHeight="1">
      <c r="A992" s="9">
        <v>2021</v>
      </c>
      <c r="B992" s="11" t="s">
        <v>261</v>
      </c>
      <c r="C992" s="11" t="s">
        <v>69</v>
      </c>
      <c r="D992" s="3" t="s">
        <v>70</v>
      </c>
      <c r="E992" s="2" t="s">
        <v>16</v>
      </c>
      <c r="F992" s="42">
        <v>2300000</v>
      </c>
      <c r="G992" s="11" t="s">
        <v>261</v>
      </c>
      <c r="H992" s="2" t="s">
        <v>262</v>
      </c>
      <c r="I992" s="3"/>
      <c r="J992" s="2" t="s">
        <v>16</v>
      </c>
    </row>
    <row r="993" spans="1:10" ht="15.75" customHeight="1">
      <c r="A993" s="9">
        <v>2021</v>
      </c>
      <c r="B993" s="11" t="s">
        <v>108</v>
      </c>
      <c r="C993" s="11" t="s">
        <v>105</v>
      </c>
      <c r="D993" s="3" t="s">
        <v>106</v>
      </c>
      <c r="E993" s="2" t="s">
        <v>16</v>
      </c>
      <c r="F993" s="42">
        <v>1590000</v>
      </c>
      <c r="G993" s="11" t="s">
        <v>108</v>
      </c>
      <c r="H993" s="2" t="s">
        <v>262</v>
      </c>
      <c r="I993" s="3"/>
      <c r="J993" s="2" t="s">
        <v>16</v>
      </c>
    </row>
    <row r="994" spans="1:10" ht="15.75" customHeight="1">
      <c r="A994" s="9">
        <v>2021</v>
      </c>
      <c r="B994" s="11" t="s">
        <v>243</v>
      </c>
      <c r="C994" s="11" t="s">
        <v>136</v>
      </c>
      <c r="D994" s="3"/>
      <c r="E994" s="2" t="s">
        <v>16</v>
      </c>
      <c r="F994" s="42">
        <v>1300000</v>
      </c>
      <c r="G994" s="11" t="s">
        <v>243</v>
      </c>
      <c r="H994" s="11" t="s">
        <v>263</v>
      </c>
      <c r="I994" s="3"/>
      <c r="J994" s="2" t="s">
        <v>16</v>
      </c>
    </row>
    <row r="995" spans="1:10" ht="15.75" customHeight="1">
      <c r="A995" s="9">
        <v>2021</v>
      </c>
      <c r="B995" s="11" t="s">
        <v>72</v>
      </c>
      <c r="C995" s="11" t="s">
        <v>264</v>
      </c>
      <c r="D995" s="3" t="s">
        <v>31</v>
      </c>
      <c r="E995" s="2" t="s">
        <v>16</v>
      </c>
      <c r="F995" s="42">
        <v>552000</v>
      </c>
      <c r="G995" s="11" t="s">
        <v>72</v>
      </c>
      <c r="H995" s="11" t="s">
        <v>263</v>
      </c>
      <c r="I995" s="3"/>
      <c r="J995" s="2" t="s">
        <v>16</v>
      </c>
    </row>
    <row r="996" spans="1:10" ht="15.75" customHeight="1">
      <c r="A996" s="9">
        <v>2021</v>
      </c>
      <c r="B996" s="11" t="s">
        <v>158</v>
      </c>
      <c r="C996" s="11" t="s">
        <v>157</v>
      </c>
      <c r="D996" s="3" t="s">
        <v>58</v>
      </c>
      <c r="E996" s="2" t="s">
        <v>16</v>
      </c>
      <c r="F996" s="42">
        <v>1951385</v>
      </c>
      <c r="G996" s="11" t="s">
        <v>158</v>
      </c>
      <c r="H996" s="11" t="s">
        <v>263</v>
      </c>
      <c r="I996" s="3"/>
      <c r="J996" s="2" t="s">
        <v>16</v>
      </c>
    </row>
    <row r="997" spans="1:10" ht="15.75" customHeight="1">
      <c r="A997" s="9">
        <v>2021</v>
      </c>
      <c r="B997" s="11" t="s">
        <v>257</v>
      </c>
      <c r="C997" s="11" t="s">
        <v>222</v>
      </c>
      <c r="D997" s="3" t="s">
        <v>223</v>
      </c>
      <c r="E997" s="2" t="s">
        <v>16</v>
      </c>
      <c r="F997" s="42">
        <v>7203586</v>
      </c>
      <c r="G997" s="11" t="s">
        <v>257</v>
      </c>
      <c r="H997" s="11" t="s">
        <v>263</v>
      </c>
      <c r="I997" s="3"/>
      <c r="J997" s="2" t="s">
        <v>16</v>
      </c>
    </row>
    <row r="998" spans="1:10" ht="15.75" customHeight="1">
      <c r="A998" s="9">
        <v>2021</v>
      </c>
      <c r="B998" s="11" t="s">
        <v>254</v>
      </c>
      <c r="C998" s="11" t="s">
        <v>255</v>
      </c>
      <c r="D998" s="3"/>
      <c r="E998" s="2" t="s">
        <v>16</v>
      </c>
      <c r="F998" s="42">
        <v>613667</v>
      </c>
      <c r="G998" s="11" t="s">
        <v>254</v>
      </c>
      <c r="H998" s="11" t="s">
        <v>263</v>
      </c>
      <c r="I998" s="3"/>
      <c r="J998" s="2" t="s">
        <v>16</v>
      </c>
    </row>
    <row r="999" spans="1:10" ht="15.75" customHeight="1">
      <c r="A999" s="9">
        <v>2021</v>
      </c>
      <c r="B999" s="11" t="s">
        <v>251</v>
      </c>
      <c r="C999" s="11" t="s">
        <v>188</v>
      </c>
      <c r="D999" s="3" t="s">
        <v>189</v>
      </c>
      <c r="E999" s="2" t="s">
        <v>16</v>
      </c>
      <c r="F999" s="42">
        <v>4105000</v>
      </c>
      <c r="G999" s="11" t="s">
        <v>251</v>
      </c>
      <c r="H999" s="11" t="s">
        <v>263</v>
      </c>
      <c r="I999" s="3"/>
      <c r="J999" s="2" t="s">
        <v>16</v>
      </c>
    </row>
    <row r="1000" spans="1:10" ht="15.75" customHeight="1">
      <c r="A1000" s="9">
        <v>2021</v>
      </c>
      <c r="B1000" s="11" t="s">
        <v>252</v>
      </c>
      <c r="C1000" s="11" t="s">
        <v>253</v>
      </c>
      <c r="D1000" s="3" t="s">
        <v>206</v>
      </c>
      <c r="E1000" s="2" t="s">
        <v>16</v>
      </c>
      <c r="F1000" s="42">
        <v>10316142</v>
      </c>
      <c r="G1000" s="11" t="s">
        <v>252</v>
      </c>
      <c r="H1000" s="11" t="s">
        <v>263</v>
      </c>
      <c r="I1000" s="3"/>
      <c r="J1000" s="2" t="s">
        <v>16</v>
      </c>
    </row>
    <row r="1001" spans="1:10" ht="15.75" customHeight="1">
      <c r="A1001" s="9">
        <v>2021</v>
      </c>
      <c r="B1001" s="11" t="s">
        <v>265</v>
      </c>
      <c r="C1001" s="11" t="s">
        <v>145</v>
      </c>
      <c r="D1001" s="3" t="s">
        <v>146</v>
      </c>
      <c r="E1001" s="2" t="s">
        <v>16</v>
      </c>
      <c r="F1001" s="42">
        <v>4900000</v>
      </c>
      <c r="G1001" s="11" t="s">
        <v>265</v>
      </c>
      <c r="H1001" s="11" t="s">
        <v>266</v>
      </c>
      <c r="I1001" s="3"/>
      <c r="J1001" s="2" t="s">
        <v>16</v>
      </c>
    </row>
    <row r="1002" spans="1:10" ht="15.75" customHeight="1">
      <c r="A1002" s="9">
        <v>2021</v>
      </c>
      <c r="B1002" s="11" t="s">
        <v>267</v>
      </c>
      <c r="C1002" s="11" t="s">
        <v>153</v>
      </c>
      <c r="D1002" s="3" t="s">
        <v>268</v>
      </c>
      <c r="E1002" s="2" t="s">
        <v>16</v>
      </c>
      <c r="F1002" s="42">
        <v>1700000</v>
      </c>
      <c r="G1002" s="11" t="s">
        <v>267</v>
      </c>
      <c r="H1002" s="2" t="s">
        <v>17</v>
      </c>
      <c r="I1002" s="3" t="s">
        <v>28</v>
      </c>
      <c r="J1002" s="2" t="s">
        <v>16</v>
      </c>
    </row>
    <row r="1003" spans="1:10" ht="15.75" customHeight="1">
      <c r="A1003" s="9">
        <v>2021</v>
      </c>
      <c r="B1003" s="11" t="s">
        <v>267</v>
      </c>
      <c r="C1003" s="11" t="s">
        <v>64</v>
      </c>
      <c r="D1003" s="3" t="s">
        <v>65</v>
      </c>
      <c r="E1003" s="2" t="s">
        <v>16</v>
      </c>
      <c r="F1003" s="42">
        <v>3800000</v>
      </c>
      <c r="G1003" s="11" t="s">
        <v>267</v>
      </c>
      <c r="H1003" s="2" t="s">
        <v>17</v>
      </c>
      <c r="I1003" s="3" t="s">
        <v>28</v>
      </c>
      <c r="J1003" s="2" t="s">
        <v>16</v>
      </c>
    </row>
    <row r="1004" spans="1:10" ht="15.75" customHeight="1">
      <c r="A1004" s="9">
        <v>2021</v>
      </c>
      <c r="B1004" s="11" t="s">
        <v>267</v>
      </c>
      <c r="C1004" s="11" t="s">
        <v>69</v>
      </c>
      <c r="D1004" s="3" t="s">
        <v>70</v>
      </c>
      <c r="E1004" s="2" t="s">
        <v>16</v>
      </c>
      <c r="F1004" s="42">
        <v>2800000</v>
      </c>
      <c r="G1004" s="11" t="s">
        <v>267</v>
      </c>
      <c r="H1004" s="2" t="s">
        <v>17</v>
      </c>
      <c r="I1004" s="3" t="s">
        <v>28</v>
      </c>
      <c r="J1004" s="2" t="s">
        <v>16</v>
      </c>
    </row>
    <row r="1005" spans="1:10" ht="15.75" customHeight="1">
      <c r="A1005" s="9">
        <v>2022</v>
      </c>
      <c r="B1005" s="11" t="s">
        <v>10</v>
      </c>
      <c r="C1005" s="11" t="s">
        <v>10</v>
      </c>
      <c r="D1005" s="3" t="s">
        <v>11</v>
      </c>
      <c r="E1005" s="2" t="s">
        <v>16</v>
      </c>
      <c r="F1005" s="42">
        <v>24380455</v>
      </c>
      <c r="G1005" s="11" t="s">
        <v>10</v>
      </c>
      <c r="H1005" s="34" t="s">
        <v>269</v>
      </c>
      <c r="I1005" s="3"/>
      <c r="J1005" s="2" t="s">
        <v>16</v>
      </c>
    </row>
    <row r="1006" spans="1:10" ht="15.75" customHeight="1">
      <c r="A1006" s="9">
        <v>2022</v>
      </c>
      <c r="B1006" s="11" t="s">
        <v>24</v>
      </c>
      <c r="C1006" s="11" t="s">
        <v>24</v>
      </c>
      <c r="D1006" s="3" t="s">
        <v>25</v>
      </c>
      <c r="E1006" s="2" t="s">
        <v>16</v>
      </c>
      <c r="F1006" s="42">
        <v>4889324</v>
      </c>
      <c r="G1006" s="11" t="s">
        <v>24</v>
      </c>
      <c r="H1006" s="11" t="s">
        <v>269</v>
      </c>
      <c r="I1006" s="3"/>
      <c r="J1006" s="2" t="s">
        <v>16</v>
      </c>
    </row>
    <row r="1007" spans="1:10" ht="15.75" customHeight="1">
      <c r="A1007" s="9">
        <v>2022</v>
      </c>
      <c r="B1007" s="11" t="s">
        <v>30</v>
      </c>
      <c r="C1007" s="11" t="s">
        <v>30</v>
      </c>
      <c r="D1007" s="3" t="s">
        <v>31</v>
      </c>
      <c r="E1007" s="2" t="s">
        <v>16</v>
      </c>
      <c r="F1007" s="42">
        <v>1795961</v>
      </c>
      <c r="G1007" s="11" t="s">
        <v>30</v>
      </c>
      <c r="H1007" s="11" t="s">
        <v>269</v>
      </c>
      <c r="I1007" s="3"/>
      <c r="J1007" s="2" t="s">
        <v>16</v>
      </c>
    </row>
    <row r="1008" spans="1:10" ht="15.75" customHeight="1">
      <c r="A1008" s="9">
        <v>2022</v>
      </c>
      <c r="B1008" s="11" t="s">
        <v>38</v>
      </c>
      <c r="C1008" s="11" t="s">
        <v>38</v>
      </c>
      <c r="D1008" s="3" t="s">
        <v>39</v>
      </c>
      <c r="E1008" s="2" t="s">
        <v>16</v>
      </c>
      <c r="F1008" s="42">
        <v>3934444</v>
      </c>
      <c r="G1008" s="11" t="s">
        <v>38</v>
      </c>
      <c r="H1008" s="11" t="s">
        <v>269</v>
      </c>
      <c r="I1008" s="3"/>
      <c r="J1008" s="2" t="s">
        <v>16</v>
      </c>
    </row>
    <row r="1009" spans="1:10" ht="15.75" customHeight="1">
      <c r="A1009" s="9">
        <v>2022</v>
      </c>
      <c r="B1009" s="11" t="s">
        <v>41</v>
      </c>
      <c r="C1009" s="11" t="s">
        <v>41</v>
      </c>
      <c r="D1009" s="3" t="s">
        <v>42</v>
      </c>
      <c r="E1009" s="2" t="s">
        <v>16</v>
      </c>
      <c r="F1009" s="42">
        <v>3053039</v>
      </c>
      <c r="G1009" s="11" t="s">
        <v>41</v>
      </c>
      <c r="H1009" s="11" t="s">
        <v>269</v>
      </c>
      <c r="I1009" s="3"/>
      <c r="J1009" s="2" t="s">
        <v>16</v>
      </c>
    </row>
    <row r="1010" spans="1:10" ht="15.75" customHeight="1">
      <c r="A1010" s="9">
        <v>2022</v>
      </c>
      <c r="B1010" s="11" t="s">
        <v>44</v>
      </c>
      <c r="C1010" s="11" t="s">
        <v>44</v>
      </c>
      <c r="D1010" s="3" t="s">
        <v>45</v>
      </c>
      <c r="E1010" s="2" t="s">
        <v>16</v>
      </c>
      <c r="F1010" s="42">
        <v>6149509</v>
      </c>
      <c r="G1010" s="11" t="s">
        <v>44</v>
      </c>
      <c r="H1010" s="11" t="s">
        <v>269</v>
      </c>
      <c r="I1010" s="3"/>
      <c r="J1010" s="2" t="s">
        <v>16</v>
      </c>
    </row>
    <row r="1011" spans="1:10" ht="15.75" customHeight="1">
      <c r="A1011" s="9">
        <v>2022</v>
      </c>
      <c r="B1011" s="11" t="s">
        <v>80</v>
      </c>
      <c r="C1011" s="11" t="s">
        <v>80</v>
      </c>
      <c r="D1011" s="3" t="s">
        <v>81</v>
      </c>
      <c r="E1011" s="2" t="s">
        <v>16</v>
      </c>
      <c r="F1011" s="42">
        <v>7693945</v>
      </c>
      <c r="G1011" s="11" t="s">
        <v>80</v>
      </c>
      <c r="H1011" s="11" t="s">
        <v>269</v>
      </c>
      <c r="I1011" s="3"/>
      <c r="J1011" s="2" t="s">
        <v>16</v>
      </c>
    </row>
    <row r="1012" spans="1:10" ht="15.75" customHeight="1">
      <c r="A1012" s="9">
        <v>2022</v>
      </c>
      <c r="B1012" s="11" t="s">
        <v>57</v>
      </c>
      <c r="C1012" s="11" t="s">
        <v>57</v>
      </c>
      <c r="D1012" s="3" t="s">
        <v>58</v>
      </c>
      <c r="E1012" s="2" t="s">
        <v>16</v>
      </c>
      <c r="F1012" s="42">
        <v>27026244</v>
      </c>
      <c r="G1012" s="11" t="s">
        <v>57</v>
      </c>
      <c r="H1012" s="11" t="s">
        <v>269</v>
      </c>
      <c r="I1012" s="3"/>
      <c r="J1012" s="2" t="s">
        <v>16</v>
      </c>
    </row>
    <row r="1013" spans="1:10" ht="15.75" customHeight="1">
      <c r="A1013" s="9">
        <v>2022</v>
      </c>
      <c r="B1013" s="11" t="s">
        <v>153</v>
      </c>
      <c r="C1013" s="11" t="s">
        <v>153</v>
      </c>
      <c r="D1013" s="3" t="s">
        <v>268</v>
      </c>
      <c r="E1013" s="2" t="s">
        <v>16</v>
      </c>
      <c r="F1013" s="42">
        <v>1700000</v>
      </c>
      <c r="G1013" s="11" t="s">
        <v>153</v>
      </c>
      <c r="H1013" s="11" t="s">
        <v>269</v>
      </c>
      <c r="I1013" s="3"/>
      <c r="J1013" s="2" t="s">
        <v>16</v>
      </c>
    </row>
    <row r="1014" spans="1:10" ht="15.75" customHeight="1">
      <c r="A1014" s="9">
        <v>2022</v>
      </c>
      <c r="B1014" s="11" t="s">
        <v>78</v>
      </c>
      <c r="C1014" s="11" t="s">
        <v>78</v>
      </c>
      <c r="D1014" s="3" t="s">
        <v>79</v>
      </c>
      <c r="E1014" s="2" t="s">
        <v>16</v>
      </c>
      <c r="F1014" s="42">
        <v>20000000</v>
      </c>
      <c r="G1014" s="11" t="s">
        <v>78</v>
      </c>
      <c r="H1014" s="11" t="s">
        <v>269</v>
      </c>
      <c r="I1014" s="3"/>
      <c r="J1014" s="2" t="s">
        <v>16</v>
      </c>
    </row>
    <row r="1015" spans="1:10" ht="15.75" customHeight="1">
      <c r="A1015" s="9">
        <v>2022</v>
      </c>
      <c r="B1015" s="11" t="s">
        <v>64</v>
      </c>
      <c r="C1015" s="11" t="s">
        <v>64</v>
      </c>
      <c r="D1015" s="3" t="s">
        <v>65</v>
      </c>
      <c r="E1015" s="2" t="s">
        <v>16</v>
      </c>
      <c r="F1015" s="42">
        <v>3800000</v>
      </c>
      <c r="G1015" s="11" t="s">
        <v>64</v>
      </c>
      <c r="H1015" s="11" t="s">
        <v>269</v>
      </c>
      <c r="I1015" s="3"/>
      <c r="J1015" s="2" t="s">
        <v>16</v>
      </c>
    </row>
    <row r="1016" spans="1:10" ht="15.75" customHeight="1">
      <c r="A1016" s="9">
        <v>2022</v>
      </c>
      <c r="B1016" s="11" t="s">
        <v>82</v>
      </c>
      <c r="C1016" s="11" t="s">
        <v>82</v>
      </c>
      <c r="D1016" s="3" t="s">
        <v>83</v>
      </c>
      <c r="E1016" s="2" t="s">
        <v>16</v>
      </c>
      <c r="F1016" s="42">
        <v>4896979</v>
      </c>
      <c r="G1016" s="11" t="s">
        <v>82</v>
      </c>
      <c r="H1016" s="11" t="s">
        <v>269</v>
      </c>
      <c r="I1016" s="3"/>
      <c r="J1016" s="2" t="s">
        <v>16</v>
      </c>
    </row>
    <row r="1017" spans="1:10" ht="15.75" customHeight="1">
      <c r="A1017" s="9">
        <v>2022</v>
      </c>
      <c r="B1017" s="11" t="s">
        <v>69</v>
      </c>
      <c r="C1017" s="11" t="s">
        <v>69</v>
      </c>
      <c r="D1017" s="3" t="s">
        <v>70</v>
      </c>
      <c r="E1017" s="2" t="s">
        <v>16</v>
      </c>
      <c r="F1017" s="42">
        <v>2800000</v>
      </c>
      <c r="G1017" s="11" t="s">
        <v>69</v>
      </c>
      <c r="H1017" s="11" t="s">
        <v>269</v>
      </c>
      <c r="I1017" s="3"/>
      <c r="J1017" s="2" t="s">
        <v>16</v>
      </c>
    </row>
    <row r="1018" spans="1:10" ht="15.75" customHeight="1">
      <c r="A1018" s="9">
        <v>2022</v>
      </c>
      <c r="B1018" s="11" t="s">
        <v>96</v>
      </c>
      <c r="C1018" s="11" t="s">
        <v>96</v>
      </c>
      <c r="D1018" s="3" t="s">
        <v>97</v>
      </c>
      <c r="E1018" s="2" t="s">
        <v>16</v>
      </c>
      <c r="F1018" s="42">
        <v>2454198</v>
      </c>
      <c r="G1018" s="11" t="s">
        <v>96</v>
      </c>
      <c r="H1018" s="11" t="s">
        <v>269</v>
      </c>
      <c r="I1018" s="3"/>
      <c r="J1018" s="2" t="s">
        <v>16</v>
      </c>
    </row>
    <row r="1019" spans="1:10" ht="15.75" customHeight="1">
      <c r="A1019" s="9">
        <v>2022</v>
      </c>
      <c r="B1019" s="11" t="s">
        <v>115</v>
      </c>
      <c r="C1019" s="11" t="s">
        <v>115</v>
      </c>
      <c r="D1019" s="3" t="s">
        <v>116</v>
      </c>
      <c r="E1019" s="2" t="s">
        <v>16</v>
      </c>
      <c r="F1019" s="42">
        <v>803587</v>
      </c>
      <c r="G1019" s="11" t="s">
        <v>115</v>
      </c>
      <c r="H1019" s="11" t="s">
        <v>269</v>
      </c>
      <c r="I1019" s="3"/>
      <c r="J1019" s="2" t="s">
        <v>16</v>
      </c>
    </row>
    <row r="1020" spans="1:10" ht="15.75" customHeight="1">
      <c r="A1020" s="9">
        <v>2022</v>
      </c>
      <c r="B1020" s="11" t="s">
        <v>129</v>
      </c>
      <c r="C1020" s="11" t="s">
        <v>129</v>
      </c>
      <c r="D1020" s="3" t="s">
        <v>130</v>
      </c>
      <c r="E1020" s="2" t="s">
        <v>16</v>
      </c>
      <c r="F1020" s="42">
        <v>7522833</v>
      </c>
      <c r="G1020" s="11" t="s">
        <v>129</v>
      </c>
      <c r="H1020" s="11" t="s">
        <v>269</v>
      </c>
      <c r="I1020" s="3"/>
      <c r="J1020" s="2" t="s">
        <v>16</v>
      </c>
    </row>
    <row r="1021" spans="1:10" ht="15.75" customHeight="1">
      <c r="A1021" s="9">
        <v>2022</v>
      </c>
      <c r="B1021" s="11" t="s">
        <v>123</v>
      </c>
      <c r="C1021" s="11" t="s">
        <v>123</v>
      </c>
      <c r="D1021" s="3" t="s">
        <v>124</v>
      </c>
      <c r="E1021" s="2" t="s">
        <v>16</v>
      </c>
      <c r="F1021" s="42">
        <v>1533924</v>
      </c>
      <c r="G1021" s="11" t="s">
        <v>123</v>
      </c>
      <c r="H1021" s="11" t="s">
        <v>269</v>
      </c>
      <c r="I1021" s="3"/>
      <c r="J1021" s="2" t="s">
        <v>16</v>
      </c>
    </row>
    <row r="1022" spans="1:10" ht="15.75" customHeight="1">
      <c r="A1022" s="9">
        <v>2022</v>
      </c>
      <c r="B1022" s="11" t="s">
        <v>136</v>
      </c>
      <c r="C1022" s="11" t="s">
        <v>136</v>
      </c>
      <c r="D1022" s="3" t="s">
        <v>137</v>
      </c>
      <c r="E1022" s="2" t="s">
        <v>16</v>
      </c>
      <c r="F1022" s="42">
        <v>14369336</v>
      </c>
      <c r="G1022" s="11" t="s">
        <v>136</v>
      </c>
      <c r="H1022" s="11" t="s">
        <v>269</v>
      </c>
      <c r="I1022" s="3"/>
      <c r="J1022" s="2" t="s">
        <v>16</v>
      </c>
    </row>
    <row r="1023" spans="1:10" ht="15.75" customHeight="1">
      <c r="A1023" s="9">
        <v>2022</v>
      </c>
      <c r="B1023" s="11" t="s">
        <v>143</v>
      </c>
      <c r="C1023" s="11" t="s">
        <v>143</v>
      </c>
      <c r="D1023" s="3" t="s">
        <v>144</v>
      </c>
      <c r="E1023" s="2" t="s">
        <v>16</v>
      </c>
      <c r="F1023" s="42">
        <v>3654445</v>
      </c>
      <c r="G1023" s="11" t="s">
        <v>143</v>
      </c>
      <c r="H1023" s="11" t="s">
        <v>269</v>
      </c>
      <c r="I1023" s="3"/>
      <c r="J1023" s="2" t="s">
        <v>16</v>
      </c>
    </row>
    <row r="1024" spans="1:10" ht="15.75" customHeight="1">
      <c r="A1024" s="9">
        <v>2022</v>
      </c>
      <c r="B1024" s="11" t="s">
        <v>155</v>
      </c>
      <c r="C1024" s="11" t="s">
        <v>155</v>
      </c>
      <c r="D1024" s="3" t="s">
        <v>156</v>
      </c>
      <c r="E1024" s="2" t="s">
        <v>16</v>
      </c>
      <c r="F1024" s="42">
        <v>8364426</v>
      </c>
      <c r="G1024" s="11" t="s">
        <v>155</v>
      </c>
      <c r="H1024" s="11" t="s">
        <v>269</v>
      </c>
      <c r="I1024" s="3"/>
      <c r="J1024" s="2" t="s">
        <v>16</v>
      </c>
    </row>
    <row r="1025" spans="1:10" ht="15.75" customHeight="1">
      <c r="A1025" s="9">
        <v>2022</v>
      </c>
      <c r="B1025" s="11" t="s">
        <v>270</v>
      </c>
      <c r="C1025" s="11" t="s">
        <v>270</v>
      </c>
      <c r="D1025" s="3" t="s">
        <v>164</v>
      </c>
      <c r="E1025" s="2" t="s">
        <v>16</v>
      </c>
      <c r="F1025" s="42">
        <v>2075542</v>
      </c>
      <c r="G1025" s="11" t="s">
        <v>270</v>
      </c>
      <c r="H1025" s="11" t="s">
        <v>269</v>
      </c>
      <c r="I1025" s="3"/>
      <c r="J1025" s="2" t="s">
        <v>16</v>
      </c>
    </row>
    <row r="1026" spans="1:10" ht="15.75" customHeight="1">
      <c r="A1026" s="9">
        <v>2022</v>
      </c>
      <c r="B1026" s="11" t="s">
        <v>185</v>
      </c>
      <c r="C1026" s="11" t="s">
        <v>185</v>
      </c>
      <c r="D1026" s="3" t="s">
        <v>186</v>
      </c>
      <c r="E1026" s="2" t="s">
        <v>16</v>
      </c>
      <c r="F1026" s="42">
        <v>7846888</v>
      </c>
      <c r="G1026" s="11" t="s">
        <v>185</v>
      </c>
      <c r="H1026" s="11" t="s">
        <v>269</v>
      </c>
      <c r="I1026" s="3"/>
      <c r="J1026" s="2" t="s">
        <v>16</v>
      </c>
    </row>
    <row r="1027" spans="1:10" ht="15.75" customHeight="1">
      <c r="A1027" s="9">
        <v>2022</v>
      </c>
      <c r="B1027" s="11" t="s">
        <v>188</v>
      </c>
      <c r="C1027" s="11" t="s">
        <v>188</v>
      </c>
      <c r="D1027" s="3" t="s">
        <v>189</v>
      </c>
      <c r="E1027" s="2" t="s">
        <v>16</v>
      </c>
      <c r="F1027" s="42">
        <v>8872746</v>
      </c>
      <c r="G1027" s="11" t="s">
        <v>188</v>
      </c>
      <c r="H1027" s="11" t="s">
        <v>269</v>
      </c>
      <c r="I1027" s="3"/>
      <c r="J1027" s="2" t="s">
        <v>16</v>
      </c>
    </row>
    <row r="1028" spans="1:10" ht="15.75" customHeight="1">
      <c r="A1028" s="9">
        <v>2022</v>
      </c>
      <c r="B1028" s="11" t="s">
        <v>203</v>
      </c>
      <c r="C1028" s="11" t="s">
        <v>203</v>
      </c>
      <c r="D1028" s="3" t="s">
        <v>204</v>
      </c>
      <c r="E1028" s="2" t="s">
        <v>16</v>
      </c>
      <c r="F1028" s="42">
        <v>14257653</v>
      </c>
      <c r="G1028" s="11" t="s">
        <v>203</v>
      </c>
      <c r="H1028" s="11" t="s">
        <v>269</v>
      </c>
      <c r="I1028" s="3"/>
      <c r="J1028" s="2" t="s">
        <v>16</v>
      </c>
    </row>
    <row r="1029" spans="1:10" ht="15.75" customHeight="1">
      <c r="A1029" s="9">
        <v>2022</v>
      </c>
      <c r="B1029" s="11" t="s">
        <v>271</v>
      </c>
      <c r="C1029" s="11" t="s">
        <v>271</v>
      </c>
      <c r="D1029" s="3" t="s">
        <v>206</v>
      </c>
      <c r="E1029" s="2" t="s">
        <v>16</v>
      </c>
      <c r="F1029" s="42">
        <v>14560823</v>
      </c>
      <c r="G1029" s="11" t="s">
        <v>271</v>
      </c>
      <c r="H1029" s="11" t="s">
        <v>269</v>
      </c>
      <c r="I1029" s="3"/>
      <c r="J1029" s="2" t="s">
        <v>16</v>
      </c>
    </row>
    <row r="1030" spans="1:10" ht="15.75" customHeight="1">
      <c r="A1030" s="9">
        <v>2022</v>
      </c>
      <c r="B1030" s="11" t="s">
        <v>222</v>
      </c>
      <c r="C1030" s="11" t="s">
        <v>222</v>
      </c>
      <c r="D1030" s="3" t="s">
        <v>223</v>
      </c>
      <c r="E1030" s="2" t="s">
        <v>16</v>
      </c>
      <c r="F1030" s="42">
        <v>7000000</v>
      </c>
      <c r="G1030" s="11" t="s">
        <v>222</v>
      </c>
      <c r="H1030" s="11" t="s">
        <v>269</v>
      </c>
      <c r="I1030" s="3"/>
      <c r="J1030" s="2" t="s">
        <v>16</v>
      </c>
    </row>
    <row r="1031" spans="1:10" ht="15.75" customHeight="1">
      <c r="A1031" s="9">
        <v>2022</v>
      </c>
      <c r="B1031" s="11" t="s">
        <v>225</v>
      </c>
      <c r="C1031" s="11" t="s">
        <v>225</v>
      </c>
      <c r="D1031" s="3" t="s">
        <v>226</v>
      </c>
      <c r="E1031" s="2" t="s">
        <v>16</v>
      </c>
      <c r="F1031" s="42">
        <v>23458603</v>
      </c>
      <c r="G1031" s="11" t="s">
        <v>225</v>
      </c>
      <c r="H1031" s="11" t="s">
        <v>269</v>
      </c>
      <c r="I1031" s="3"/>
      <c r="J1031" s="2" t="s">
        <v>16</v>
      </c>
    </row>
    <row r="1032" spans="1:10" ht="15.75" customHeight="1">
      <c r="A1032" s="9">
        <v>2022</v>
      </c>
      <c r="B1032" s="11" t="s">
        <v>82</v>
      </c>
      <c r="C1032" s="11" t="s">
        <v>82</v>
      </c>
      <c r="D1032" s="3" t="s">
        <v>83</v>
      </c>
      <c r="E1032" s="2" t="s">
        <v>16</v>
      </c>
      <c r="F1032" s="42">
        <v>1600000</v>
      </c>
      <c r="G1032" s="11" t="s">
        <v>82</v>
      </c>
      <c r="H1032" s="11" t="s">
        <v>272</v>
      </c>
      <c r="I1032" s="3"/>
      <c r="J1032" s="2" t="s">
        <v>16</v>
      </c>
    </row>
    <row r="1033" spans="1:10" ht="15.75" customHeight="1">
      <c r="A1033" s="9">
        <v>2022</v>
      </c>
      <c r="B1033" s="11" t="s">
        <v>112</v>
      </c>
      <c r="C1033" s="11" t="s">
        <v>112</v>
      </c>
      <c r="D1033" s="3" t="s">
        <v>113</v>
      </c>
      <c r="E1033" s="2" t="s">
        <v>16</v>
      </c>
      <c r="F1033" s="42">
        <v>4460065</v>
      </c>
      <c r="G1033" s="11" t="s">
        <v>112</v>
      </c>
      <c r="H1033" s="11" t="s">
        <v>272</v>
      </c>
      <c r="I1033" s="3"/>
      <c r="J1033" s="2" t="s">
        <v>16</v>
      </c>
    </row>
    <row r="1034" spans="1:10" ht="15.75" customHeight="1">
      <c r="A1034" s="9">
        <v>2022</v>
      </c>
      <c r="B1034" s="11" t="s">
        <v>105</v>
      </c>
      <c r="C1034" s="11" t="s">
        <v>105</v>
      </c>
      <c r="D1034" s="3" t="s">
        <v>106</v>
      </c>
      <c r="E1034" s="2" t="s">
        <v>16</v>
      </c>
      <c r="F1034" s="42">
        <v>3300000</v>
      </c>
      <c r="G1034" s="11" t="s">
        <v>105</v>
      </c>
      <c r="H1034" s="11" t="s">
        <v>272</v>
      </c>
      <c r="I1034" s="3"/>
      <c r="J1034" s="2" t="s">
        <v>16</v>
      </c>
    </row>
    <row r="1035" spans="1:10" ht="15.75" customHeight="1">
      <c r="A1035" s="9">
        <v>2022</v>
      </c>
      <c r="B1035" s="11" t="s">
        <v>273</v>
      </c>
      <c r="C1035" s="11" t="s">
        <v>273</v>
      </c>
      <c r="D1035" s="3" t="s">
        <v>274</v>
      </c>
      <c r="E1035" s="2" t="s">
        <v>16</v>
      </c>
      <c r="F1035" s="42">
        <v>679919</v>
      </c>
      <c r="G1035" s="11" t="s">
        <v>273</v>
      </c>
      <c r="H1035" s="11" t="s">
        <v>272</v>
      </c>
      <c r="I1035" s="3"/>
      <c r="J1035" s="2" t="s">
        <v>16</v>
      </c>
    </row>
    <row r="1036" spans="1:10" ht="15.75" customHeight="1">
      <c r="A1036" s="9">
        <v>2022</v>
      </c>
      <c r="B1036" s="11" t="s">
        <v>123</v>
      </c>
      <c r="C1036" s="11" t="s">
        <v>123</v>
      </c>
      <c r="D1036" s="3" t="s">
        <v>124</v>
      </c>
      <c r="E1036" s="2" t="s">
        <v>16</v>
      </c>
      <c r="F1036" s="42">
        <v>599386</v>
      </c>
      <c r="G1036" s="11" t="s">
        <v>123</v>
      </c>
      <c r="H1036" s="11" t="s">
        <v>272</v>
      </c>
      <c r="I1036" s="3"/>
      <c r="J1036" s="2" t="s">
        <v>16</v>
      </c>
    </row>
    <row r="1037" spans="1:10" ht="15.75" customHeight="1">
      <c r="A1037" s="9">
        <v>2022</v>
      </c>
      <c r="B1037" s="11" t="s">
        <v>218</v>
      </c>
      <c r="C1037" s="11" t="s">
        <v>218</v>
      </c>
      <c r="D1037" s="3" t="s">
        <v>219</v>
      </c>
      <c r="E1037" s="2" t="s">
        <v>16</v>
      </c>
      <c r="F1037" s="42">
        <v>17700000</v>
      </c>
      <c r="G1037" s="11" t="s">
        <v>218</v>
      </c>
      <c r="H1037" s="11" t="s">
        <v>272</v>
      </c>
      <c r="I1037" s="3"/>
      <c r="J1037" s="2" t="s">
        <v>16</v>
      </c>
    </row>
    <row r="1038" spans="1:10" ht="15.75" customHeight="1">
      <c r="A1038" s="9">
        <v>2022</v>
      </c>
      <c r="B1038" s="11" t="s">
        <v>10</v>
      </c>
      <c r="C1038" s="11" t="s">
        <v>10</v>
      </c>
      <c r="D1038" s="3" t="s">
        <v>11</v>
      </c>
      <c r="E1038" s="2" t="s">
        <v>16</v>
      </c>
      <c r="F1038" s="42">
        <v>5702498</v>
      </c>
      <c r="G1038" s="11" t="s">
        <v>10</v>
      </c>
      <c r="H1038" s="11" t="s">
        <v>275</v>
      </c>
      <c r="I1038" s="3"/>
      <c r="J1038" s="2" t="s">
        <v>16</v>
      </c>
    </row>
    <row r="1039" spans="1:10" ht="15.75" customHeight="1">
      <c r="A1039" s="9">
        <v>2022</v>
      </c>
      <c r="B1039" s="11" t="s">
        <v>57</v>
      </c>
      <c r="C1039" s="11" t="s">
        <v>57</v>
      </c>
      <c r="D1039" s="3" t="s">
        <v>58</v>
      </c>
      <c r="E1039" s="2" t="s">
        <v>16</v>
      </c>
      <c r="F1039" s="42">
        <v>1217000</v>
      </c>
      <c r="G1039" s="11" t="s">
        <v>57</v>
      </c>
      <c r="H1039" s="11" t="s">
        <v>275</v>
      </c>
      <c r="I1039" s="3"/>
      <c r="J1039" s="2" t="s">
        <v>16</v>
      </c>
    </row>
    <row r="1040" spans="1:10" ht="15.75" customHeight="1">
      <c r="A1040" s="9">
        <v>2022</v>
      </c>
      <c r="B1040" s="11" t="s">
        <v>276</v>
      </c>
      <c r="C1040" s="11" t="s">
        <v>136</v>
      </c>
      <c r="D1040" s="3" t="s">
        <v>137</v>
      </c>
      <c r="E1040" s="2" t="s">
        <v>16</v>
      </c>
      <c r="F1040" s="42">
        <v>1459862</v>
      </c>
      <c r="G1040" s="11" t="s">
        <v>276</v>
      </c>
      <c r="H1040" s="11" t="s">
        <v>275</v>
      </c>
      <c r="I1040" s="3"/>
      <c r="J1040" s="2" t="s">
        <v>16</v>
      </c>
    </row>
    <row r="1041" spans="1:10" ht="15.75" customHeight="1">
      <c r="A1041" s="9">
        <v>2022</v>
      </c>
      <c r="B1041" s="11" t="s">
        <v>188</v>
      </c>
      <c r="C1041" s="11" t="s">
        <v>188</v>
      </c>
      <c r="D1041" s="3" t="s">
        <v>189</v>
      </c>
      <c r="E1041" s="2" t="s">
        <v>16</v>
      </c>
      <c r="F1041" s="42">
        <v>2560600</v>
      </c>
      <c r="G1041" s="11" t="s">
        <v>188</v>
      </c>
      <c r="H1041" s="11" t="s">
        <v>275</v>
      </c>
      <c r="I1041" s="3"/>
      <c r="J1041" s="2" t="s">
        <v>16</v>
      </c>
    </row>
    <row r="1042" spans="1:10" ht="15.75" customHeight="1">
      <c r="A1042" s="9">
        <v>2022</v>
      </c>
      <c r="B1042" s="11" t="s">
        <v>277</v>
      </c>
      <c r="C1042" s="11" t="s">
        <v>271</v>
      </c>
      <c r="D1042" s="3" t="s">
        <v>206</v>
      </c>
      <c r="E1042" s="2" t="s">
        <v>16</v>
      </c>
      <c r="F1042" s="42">
        <v>20111553</v>
      </c>
      <c r="G1042" s="11" t="s">
        <v>277</v>
      </c>
      <c r="H1042" s="11" t="s">
        <v>275</v>
      </c>
      <c r="I1042" s="3"/>
      <c r="J1042" s="2" t="s">
        <v>16</v>
      </c>
    </row>
    <row r="1043" spans="1:10" ht="15.75" customHeight="1">
      <c r="A1043" s="9">
        <v>2022</v>
      </c>
      <c r="B1043" s="11" t="s">
        <v>254</v>
      </c>
      <c r="C1043" s="11" t="s">
        <v>255</v>
      </c>
      <c r="D1043" s="3"/>
      <c r="E1043" s="2" t="s">
        <v>16</v>
      </c>
      <c r="F1043" s="42">
        <v>303804</v>
      </c>
      <c r="G1043" s="11" t="s">
        <v>254</v>
      </c>
      <c r="H1043" s="11" t="s">
        <v>275</v>
      </c>
      <c r="I1043" s="3"/>
      <c r="J1043" s="2" t="s">
        <v>16</v>
      </c>
    </row>
    <row r="1044" spans="1:10" ht="15.75" customHeight="1">
      <c r="A1044" s="9">
        <v>2022</v>
      </c>
      <c r="B1044" s="11" t="s">
        <v>218</v>
      </c>
      <c r="C1044" s="11" t="s">
        <v>218</v>
      </c>
      <c r="D1044" s="3" t="s">
        <v>219</v>
      </c>
      <c r="E1044" s="2" t="s">
        <v>16</v>
      </c>
      <c r="F1044" s="42">
        <v>5186744</v>
      </c>
      <c r="G1044" s="11" t="s">
        <v>218</v>
      </c>
      <c r="H1044" s="11" t="s">
        <v>275</v>
      </c>
      <c r="I1044" s="3"/>
      <c r="J1044" s="2" t="s">
        <v>16</v>
      </c>
    </row>
    <row r="1045" spans="1:10" ht="15.75" customHeight="1">
      <c r="A1045" s="9">
        <v>2022</v>
      </c>
      <c r="B1045" s="11" t="s">
        <v>257</v>
      </c>
      <c r="C1045" s="11" t="s">
        <v>222</v>
      </c>
      <c r="D1045" s="3" t="s">
        <v>223</v>
      </c>
      <c r="E1045" s="2" t="s">
        <v>16</v>
      </c>
      <c r="F1045" s="42">
        <v>8859400</v>
      </c>
      <c r="G1045" s="11" t="s">
        <v>257</v>
      </c>
      <c r="H1045" s="11" t="s">
        <v>275</v>
      </c>
      <c r="I1045" s="3"/>
      <c r="J1045" s="2" t="s">
        <v>16</v>
      </c>
    </row>
    <row r="1046" spans="1:10" ht="15.75" customHeight="1">
      <c r="A1046" s="9">
        <v>2022</v>
      </c>
      <c r="B1046" s="11" t="s">
        <v>278</v>
      </c>
      <c r="C1046" s="11" t="s">
        <v>194</v>
      </c>
      <c r="D1046" s="3" t="s">
        <v>195</v>
      </c>
      <c r="E1046" s="2" t="s">
        <v>16</v>
      </c>
      <c r="F1046" s="42">
        <v>2500000</v>
      </c>
      <c r="G1046" s="11" t="s">
        <v>278</v>
      </c>
      <c r="H1046" s="11" t="s">
        <v>22</v>
      </c>
      <c r="I1046" s="3"/>
      <c r="J1046" s="2" t="s">
        <v>16</v>
      </c>
    </row>
    <row r="1047" spans="1:10" ht="15.75" customHeight="1">
      <c r="A1047" s="9">
        <v>2022</v>
      </c>
      <c r="B1047" s="11" t="s">
        <v>168</v>
      </c>
      <c r="C1047" s="11" t="s">
        <v>168</v>
      </c>
      <c r="D1047" s="3" t="s">
        <v>169</v>
      </c>
      <c r="E1047" s="2" t="s">
        <v>16</v>
      </c>
      <c r="F1047" s="42">
        <v>20605258</v>
      </c>
      <c r="G1047" s="11" t="s">
        <v>168</v>
      </c>
      <c r="H1047" s="11" t="s">
        <v>22</v>
      </c>
      <c r="I1047" s="3"/>
      <c r="J1047" s="2" t="s">
        <v>16</v>
      </c>
    </row>
    <row r="1048" spans="1:10" ht="15.75" customHeight="1">
      <c r="A1048" s="9">
        <v>2022</v>
      </c>
      <c r="B1048" s="11" t="s">
        <v>50</v>
      </c>
      <c r="C1048" s="11" t="s">
        <v>50</v>
      </c>
      <c r="D1048" s="3" t="s">
        <v>51</v>
      </c>
      <c r="E1048" s="2" t="s">
        <v>16</v>
      </c>
      <c r="F1048" s="42">
        <v>1090000</v>
      </c>
      <c r="G1048" s="11" t="s">
        <v>50</v>
      </c>
      <c r="H1048" s="11" t="s">
        <v>279</v>
      </c>
      <c r="I1048" s="3"/>
      <c r="J1048" s="2" t="s">
        <v>16</v>
      </c>
    </row>
    <row r="1049" spans="1:10" ht="15.75" customHeight="1">
      <c r="A1049" s="9">
        <v>2022</v>
      </c>
      <c r="B1049" s="11" t="s">
        <v>174</v>
      </c>
      <c r="C1049" s="11" t="s">
        <v>174</v>
      </c>
      <c r="D1049" s="3" t="s">
        <v>175</v>
      </c>
      <c r="E1049" s="2" t="s">
        <v>16</v>
      </c>
      <c r="F1049" s="42">
        <v>2400000</v>
      </c>
      <c r="G1049" s="11" t="s">
        <v>174</v>
      </c>
      <c r="H1049" s="11" t="s">
        <v>279</v>
      </c>
      <c r="I1049" s="3"/>
      <c r="J1049" s="2" t="s">
        <v>16</v>
      </c>
    </row>
    <row r="1050" spans="1:10" ht="15.75" customHeight="1">
      <c r="A1050" s="9">
        <v>2022</v>
      </c>
      <c r="B1050" s="11" t="s">
        <v>99</v>
      </c>
      <c r="C1050" s="11" t="s">
        <v>99</v>
      </c>
      <c r="D1050" s="3" t="s">
        <v>100</v>
      </c>
      <c r="E1050" s="2" t="s">
        <v>16</v>
      </c>
      <c r="F1050" s="42">
        <v>6992137</v>
      </c>
      <c r="G1050" s="11" t="s">
        <v>99</v>
      </c>
      <c r="H1050" s="11" t="s">
        <v>279</v>
      </c>
      <c r="I1050" s="3"/>
      <c r="J1050" s="2" t="s">
        <v>16</v>
      </c>
    </row>
    <row r="1051" spans="1:10" ht="15.75" customHeight="1">
      <c r="A1051" s="9">
        <v>2022</v>
      </c>
      <c r="B1051" s="11" t="s">
        <v>10</v>
      </c>
      <c r="C1051" s="11" t="s">
        <v>10</v>
      </c>
      <c r="D1051" s="3" t="s">
        <v>11</v>
      </c>
      <c r="E1051" s="2" t="s">
        <v>15</v>
      </c>
      <c r="F1051" s="42">
        <v>4442200000</v>
      </c>
      <c r="G1051" s="11" t="s">
        <v>10</v>
      </c>
      <c r="H1051" s="11" t="s">
        <v>269</v>
      </c>
      <c r="I1051" s="3"/>
      <c r="J1051" s="2" t="s">
        <v>15</v>
      </c>
    </row>
    <row r="1052" spans="1:10" ht="15.75" customHeight="1">
      <c r="A1052" s="9">
        <v>2022</v>
      </c>
      <c r="B1052" s="11" t="s">
        <v>24</v>
      </c>
      <c r="C1052" s="11" t="s">
        <v>24</v>
      </c>
      <c r="D1052" s="3" t="s">
        <v>25</v>
      </c>
      <c r="E1052" s="2" t="s">
        <v>15</v>
      </c>
      <c r="F1052" s="42">
        <v>805099698</v>
      </c>
      <c r="G1052" s="11" t="s">
        <v>24</v>
      </c>
      <c r="H1052" s="11" t="s">
        <v>269</v>
      </c>
      <c r="I1052" s="3"/>
      <c r="J1052" s="2" t="s">
        <v>15</v>
      </c>
    </row>
    <row r="1053" spans="1:10" ht="15.75" customHeight="1">
      <c r="A1053" s="9">
        <v>2022</v>
      </c>
      <c r="B1053" s="11" t="s">
        <v>30</v>
      </c>
      <c r="C1053" s="11" t="s">
        <v>30</v>
      </c>
      <c r="D1053" s="3" t="s">
        <v>31</v>
      </c>
      <c r="E1053" s="2" t="s">
        <v>15</v>
      </c>
      <c r="F1053" s="42">
        <v>182414025</v>
      </c>
      <c r="G1053" s="11" t="s">
        <v>30</v>
      </c>
      <c r="H1053" s="11" t="s">
        <v>269</v>
      </c>
      <c r="I1053" s="3"/>
      <c r="J1053" s="2" t="s">
        <v>15</v>
      </c>
    </row>
    <row r="1054" spans="1:10" ht="15.75" customHeight="1">
      <c r="A1054" s="9">
        <v>2022</v>
      </c>
      <c r="B1054" s="11" t="s">
        <v>38</v>
      </c>
      <c r="C1054" s="11" t="s">
        <v>38</v>
      </c>
      <c r="D1054" s="3" t="s">
        <v>39</v>
      </c>
      <c r="E1054" s="2" t="s">
        <v>15</v>
      </c>
      <c r="F1054" s="42">
        <v>376046051</v>
      </c>
      <c r="G1054" s="11" t="s">
        <v>38</v>
      </c>
      <c r="H1054" s="11" t="s">
        <v>269</v>
      </c>
      <c r="I1054" s="3"/>
      <c r="J1054" s="2" t="s">
        <v>15</v>
      </c>
    </row>
    <row r="1055" spans="1:10" ht="15.75" customHeight="1">
      <c r="A1055" s="9">
        <v>2022</v>
      </c>
      <c r="B1055" s="11" t="s">
        <v>41</v>
      </c>
      <c r="C1055" s="11" t="s">
        <v>41</v>
      </c>
      <c r="D1055" s="3" t="s">
        <v>42</v>
      </c>
      <c r="E1055" s="2" t="s">
        <v>15</v>
      </c>
      <c r="F1055" s="42">
        <v>461253975</v>
      </c>
      <c r="G1055" s="11" t="s">
        <v>41</v>
      </c>
      <c r="H1055" s="11" t="s">
        <v>269</v>
      </c>
      <c r="I1055" s="3"/>
      <c r="J1055" s="2" t="s">
        <v>15</v>
      </c>
    </row>
    <row r="1056" spans="1:10" ht="15.75" customHeight="1">
      <c r="A1056" s="9">
        <v>2022</v>
      </c>
      <c r="B1056" s="11" t="s">
        <v>44</v>
      </c>
      <c r="C1056" s="11" t="s">
        <v>44</v>
      </c>
      <c r="D1056" s="3" t="s">
        <v>45</v>
      </c>
      <c r="E1056" s="2" t="s">
        <v>15</v>
      </c>
      <c r="F1056" s="42">
        <v>510909899</v>
      </c>
      <c r="G1056" s="11" t="s">
        <v>44</v>
      </c>
      <c r="H1056" s="11" t="s">
        <v>269</v>
      </c>
      <c r="I1056" s="3"/>
      <c r="J1056" s="2" t="s">
        <v>15</v>
      </c>
    </row>
    <row r="1057" spans="1:10" ht="15.75" customHeight="1">
      <c r="A1057" s="9">
        <v>2022</v>
      </c>
      <c r="B1057" s="11" t="s">
        <v>80</v>
      </c>
      <c r="C1057" s="11" t="s">
        <v>80</v>
      </c>
      <c r="D1057" s="3" t="s">
        <v>81</v>
      </c>
      <c r="E1057" s="2" t="s">
        <v>15</v>
      </c>
      <c r="F1057" s="42">
        <v>282854048</v>
      </c>
      <c r="G1057" s="11" t="s">
        <v>80</v>
      </c>
      <c r="H1057" s="11" t="s">
        <v>269</v>
      </c>
      <c r="I1057" s="3"/>
      <c r="J1057" s="2" t="s">
        <v>15</v>
      </c>
    </row>
    <row r="1058" spans="1:10" ht="15.75" customHeight="1">
      <c r="A1058" s="9">
        <v>2022</v>
      </c>
      <c r="B1058" s="11" t="s">
        <v>57</v>
      </c>
      <c r="C1058" s="11" t="s">
        <v>57</v>
      </c>
      <c r="D1058" s="3" t="s">
        <v>58</v>
      </c>
      <c r="E1058" s="2" t="s">
        <v>15</v>
      </c>
      <c r="F1058" s="42">
        <v>1881674597</v>
      </c>
      <c r="G1058" s="11" t="s">
        <v>57</v>
      </c>
      <c r="H1058" s="11" t="s">
        <v>269</v>
      </c>
      <c r="I1058" s="3"/>
      <c r="J1058" s="2" t="s">
        <v>15</v>
      </c>
    </row>
    <row r="1059" spans="1:10" ht="15.75" customHeight="1">
      <c r="A1059" s="9">
        <v>2022</v>
      </c>
      <c r="B1059" s="11" t="s">
        <v>153</v>
      </c>
      <c r="C1059" s="11" t="s">
        <v>153</v>
      </c>
      <c r="D1059" s="3" t="s">
        <v>268</v>
      </c>
      <c r="E1059" s="2" t="s">
        <v>15</v>
      </c>
      <c r="F1059" s="42">
        <v>114317607</v>
      </c>
      <c r="G1059" s="11" t="s">
        <v>153</v>
      </c>
      <c r="H1059" s="11" t="s">
        <v>269</v>
      </c>
      <c r="I1059" s="3"/>
      <c r="J1059" s="2" t="s">
        <v>15</v>
      </c>
    </row>
    <row r="1060" spans="1:10" ht="15.75" customHeight="1">
      <c r="A1060" s="9">
        <v>2022</v>
      </c>
      <c r="B1060" s="11" t="s">
        <v>78</v>
      </c>
      <c r="C1060" s="11" t="s">
        <v>78</v>
      </c>
      <c r="D1060" s="3" t="s">
        <v>79</v>
      </c>
      <c r="E1060" s="2" t="s">
        <v>15</v>
      </c>
      <c r="F1060" s="42">
        <v>3335002211</v>
      </c>
      <c r="G1060" s="11" t="s">
        <v>78</v>
      </c>
      <c r="H1060" s="11" t="s">
        <v>269</v>
      </c>
      <c r="I1060" s="3"/>
      <c r="J1060" s="2" t="s">
        <v>15</v>
      </c>
    </row>
    <row r="1061" spans="1:10" ht="15.75" customHeight="1">
      <c r="A1061" s="9">
        <v>2022</v>
      </c>
      <c r="B1061" s="11" t="s">
        <v>64</v>
      </c>
      <c r="C1061" s="11" t="s">
        <v>64</v>
      </c>
      <c r="D1061" s="3" t="s">
        <v>65</v>
      </c>
      <c r="E1061" s="2" t="s">
        <v>15</v>
      </c>
      <c r="F1061" s="42">
        <v>153531304</v>
      </c>
      <c r="G1061" s="11" t="s">
        <v>64</v>
      </c>
      <c r="H1061" s="11" t="s">
        <v>269</v>
      </c>
      <c r="I1061" s="3"/>
      <c r="J1061" s="2" t="s">
        <v>15</v>
      </c>
    </row>
    <row r="1062" spans="1:10" ht="15.75" customHeight="1">
      <c r="A1062" s="9">
        <v>2022</v>
      </c>
      <c r="B1062" s="11" t="s">
        <v>82</v>
      </c>
      <c r="C1062" s="11" t="s">
        <v>82</v>
      </c>
      <c r="D1062" s="3" t="s">
        <v>83</v>
      </c>
      <c r="E1062" s="2" t="s">
        <v>15</v>
      </c>
      <c r="F1062" s="42">
        <v>373165734</v>
      </c>
      <c r="G1062" s="11" t="s">
        <v>82</v>
      </c>
      <c r="H1062" s="11" t="s">
        <v>269</v>
      </c>
      <c r="I1062" s="3"/>
      <c r="J1062" s="2" t="s">
        <v>15</v>
      </c>
    </row>
    <row r="1063" spans="1:10" ht="15.75" customHeight="1">
      <c r="A1063" s="9">
        <v>2022</v>
      </c>
      <c r="B1063" s="11" t="s">
        <v>69</v>
      </c>
      <c r="C1063" s="11" t="s">
        <v>69</v>
      </c>
      <c r="D1063" s="3" t="s">
        <v>70</v>
      </c>
      <c r="E1063" s="2" t="s">
        <v>15</v>
      </c>
      <c r="F1063" s="42">
        <v>155296363</v>
      </c>
      <c r="G1063" s="11" t="s">
        <v>69</v>
      </c>
      <c r="H1063" s="11" t="s">
        <v>269</v>
      </c>
      <c r="I1063" s="3"/>
      <c r="J1063" s="2" t="s">
        <v>15</v>
      </c>
    </row>
    <row r="1064" spans="1:10" ht="15.75" customHeight="1">
      <c r="A1064" s="9">
        <v>2022</v>
      </c>
      <c r="B1064" s="11" t="s">
        <v>96</v>
      </c>
      <c r="C1064" s="11" t="s">
        <v>96</v>
      </c>
      <c r="D1064" s="3" t="s">
        <v>97</v>
      </c>
      <c r="E1064" s="2" t="s">
        <v>15</v>
      </c>
      <c r="F1064" s="42">
        <v>400004347</v>
      </c>
      <c r="G1064" s="11" t="s">
        <v>96</v>
      </c>
      <c r="H1064" s="11" t="s">
        <v>269</v>
      </c>
      <c r="I1064" s="3"/>
      <c r="J1064" s="2" t="s">
        <v>15</v>
      </c>
    </row>
    <row r="1065" spans="1:10" ht="15.75" customHeight="1">
      <c r="A1065" s="9">
        <v>2022</v>
      </c>
      <c r="B1065" s="11" t="s">
        <v>115</v>
      </c>
      <c r="C1065" s="11" t="s">
        <v>115</v>
      </c>
      <c r="D1065" s="3" t="s">
        <v>116</v>
      </c>
      <c r="E1065" s="2" t="s">
        <v>15</v>
      </c>
      <c r="F1065" s="42">
        <v>113799273</v>
      </c>
      <c r="G1065" s="11" t="s">
        <v>115</v>
      </c>
      <c r="H1065" s="11" t="s">
        <v>269</v>
      </c>
      <c r="I1065" s="3"/>
      <c r="J1065" s="2" t="s">
        <v>15</v>
      </c>
    </row>
    <row r="1066" spans="1:10" ht="15.75" customHeight="1">
      <c r="A1066" s="9">
        <v>2022</v>
      </c>
      <c r="B1066" s="11" t="s">
        <v>129</v>
      </c>
      <c r="C1066" s="11" t="s">
        <v>129</v>
      </c>
      <c r="D1066" s="3" t="s">
        <v>130</v>
      </c>
      <c r="E1066" s="2" t="s">
        <v>15</v>
      </c>
      <c r="F1066" s="42">
        <v>685734819</v>
      </c>
      <c r="G1066" s="11" t="s">
        <v>129</v>
      </c>
      <c r="H1066" s="11" t="s">
        <v>269</v>
      </c>
      <c r="I1066" s="3"/>
      <c r="J1066" s="2" t="s">
        <v>15</v>
      </c>
    </row>
    <row r="1067" spans="1:10" ht="15.75" customHeight="1">
      <c r="A1067" s="9">
        <v>2022</v>
      </c>
      <c r="B1067" s="11" t="s">
        <v>123</v>
      </c>
      <c r="C1067" s="11" t="s">
        <v>123</v>
      </c>
      <c r="D1067" s="3" t="s">
        <v>124</v>
      </c>
      <c r="E1067" s="2" t="s">
        <v>15</v>
      </c>
      <c r="F1067" s="42">
        <v>388499803</v>
      </c>
      <c r="G1067" s="11" t="s">
        <v>123</v>
      </c>
      <c r="H1067" s="11" t="s">
        <v>269</v>
      </c>
      <c r="I1067" s="3"/>
      <c r="J1067" s="2" t="s">
        <v>15</v>
      </c>
    </row>
    <row r="1068" spans="1:10" ht="15.75" customHeight="1">
      <c r="A1068" s="9">
        <v>2022</v>
      </c>
      <c r="B1068" s="11" t="s">
        <v>136</v>
      </c>
      <c r="C1068" s="11" t="s">
        <v>136</v>
      </c>
      <c r="D1068" s="3" t="s">
        <v>137</v>
      </c>
      <c r="E1068" s="2" t="s">
        <v>15</v>
      </c>
      <c r="F1068" s="42">
        <v>825698032</v>
      </c>
      <c r="G1068" s="11" t="s">
        <v>136</v>
      </c>
      <c r="H1068" s="11" t="s">
        <v>269</v>
      </c>
      <c r="I1068" s="3"/>
      <c r="J1068" s="2" t="s">
        <v>15</v>
      </c>
    </row>
    <row r="1069" spans="1:10" ht="15.75" customHeight="1">
      <c r="A1069" s="9">
        <v>2022</v>
      </c>
      <c r="B1069" s="11" t="s">
        <v>143</v>
      </c>
      <c r="C1069" s="11" t="s">
        <v>143</v>
      </c>
      <c r="D1069" s="3" t="s">
        <v>144</v>
      </c>
      <c r="E1069" s="2" t="s">
        <v>15</v>
      </c>
      <c r="F1069" s="42">
        <v>552598446</v>
      </c>
      <c r="G1069" s="11" t="s">
        <v>143</v>
      </c>
      <c r="H1069" s="11" t="s">
        <v>269</v>
      </c>
      <c r="I1069" s="3"/>
      <c r="J1069" s="2" t="s">
        <v>15</v>
      </c>
    </row>
    <row r="1070" spans="1:10" ht="15.75" customHeight="1">
      <c r="A1070" s="9">
        <v>2022</v>
      </c>
      <c r="B1070" s="11" t="s">
        <v>155</v>
      </c>
      <c r="C1070" s="11" t="s">
        <v>155</v>
      </c>
      <c r="D1070" s="3" t="s">
        <v>156</v>
      </c>
      <c r="E1070" s="2" t="s">
        <v>15</v>
      </c>
      <c r="F1070" s="42">
        <v>1127211641</v>
      </c>
      <c r="G1070" s="11" t="s">
        <v>155</v>
      </c>
      <c r="H1070" s="11" t="s">
        <v>269</v>
      </c>
      <c r="I1070" s="3"/>
      <c r="J1070" s="2" t="s">
        <v>15</v>
      </c>
    </row>
    <row r="1071" spans="1:10" ht="15.75" customHeight="1">
      <c r="A1071" s="9">
        <v>2022</v>
      </c>
      <c r="B1071" s="11" t="s">
        <v>270</v>
      </c>
      <c r="C1071" s="11" t="s">
        <v>270</v>
      </c>
      <c r="D1071" s="3" t="s">
        <v>164</v>
      </c>
      <c r="E1071" s="2" t="s">
        <v>15</v>
      </c>
      <c r="F1071" s="42">
        <v>509872202</v>
      </c>
      <c r="G1071" s="11" t="s">
        <v>270</v>
      </c>
      <c r="H1071" s="11" t="s">
        <v>269</v>
      </c>
      <c r="I1071" s="3"/>
      <c r="J1071" s="2" t="s">
        <v>15</v>
      </c>
    </row>
    <row r="1072" spans="1:10" ht="15.75" customHeight="1">
      <c r="A1072" s="9">
        <v>2022</v>
      </c>
      <c r="B1072" s="11" t="s">
        <v>185</v>
      </c>
      <c r="C1072" s="11" t="s">
        <v>185</v>
      </c>
      <c r="D1072" s="3" t="s">
        <v>186</v>
      </c>
      <c r="E1072" s="2" t="s">
        <v>15</v>
      </c>
      <c r="F1072" s="42">
        <v>2267407090</v>
      </c>
      <c r="G1072" s="11" t="s">
        <v>185</v>
      </c>
      <c r="H1072" s="11" t="s">
        <v>269</v>
      </c>
      <c r="I1072" s="3"/>
      <c r="J1072" s="2" t="s">
        <v>15</v>
      </c>
    </row>
    <row r="1073" spans="1:10" ht="15.75" customHeight="1">
      <c r="A1073" s="9">
        <v>2022</v>
      </c>
      <c r="B1073" s="11" t="s">
        <v>188</v>
      </c>
      <c r="C1073" s="11" t="s">
        <v>188</v>
      </c>
      <c r="D1073" s="3" t="s">
        <v>189</v>
      </c>
      <c r="E1073" s="2" t="s">
        <v>15</v>
      </c>
      <c r="F1073" s="42">
        <v>1699588587</v>
      </c>
      <c r="G1073" s="11" t="s">
        <v>188</v>
      </c>
      <c r="H1073" s="11" t="s">
        <v>269</v>
      </c>
      <c r="I1073" s="3"/>
      <c r="J1073" s="2" t="s">
        <v>15</v>
      </c>
    </row>
    <row r="1074" spans="1:10" ht="15.75" customHeight="1">
      <c r="A1074" s="9">
        <v>2022</v>
      </c>
      <c r="B1074" s="11" t="s">
        <v>203</v>
      </c>
      <c r="C1074" s="11" t="s">
        <v>203</v>
      </c>
      <c r="D1074" s="3" t="s">
        <v>204</v>
      </c>
      <c r="E1074" s="2" t="s">
        <v>15</v>
      </c>
      <c r="F1074" s="42">
        <v>1936697740</v>
      </c>
      <c r="G1074" s="11" t="s">
        <v>203</v>
      </c>
      <c r="H1074" s="11" t="s">
        <v>269</v>
      </c>
      <c r="I1074" s="3"/>
      <c r="J1074" s="2" t="s">
        <v>15</v>
      </c>
    </row>
    <row r="1075" spans="1:10" ht="15.75" customHeight="1">
      <c r="A1075" s="9">
        <v>2022</v>
      </c>
      <c r="B1075" s="11" t="s">
        <v>271</v>
      </c>
      <c r="C1075" s="11" t="s">
        <v>271</v>
      </c>
      <c r="D1075" s="3" t="s">
        <v>206</v>
      </c>
      <c r="E1075" s="2" t="s">
        <v>15</v>
      </c>
      <c r="F1075" s="42">
        <v>4444280227</v>
      </c>
      <c r="G1075" s="11" t="s">
        <v>271</v>
      </c>
      <c r="H1075" s="11" t="s">
        <v>269</v>
      </c>
      <c r="I1075" s="3"/>
      <c r="J1075" s="2" t="s">
        <v>15</v>
      </c>
    </row>
    <row r="1076" spans="1:10" ht="15.75" customHeight="1">
      <c r="A1076" s="9">
        <v>2022</v>
      </c>
      <c r="B1076" s="11" t="s">
        <v>222</v>
      </c>
      <c r="C1076" s="11" t="s">
        <v>222</v>
      </c>
      <c r="D1076" s="3" t="s">
        <v>223</v>
      </c>
      <c r="E1076" s="2" t="s">
        <v>15</v>
      </c>
      <c r="F1076" s="42">
        <v>794987748</v>
      </c>
      <c r="G1076" s="11" t="s">
        <v>222</v>
      </c>
      <c r="H1076" s="11" t="s">
        <v>269</v>
      </c>
      <c r="I1076" s="3"/>
      <c r="J1076" s="2" t="s">
        <v>15</v>
      </c>
    </row>
    <row r="1077" spans="1:10" ht="15.75" customHeight="1">
      <c r="A1077" s="9">
        <v>2022</v>
      </c>
      <c r="B1077" s="11" t="s">
        <v>225</v>
      </c>
      <c r="C1077" s="11" t="s">
        <v>225</v>
      </c>
      <c r="D1077" s="3" t="s">
        <v>226</v>
      </c>
      <c r="E1077" s="2" t="s">
        <v>15</v>
      </c>
      <c r="F1077" s="42">
        <v>4271938417</v>
      </c>
      <c r="G1077" s="11" t="s">
        <v>225</v>
      </c>
      <c r="H1077" s="11" t="s">
        <v>269</v>
      </c>
      <c r="I1077" s="3"/>
      <c r="J1077" s="2" t="s">
        <v>15</v>
      </c>
    </row>
    <row r="1078" spans="1:10" ht="15.75" customHeight="1">
      <c r="A1078" s="9">
        <v>2022</v>
      </c>
      <c r="B1078" s="11" t="s">
        <v>82</v>
      </c>
      <c r="C1078" s="11" t="s">
        <v>82</v>
      </c>
      <c r="D1078" s="3" t="s">
        <v>83</v>
      </c>
      <c r="E1078" s="2" t="s">
        <v>15</v>
      </c>
      <c r="F1078" s="42">
        <v>145600234</v>
      </c>
      <c r="G1078" s="11" t="s">
        <v>82</v>
      </c>
      <c r="H1078" s="11" t="s">
        <v>272</v>
      </c>
      <c r="I1078" s="3"/>
      <c r="J1078" s="2" t="s">
        <v>15</v>
      </c>
    </row>
    <row r="1079" spans="1:10" ht="15.75" customHeight="1">
      <c r="A1079" s="9">
        <v>2022</v>
      </c>
      <c r="B1079" s="11" t="s">
        <v>112</v>
      </c>
      <c r="C1079" s="11" t="s">
        <v>112</v>
      </c>
      <c r="D1079" s="3" t="s">
        <v>113</v>
      </c>
      <c r="E1079" s="2" t="s">
        <v>15</v>
      </c>
      <c r="F1079" s="42">
        <v>289641587</v>
      </c>
      <c r="G1079" s="11" t="s">
        <v>112</v>
      </c>
      <c r="H1079" s="11" t="s">
        <v>272</v>
      </c>
      <c r="I1079" s="3"/>
      <c r="J1079" s="2" t="s">
        <v>15</v>
      </c>
    </row>
    <row r="1080" spans="1:10" ht="15.75" customHeight="1">
      <c r="A1080" s="9">
        <v>2022</v>
      </c>
      <c r="B1080" s="11" t="s">
        <v>105</v>
      </c>
      <c r="C1080" s="11" t="s">
        <v>105</v>
      </c>
      <c r="D1080" s="3" t="s">
        <v>106</v>
      </c>
      <c r="E1080" s="2" t="s">
        <v>15</v>
      </c>
      <c r="F1080" s="42">
        <v>219267779</v>
      </c>
      <c r="G1080" s="11" t="s">
        <v>105</v>
      </c>
      <c r="H1080" s="11" t="s">
        <v>272</v>
      </c>
      <c r="I1080" s="3"/>
      <c r="J1080" s="2" t="s">
        <v>15</v>
      </c>
    </row>
    <row r="1081" spans="1:10" ht="15.75" customHeight="1">
      <c r="A1081" s="9">
        <v>2022</v>
      </c>
      <c r="B1081" s="11" t="s">
        <v>273</v>
      </c>
      <c r="C1081" s="11" t="s">
        <v>273</v>
      </c>
      <c r="D1081" s="3" t="s">
        <v>274</v>
      </c>
      <c r="E1081" s="2" t="s">
        <v>15</v>
      </c>
      <c r="F1081" s="42">
        <v>29450000</v>
      </c>
      <c r="G1081" s="11" t="s">
        <v>273</v>
      </c>
      <c r="H1081" s="11" t="s">
        <v>272</v>
      </c>
      <c r="I1081" s="3"/>
      <c r="J1081" s="2" t="s">
        <v>15</v>
      </c>
    </row>
    <row r="1082" spans="1:10" ht="15.75" customHeight="1">
      <c r="A1082" s="9">
        <v>2022</v>
      </c>
      <c r="B1082" s="11" t="s">
        <v>123</v>
      </c>
      <c r="C1082" s="11" t="s">
        <v>123</v>
      </c>
      <c r="D1082" s="3" t="s">
        <v>124</v>
      </c>
      <c r="E1082" s="2" t="s">
        <v>15</v>
      </c>
      <c r="F1082" s="42">
        <v>48073854</v>
      </c>
      <c r="G1082" s="11" t="s">
        <v>123</v>
      </c>
      <c r="H1082" s="11" t="s">
        <v>272</v>
      </c>
      <c r="I1082" s="3"/>
      <c r="J1082" s="2" t="s">
        <v>15</v>
      </c>
    </row>
    <row r="1083" spans="1:10" ht="15.75" customHeight="1">
      <c r="A1083" s="9">
        <v>2022</v>
      </c>
      <c r="B1083" s="11" t="s">
        <v>218</v>
      </c>
      <c r="C1083" s="11" t="s">
        <v>218</v>
      </c>
      <c r="D1083" s="3" t="s">
        <v>219</v>
      </c>
      <c r="E1083" s="2" t="s">
        <v>15</v>
      </c>
      <c r="F1083" s="42">
        <v>4292463880</v>
      </c>
      <c r="G1083" s="11" t="s">
        <v>218</v>
      </c>
      <c r="H1083" s="11" t="s">
        <v>272</v>
      </c>
      <c r="I1083" s="3"/>
      <c r="J1083" s="2" t="s">
        <v>15</v>
      </c>
    </row>
    <row r="1084" spans="1:10" ht="15.75" customHeight="1">
      <c r="A1084" s="9">
        <v>2022</v>
      </c>
      <c r="B1084" s="11" t="s">
        <v>10</v>
      </c>
      <c r="C1084" s="11" t="s">
        <v>10</v>
      </c>
      <c r="D1084" s="3" t="s">
        <v>11</v>
      </c>
      <c r="E1084" s="2" t="s">
        <v>15</v>
      </c>
      <c r="F1084" s="42">
        <v>623415539</v>
      </c>
      <c r="G1084" s="11" t="s">
        <v>10</v>
      </c>
      <c r="H1084" s="11" t="s">
        <v>275</v>
      </c>
      <c r="I1084" s="3"/>
      <c r="J1084" s="2" t="s">
        <v>15</v>
      </c>
    </row>
    <row r="1085" spans="1:10" ht="15.75" customHeight="1">
      <c r="A1085" s="9">
        <v>2022</v>
      </c>
      <c r="B1085" s="11" t="s">
        <v>57</v>
      </c>
      <c r="C1085" s="11" t="s">
        <v>57</v>
      </c>
      <c r="D1085" s="3" t="s">
        <v>58</v>
      </c>
      <c r="E1085" s="2" t="s">
        <v>15</v>
      </c>
      <c r="F1085" s="42">
        <v>596731397</v>
      </c>
      <c r="G1085" s="11" t="s">
        <v>57</v>
      </c>
      <c r="H1085" s="11" t="s">
        <v>275</v>
      </c>
      <c r="I1085" s="3"/>
      <c r="J1085" s="2" t="s">
        <v>15</v>
      </c>
    </row>
    <row r="1086" spans="1:10" ht="15.75" customHeight="1">
      <c r="A1086" s="9">
        <v>2022</v>
      </c>
      <c r="B1086" s="11" t="s">
        <v>276</v>
      </c>
      <c r="C1086" s="11" t="s">
        <v>136</v>
      </c>
      <c r="D1086" s="3" t="s">
        <v>137</v>
      </c>
      <c r="E1086" s="2" t="s">
        <v>15</v>
      </c>
      <c r="F1086" s="42">
        <v>881030780</v>
      </c>
      <c r="G1086" s="11" t="s">
        <v>276</v>
      </c>
      <c r="H1086" s="11" t="s">
        <v>275</v>
      </c>
      <c r="I1086" s="3"/>
      <c r="J1086" s="2" t="s">
        <v>15</v>
      </c>
    </row>
    <row r="1087" spans="1:10" ht="15.75" customHeight="1">
      <c r="A1087" s="9">
        <v>2022</v>
      </c>
      <c r="B1087" s="11" t="s">
        <v>188</v>
      </c>
      <c r="C1087" s="11" t="s">
        <v>188</v>
      </c>
      <c r="D1087" s="3" t="s">
        <v>189</v>
      </c>
      <c r="E1087" s="2" t="s">
        <v>15</v>
      </c>
      <c r="F1087" s="42">
        <v>873323126</v>
      </c>
      <c r="G1087" s="11" t="s">
        <v>188</v>
      </c>
      <c r="H1087" s="11" t="s">
        <v>275</v>
      </c>
      <c r="I1087" s="3"/>
      <c r="J1087" s="2" t="s">
        <v>15</v>
      </c>
    </row>
    <row r="1088" spans="1:10" ht="15.75" customHeight="1">
      <c r="A1088" s="9">
        <v>2022</v>
      </c>
      <c r="B1088" s="11" t="s">
        <v>277</v>
      </c>
      <c r="C1088" s="11" t="s">
        <v>271</v>
      </c>
      <c r="D1088" s="3" t="s">
        <v>206</v>
      </c>
      <c r="E1088" s="2" t="s">
        <v>15</v>
      </c>
      <c r="F1088" s="42">
        <v>6080899576</v>
      </c>
      <c r="G1088" s="11" t="s">
        <v>277</v>
      </c>
      <c r="H1088" s="11" t="s">
        <v>275</v>
      </c>
      <c r="I1088" s="3"/>
      <c r="J1088" s="2" t="s">
        <v>15</v>
      </c>
    </row>
    <row r="1089" spans="1:10" ht="15.75" customHeight="1">
      <c r="A1089" s="9">
        <v>2022</v>
      </c>
      <c r="B1089" s="11" t="s">
        <v>254</v>
      </c>
      <c r="C1089" s="11" t="s">
        <v>255</v>
      </c>
      <c r="D1089" s="3"/>
      <c r="E1089" s="2" t="s">
        <v>15</v>
      </c>
      <c r="F1089" s="42">
        <v>41579330</v>
      </c>
      <c r="G1089" s="11" t="s">
        <v>254</v>
      </c>
      <c r="H1089" s="11" t="s">
        <v>275</v>
      </c>
      <c r="I1089" s="3"/>
      <c r="J1089" s="2" t="s">
        <v>15</v>
      </c>
    </row>
    <row r="1090" spans="1:10" ht="15.75" customHeight="1">
      <c r="A1090" s="9">
        <v>2022</v>
      </c>
      <c r="B1090" s="11" t="s">
        <v>218</v>
      </c>
      <c r="C1090" s="11" t="s">
        <v>218</v>
      </c>
      <c r="D1090" s="3" t="s">
        <v>219</v>
      </c>
      <c r="E1090" s="2" t="s">
        <v>15</v>
      </c>
      <c r="F1090" s="42">
        <v>1789936991</v>
      </c>
      <c r="G1090" s="11" t="s">
        <v>218</v>
      </c>
      <c r="H1090" s="11" t="s">
        <v>275</v>
      </c>
      <c r="I1090" s="3"/>
      <c r="J1090" s="2" t="s">
        <v>15</v>
      </c>
    </row>
    <row r="1091" spans="1:10" ht="15.75" customHeight="1">
      <c r="A1091" s="9">
        <v>2022</v>
      </c>
      <c r="B1091" s="11" t="s">
        <v>257</v>
      </c>
      <c r="C1091" s="11" t="s">
        <v>222</v>
      </c>
      <c r="D1091" s="3" t="s">
        <v>223</v>
      </c>
      <c r="E1091" s="2" t="s">
        <v>15</v>
      </c>
      <c r="F1091" s="42">
        <v>1786198773</v>
      </c>
      <c r="G1091" s="11" t="s">
        <v>257</v>
      </c>
      <c r="H1091" s="11" t="s">
        <v>275</v>
      </c>
      <c r="I1091" s="3"/>
      <c r="J1091" s="2" t="s">
        <v>15</v>
      </c>
    </row>
    <row r="1092" spans="1:10" ht="15.75" customHeight="1">
      <c r="A1092" s="9">
        <v>2022</v>
      </c>
      <c r="B1092" s="11" t="s">
        <v>278</v>
      </c>
      <c r="C1092" s="11" t="s">
        <v>194</v>
      </c>
      <c r="D1092" s="3" t="s">
        <v>195</v>
      </c>
      <c r="E1092" s="2" t="s">
        <v>15</v>
      </c>
      <c r="F1092" s="42">
        <v>378175867</v>
      </c>
      <c r="G1092" s="11" t="s">
        <v>278</v>
      </c>
      <c r="H1092" s="11" t="s">
        <v>22</v>
      </c>
      <c r="I1092" s="3"/>
      <c r="J1092" s="2" t="s">
        <v>15</v>
      </c>
    </row>
    <row r="1093" spans="1:10" ht="15.75" customHeight="1">
      <c r="A1093" s="9">
        <v>2022</v>
      </c>
      <c r="B1093" s="11" t="s">
        <v>168</v>
      </c>
      <c r="C1093" s="11" t="s">
        <v>168</v>
      </c>
      <c r="D1093" s="3" t="s">
        <v>169</v>
      </c>
      <c r="E1093" s="2" t="s">
        <v>15</v>
      </c>
      <c r="F1093" s="42">
        <v>472308627</v>
      </c>
      <c r="G1093" s="11" t="s">
        <v>168</v>
      </c>
      <c r="H1093" s="11" t="s">
        <v>22</v>
      </c>
      <c r="I1093" s="3"/>
      <c r="J1093" s="2" t="s">
        <v>15</v>
      </c>
    </row>
    <row r="1094" spans="1:10" ht="15.75" customHeight="1">
      <c r="A1094" s="9">
        <v>2022</v>
      </c>
      <c r="B1094" s="11" t="s">
        <v>50</v>
      </c>
      <c r="C1094" s="11" t="s">
        <v>50</v>
      </c>
      <c r="D1094" s="3" t="s">
        <v>51</v>
      </c>
      <c r="E1094" s="2" t="s">
        <v>15</v>
      </c>
      <c r="F1094" s="42">
        <v>41817107</v>
      </c>
      <c r="G1094" s="11" t="s">
        <v>50</v>
      </c>
      <c r="H1094" s="11" t="s">
        <v>279</v>
      </c>
      <c r="I1094" s="3"/>
      <c r="J1094" s="2" t="s">
        <v>15</v>
      </c>
    </row>
    <row r="1095" spans="1:10" ht="15.75" customHeight="1">
      <c r="A1095" s="9">
        <v>2022</v>
      </c>
      <c r="B1095" s="11" t="s">
        <v>174</v>
      </c>
      <c r="C1095" s="11" t="s">
        <v>174</v>
      </c>
      <c r="D1095" s="3" t="s">
        <v>175</v>
      </c>
      <c r="E1095" s="2" t="s">
        <v>15</v>
      </c>
      <c r="F1095" s="42">
        <v>168906963</v>
      </c>
      <c r="G1095" s="11" t="s">
        <v>174</v>
      </c>
      <c r="H1095" s="11" t="s">
        <v>279</v>
      </c>
      <c r="I1095" s="3"/>
      <c r="J1095" s="2" t="s">
        <v>15</v>
      </c>
    </row>
    <row r="1096" spans="1:10" ht="15.75" customHeight="1">
      <c r="A1096" s="9">
        <v>2022</v>
      </c>
      <c r="B1096" s="11" t="s">
        <v>99</v>
      </c>
      <c r="C1096" s="11" t="s">
        <v>99</v>
      </c>
      <c r="D1096" s="3" t="s">
        <v>100</v>
      </c>
      <c r="E1096" s="2" t="s">
        <v>15</v>
      </c>
      <c r="F1096" s="42">
        <v>149692653</v>
      </c>
      <c r="G1096" s="11" t="s">
        <v>99</v>
      </c>
      <c r="H1096" s="11" t="s">
        <v>279</v>
      </c>
      <c r="I1096" s="3"/>
      <c r="J1096" s="2" t="s">
        <v>15</v>
      </c>
    </row>
    <row r="1097" spans="1:10" ht="15.75" customHeight="1">
      <c r="A1097" s="9">
        <v>2023</v>
      </c>
      <c r="B1097" s="11" t="s">
        <v>10</v>
      </c>
      <c r="C1097" s="11" t="s">
        <v>10</v>
      </c>
      <c r="D1097" s="3" t="s">
        <v>11</v>
      </c>
      <c r="E1097" s="2" t="s">
        <v>16</v>
      </c>
      <c r="F1097" s="42">
        <v>29174379</v>
      </c>
      <c r="G1097" s="11" t="s">
        <v>10</v>
      </c>
      <c r="H1097" s="2" t="s">
        <v>269</v>
      </c>
      <c r="I1097" s="3"/>
      <c r="J1097" s="2" t="s">
        <v>16</v>
      </c>
    </row>
    <row r="1098" spans="1:10" ht="15.75" customHeight="1">
      <c r="A1098" s="9">
        <v>2023</v>
      </c>
      <c r="B1098" s="11" t="s">
        <v>24</v>
      </c>
      <c r="C1098" s="11" t="s">
        <v>24</v>
      </c>
      <c r="D1098" s="3" t="s">
        <v>25</v>
      </c>
      <c r="E1098" s="2" t="s">
        <v>16</v>
      </c>
      <c r="F1098" s="42">
        <v>4648210</v>
      </c>
      <c r="G1098" s="11" t="s">
        <v>24</v>
      </c>
      <c r="H1098" s="2" t="s">
        <v>269</v>
      </c>
      <c r="I1098" s="3"/>
      <c r="J1098" s="2" t="s">
        <v>16</v>
      </c>
    </row>
    <row r="1099" spans="1:10" ht="15.75" customHeight="1">
      <c r="A1099" s="9">
        <v>2023</v>
      </c>
      <c r="B1099" s="11" t="s">
        <v>30</v>
      </c>
      <c r="C1099" s="11" t="s">
        <v>30</v>
      </c>
      <c r="D1099" s="3" t="s">
        <v>31</v>
      </c>
      <c r="E1099" s="2" t="s">
        <v>16</v>
      </c>
      <c r="F1099" s="42">
        <v>2666886</v>
      </c>
      <c r="G1099" s="11" t="s">
        <v>30</v>
      </c>
      <c r="H1099" s="2" t="s">
        <v>269</v>
      </c>
      <c r="I1099" s="3"/>
      <c r="J1099" s="2" t="s">
        <v>16</v>
      </c>
    </row>
    <row r="1100" spans="1:10" ht="15.75" customHeight="1">
      <c r="A1100" s="9">
        <v>2023</v>
      </c>
      <c r="B1100" s="11" t="s">
        <v>38</v>
      </c>
      <c r="C1100" s="11" t="s">
        <v>38</v>
      </c>
      <c r="D1100" s="3" t="s">
        <v>39</v>
      </c>
      <c r="E1100" s="2" t="s">
        <v>16</v>
      </c>
      <c r="F1100" s="42">
        <v>4700311</v>
      </c>
      <c r="G1100" s="11" t="s">
        <v>38</v>
      </c>
      <c r="H1100" s="2" t="s">
        <v>269</v>
      </c>
      <c r="I1100" s="3"/>
      <c r="J1100" s="2" t="s">
        <v>16</v>
      </c>
    </row>
    <row r="1101" spans="1:10" ht="15.75" customHeight="1">
      <c r="A1101" s="9">
        <v>2023</v>
      </c>
      <c r="B1101" s="11" t="s">
        <v>41</v>
      </c>
      <c r="C1101" s="11" t="s">
        <v>41</v>
      </c>
      <c r="D1101" s="3" t="s">
        <v>42</v>
      </c>
      <c r="E1101" s="2" t="s">
        <v>16</v>
      </c>
      <c r="F1101" s="42">
        <v>3426462</v>
      </c>
      <c r="G1101" s="11" t="s">
        <v>41</v>
      </c>
      <c r="H1101" s="2" t="s">
        <v>269</v>
      </c>
      <c r="I1101" s="3"/>
      <c r="J1101" s="2" t="s">
        <v>16</v>
      </c>
    </row>
    <row r="1102" spans="1:10" ht="15.75" customHeight="1">
      <c r="A1102" s="9">
        <v>2023</v>
      </c>
      <c r="B1102" s="11" t="s">
        <v>44</v>
      </c>
      <c r="C1102" s="11" t="s">
        <v>44</v>
      </c>
      <c r="D1102" s="3" t="s">
        <v>45</v>
      </c>
      <c r="E1102" s="2" t="s">
        <v>16</v>
      </c>
      <c r="F1102" s="42">
        <v>7672650</v>
      </c>
      <c r="G1102" s="11" t="s">
        <v>44</v>
      </c>
      <c r="H1102" s="2" t="s">
        <v>269</v>
      </c>
      <c r="I1102" s="3"/>
      <c r="J1102" s="2" t="s">
        <v>16</v>
      </c>
    </row>
    <row r="1103" spans="1:10" ht="15.75" customHeight="1">
      <c r="A1103" s="9">
        <v>2023</v>
      </c>
      <c r="B1103" s="11" t="s">
        <v>80</v>
      </c>
      <c r="C1103" s="11" t="s">
        <v>80</v>
      </c>
      <c r="D1103" s="3" t="s">
        <v>81</v>
      </c>
      <c r="E1103" s="2" t="s">
        <v>16</v>
      </c>
      <c r="F1103" s="42">
        <v>7711265</v>
      </c>
      <c r="G1103" s="11" t="s">
        <v>80</v>
      </c>
      <c r="H1103" s="2" t="s">
        <v>269</v>
      </c>
      <c r="I1103" s="3"/>
      <c r="J1103" s="2" t="s">
        <v>16</v>
      </c>
    </row>
    <row r="1104" spans="1:10" ht="15.75" customHeight="1">
      <c r="A1104" s="9">
        <v>2023</v>
      </c>
      <c r="B1104" s="11" t="s">
        <v>57</v>
      </c>
      <c r="C1104" s="11" t="s">
        <v>57</v>
      </c>
      <c r="D1104" s="3" t="s">
        <v>58</v>
      </c>
      <c r="E1104" s="2" t="s">
        <v>16</v>
      </c>
      <c r="F1104" s="42">
        <v>26429388</v>
      </c>
      <c r="G1104" s="11" t="s">
        <v>57</v>
      </c>
      <c r="H1104" s="2" t="s">
        <v>269</v>
      </c>
      <c r="I1104" s="3"/>
      <c r="J1104" s="2" t="s">
        <v>16</v>
      </c>
    </row>
    <row r="1105" spans="1:10" ht="15.75" customHeight="1">
      <c r="A1105" s="9">
        <v>2023</v>
      </c>
      <c r="B1105" s="11" t="s">
        <v>153</v>
      </c>
      <c r="C1105" s="11" t="s">
        <v>153</v>
      </c>
      <c r="D1105" s="3" t="s">
        <v>268</v>
      </c>
      <c r="E1105" s="2" t="s">
        <v>16</v>
      </c>
      <c r="F1105" s="42">
        <v>1115122</v>
      </c>
      <c r="G1105" s="11" t="s">
        <v>153</v>
      </c>
      <c r="H1105" s="2" t="s">
        <v>269</v>
      </c>
      <c r="I1105" s="3"/>
      <c r="J1105" s="2" t="s">
        <v>16</v>
      </c>
    </row>
    <row r="1106" spans="1:10" ht="15.75" customHeight="1">
      <c r="A1106" s="9">
        <v>2023</v>
      </c>
      <c r="B1106" s="11" t="s">
        <v>78</v>
      </c>
      <c r="C1106" s="11" t="s">
        <v>78</v>
      </c>
      <c r="D1106" s="3" t="s">
        <v>79</v>
      </c>
      <c r="E1106" s="2" t="s">
        <v>16</v>
      </c>
      <c r="F1106" s="42">
        <v>28600000</v>
      </c>
      <c r="G1106" s="11" t="s">
        <v>78</v>
      </c>
      <c r="H1106" s="2" t="s">
        <v>269</v>
      </c>
      <c r="I1106" s="3"/>
      <c r="J1106" s="2" t="s">
        <v>16</v>
      </c>
    </row>
    <row r="1107" spans="1:10" ht="15.75" customHeight="1">
      <c r="A1107" s="9">
        <v>2023</v>
      </c>
      <c r="B1107" s="11" t="s">
        <v>64</v>
      </c>
      <c r="C1107" s="11" t="s">
        <v>64</v>
      </c>
      <c r="D1107" s="3" t="s">
        <v>65</v>
      </c>
      <c r="E1107" s="2" t="s">
        <v>16</v>
      </c>
      <c r="F1107" s="42">
        <v>5000000</v>
      </c>
      <c r="G1107" s="11" t="s">
        <v>64</v>
      </c>
      <c r="H1107" s="2" t="s">
        <v>269</v>
      </c>
      <c r="I1107" s="3"/>
      <c r="J1107" s="2" t="s">
        <v>16</v>
      </c>
    </row>
    <row r="1108" spans="1:10" ht="15.75" customHeight="1">
      <c r="A1108" s="9">
        <v>2023</v>
      </c>
      <c r="B1108" s="11" t="s">
        <v>82</v>
      </c>
      <c r="C1108" s="11" t="s">
        <v>82</v>
      </c>
      <c r="D1108" s="3" t="s">
        <v>83</v>
      </c>
      <c r="E1108" s="2" t="s">
        <v>16</v>
      </c>
      <c r="F1108" s="42">
        <v>5200000</v>
      </c>
      <c r="G1108" s="11" t="s">
        <v>82</v>
      </c>
      <c r="H1108" s="2" t="s">
        <v>269</v>
      </c>
      <c r="I1108" s="3"/>
      <c r="J1108" s="2" t="s">
        <v>16</v>
      </c>
    </row>
    <row r="1109" spans="1:10" ht="15.75" customHeight="1">
      <c r="A1109" s="9">
        <v>2023</v>
      </c>
      <c r="B1109" s="11" t="s">
        <v>69</v>
      </c>
      <c r="C1109" s="11" t="s">
        <v>69</v>
      </c>
      <c r="D1109" s="3" t="s">
        <v>70</v>
      </c>
      <c r="E1109" s="2" t="s">
        <v>16</v>
      </c>
      <c r="F1109" s="42">
        <v>3200000</v>
      </c>
      <c r="G1109" s="11" t="s">
        <v>69</v>
      </c>
      <c r="H1109" s="2" t="s">
        <v>269</v>
      </c>
      <c r="I1109" s="3"/>
      <c r="J1109" s="2" t="s">
        <v>16</v>
      </c>
    </row>
    <row r="1110" spans="1:10" ht="15.75" customHeight="1">
      <c r="A1110" s="9">
        <v>2023</v>
      </c>
      <c r="B1110" s="11" t="s">
        <v>129</v>
      </c>
      <c r="C1110" s="11" t="s">
        <v>129</v>
      </c>
      <c r="D1110" s="3" t="s">
        <v>130</v>
      </c>
      <c r="E1110" s="2" t="s">
        <v>16</v>
      </c>
      <c r="F1110" s="42">
        <v>8782254</v>
      </c>
      <c r="G1110" s="11" t="s">
        <v>129</v>
      </c>
      <c r="H1110" s="2" t="s">
        <v>269</v>
      </c>
      <c r="I1110" s="3"/>
      <c r="J1110" s="2" t="s">
        <v>16</v>
      </c>
    </row>
    <row r="1111" spans="1:10" ht="15.75" customHeight="1">
      <c r="A1111" s="9">
        <v>2023</v>
      </c>
      <c r="B1111" s="11" t="s">
        <v>123</v>
      </c>
      <c r="C1111" s="11" t="s">
        <v>123</v>
      </c>
      <c r="D1111" s="3" t="s">
        <v>124</v>
      </c>
      <c r="E1111" s="2" t="s">
        <v>16</v>
      </c>
      <c r="F1111" s="42">
        <v>2011466</v>
      </c>
      <c r="G1111" s="11" t="s">
        <v>123</v>
      </c>
      <c r="H1111" s="2" t="s">
        <v>269</v>
      </c>
      <c r="I1111" s="3"/>
      <c r="J1111" s="2" t="s">
        <v>16</v>
      </c>
    </row>
    <row r="1112" spans="1:10" ht="15.75" customHeight="1">
      <c r="A1112" s="9">
        <v>2023</v>
      </c>
      <c r="B1112" s="11" t="s">
        <v>136</v>
      </c>
      <c r="C1112" s="11" t="s">
        <v>136</v>
      </c>
      <c r="D1112" s="3" t="s">
        <v>137</v>
      </c>
      <c r="E1112" s="2" t="s">
        <v>16</v>
      </c>
      <c r="F1112" s="42">
        <v>17619805</v>
      </c>
      <c r="G1112" s="11" t="s">
        <v>136</v>
      </c>
      <c r="H1112" s="2" t="s">
        <v>269</v>
      </c>
      <c r="I1112" s="3"/>
      <c r="J1112" s="2" t="s">
        <v>16</v>
      </c>
    </row>
    <row r="1113" spans="1:10" ht="15.75" customHeight="1">
      <c r="A1113" s="9">
        <v>2023</v>
      </c>
      <c r="B1113" s="11" t="s">
        <v>143</v>
      </c>
      <c r="C1113" s="11" t="s">
        <v>143</v>
      </c>
      <c r="D1113" s="3" t="s">
        <v>144</v>
      </c>
      <c r="E1113" s="2" t="s">
        <v>16</v>
      </c>
      <c r="F1113" s="42">
        <v>4319484</v>
      </c>
      <c r="G1113" s="11" t="s">
        <v>143</v>
      </c>
      <c r="H1113" s="2" t="s">
        <v>269</v>
      </c>
      <c r="I1113" s="3"/>
      <c r="J1113" s="2" t="s">
        <v>16</v>
      </c>
    </row>
    <row r="1114" spans="1:10" ht="15.75" customHeight="1">
      <c r="A1114" s="9">
        <v>2023</v>
      </c>
      <c r="B1114" s="11" t="s">
        <v>155</v>
      </c>
      <c r="C1114" s="11" t="s">
        <v>155</v>
      </c>
      <c r="D1114" s="3" t="s">
        <v>156</v>
      </c>
      <c r="E1114" s="2" t="s">
        <v>16</v>
      </c>
      <c r="F1114" s="42">
        <v>8300000</v>
      </c>
      <c r="G1114" s="11" t="s">
        <v>155</v>
      </c>
      <c r="H1114" s="2" t="s">
        <v>269</v>
      </c>
      <c r="I1114" s="3"/>
      <c r="J1114" s="2" t="s">
        <v>16</v>
      </c>
    </row>
    <row r="1115" spans="1:10" ht="15.75" customHeight="1">
      <c r="A1115" s="9">
        <v>2023</v>
      </c>
      <c r="B1115" s="11" t="s">
        <v>270</v>
      </c>
      <c r="C1115" s="11" t="s">
        <v>270</v>
      </c>
      <c r="D1115" s="3" t="s">
        <v>164</v>
      </c>
      <c r="E1115" s="2" t="s">
        <v>16</v>
      </c>
      <c r="F1115" s="42">
        <v>2087420</v>
      </c>
      <c r="G1115" s="11" t="s">
        <v>270</v>
      </c>
      <c r="H1115" s="2" t="s">
        <v>269</v>
      </c>
      <c r="I1115" s="3"/>
      <c r="J1115" s="2" t="s">
        <v>16</v>
      </c>
    </row>
    <row r="1116" spans="1:10" ht="15.75" customHeight="1">
      <c r="A1116" s="9">
        <v>2023</v>
      </c>
      <c r="B1116" s="11" t="s">
        <v>185</v>
      </c>
      <c r="C1116" s="11" t="s">
        <v>185</v>
      </c>
      <c r="D1116" s="3" t="s">
        <v>186</v>
      </c>
      <c r="E1116" s="2" t="s">
        <v>16</v>
      </c>
      <c r="F1116" s="42">
        <v>8250301</v>
      </c>
      <c r="G1116" s="11" t="s">
        <v>185</v>
      </c>
      <c r="H1116" s="2" t="s">
        <v>269</v>
      </c>
      <c r="I1116" s="3"/>
      <c r="J1116" s="2" t="s">
        <v>16</v>
      </c>
    </row>
    <row r="1117" spans="1:10" ht="15.75" customHeight="1">
      <c r="A1117" s="9">
        <v>2023</v>
      </c>
      <c r="B1117" s="11" t="s">
        <v>188</v>
      </c>
      <c r="C1117" s="11" t="s">
        <v>188</v>
      </c>
      <c r="D1117" s="3" t="s">
        <v>189</v>
      </c>
      <c r="E1117" s="2" t="s">
        <v>16</v>
      </c>
      <c r="F1117" s="42">
        <v>10000000</v>
      </c>
      <c r="G1117" s="11" t="s">
        <v>188</v>
      </c>
      <c r="H1117" s="2" t="s">
        <v>269</v>
      </c>
      <c r="I1117" s="3"/>
      <c r="J1117" s="2" t="s">
        <v>16</v>
      </c>
    </row>
    <row r="1118" spans="1:10" ht="15.75" customHeight="1">
      <c r="A1118" s="9">
        <v>2023</v>
      </c>
      <c r="B1118" s="11" t="s">
        <v>203</v>
      </c>
      <c r="C1118" s="11" t="s">
        <v>203</v>
      </c>
      <c r="D1118" s="3" t="s">
        <v>204</v>
      </c>
      <c r="E1118" s="2" t="s">
        <v>16</v>
      </c>
      <c r="F1118" s="42">
        <v>24681639</v>
      </c>
      <c r="G1118" s="11" t="s">
        <v>203</v>
      </c>
      <c r="H1118" s="2" t="s">
        <v>269</v>
      </c>
      <c r="I1118" s="3"/>
      <c r="J1118" s="2" t="s">
        <v>16</v>
      </c>
    </row>
    <row r="1119" spans="1:10" ht="15.75" customHeight="1">
      <c r="A1119" s="9">
        <v>2023</v>
      </c>
      <c r="B1119" s="11" t="s">
        <v>271</v>
      </c>
      <c r="C1119" s="11" t="s">
        <v>271</v>
      </c>
      <c r="D1119" s="3" t="s">
        <v>206</v>
      </c>
      <c r="E1119" s="2" t="s">
        <v>16</v>
      </c>
      <c r="F1119" s="42">
        <v>15334271</v>
      </c>
      <c r="G1119" s="11" t="s">
        <v>271</v>
      </c>
      <c r="H1119" s="2" t="s">
        <v>269</v>
      </c>
      <c r="I1119" s="3"/>
      <c r="J1119" s="2" t="s">
        <v>16</v>
      </c>
    </row>
    <row r="1120" spans="1:10" ht="15.75" customHeight="1">
      <c r="A1120" s="9">
        <v>2023</v>
      </c>
      <c r="B1120" s="11" t="s">
        <v>218</v>
      </c>
      <c r="C1120" s="11" t="s">
        <v>218</v>
      </c>
      <c r="D1120" s="3" t="s">
        <v>219</v>
      </c>
      <c r="E1120" s="2" t="s">
        <v>16</v>
      </c>
      <c r="F1120" s="42">
        <v>17569676</v>
      </c>
      <c r="G1120" s="11" t="s">
        <v>218</v>
      </c>
      <c r="H1120" s="2" t="s">
        <v>269</v>
      </c>
      <c r="I1120" s="3"/>
      <c r="J1120" s="2" t="s">
        <v>16</v>
      </c>
    </row>
    <row r="1121" spans="1:10" ht="15.75" customHeight="1">
      <c r="A1121" s="9">
        <v>2023</v>
      </c>
      <c r="B1121" s="11" t="s">
        <v>222</v>
      </c>
      <c r="C1121" s="11" t="s">
        <v>222</v>
      </c>
      <c r="D1121" s="3" t="s">
        <v>223</v>
      </c>
      <c r="E1121" s="2" t="s">
        <v>16</v>
      </c>
      <c r="F1121" s="42">
        <v>7000000</v>
      </c>
      <c r="G1121" s="11" t="s">
        <v>222</v>
      </c>
      <c r="H1121" s="2" t="s">
        <v>269</v>
      </c>
      <c r="I1121" s="3"/>
      <c r="J1121" s="2" t="s">
        <v>16</v>
      </c>
    </row>
    <row r="1122" spans="1:10" ht="15.75" customHeight="1">
      <c r="A1122" s="9">
        <v>2023</v>
      </c>
      <c r="B1122" s="11" t="s">
        <v>225</v>
      </c>
      <c r="C1122" s="11" t="s">
        <v>225</v>
      </c>
      <c r="D1122" s="3" t="s">
        <v>226</v>
      </c>
      <c r="E1122" s="2" t="s">
        <v>16</v>
      </c>
      <c r="F1122" s="42">
        <v>21640000</v>
      </c>
      <c r="G1122" s="11" t="s">
        <v>225</v>
      </c>
      <c r="H1122" s="2" t="s">
        <v>269</v>
      </c>
      <c r="I1122" s="3"/>
      <c r="J1122" s="2" t="s">
        <v>16</v>
      </c>
    </row>
    <row r="1123" spans="1:10" ht="15.75" customHeight="1">
      <c r="A1123" s="9">
        <v>2023</v>
      </c>
      <c r="B1123" s="11" t="s">
        <v>112</v>
      </c>
      <c r="C1123" s="11" t="s">
        <v>112</v>
      </c>
      <c r="D1123" s="3" t="s">
        <v>113</v>
      </c>
      <c r="E1123" s="2" t="s">
        <v>16</v>
      </c>
      <c r="F1123" s="42">
        <v>6446835</v>
      </c>
      <c r="G1123" s="11" t="s">
        <v>112</v>
      </c>
      <c r="H1123" s="2" t="s">
        <v>272</v>
      </c>
      <c r="I1123" s="3"/>
      <c r="J1123" s="2" t="s">
        <v>16</v>
      </c>
    </row>
    <row r="1124" spans="1:10" ht="15.75" customHeight="1">
      <c r="A1124" s="9">
        <v>2023</v>
      </c>
      <c r="B1124" s="11" t="s">
        <v>115</v>
      </c>
      <c r="C1124" s="11" t="s">
        <v>115</v>
      </c>
      <c r="D1124" s="3" t="s">
        <v>116</v>
      </c>
      <c r="E1124" s="2" t="s">
        <v>16</v>
      </c>
      <c r="F1124" s="42">
        <v>883937</v>
      </c>
      <c r="G1124" s="11" t="s">
        <v>115</v>
      </c>
      <c r="H1124" s="2" t="s">
        <v>272</v>
      </c>
      <c r="I1124" s="3"/>
      <c r="J1124" s="2" t="s">
        <v>16</v>
      </c>
    </row>
    <row r="1125" spans="1:10" ht="15.75" customHeight="1">
      <c r="A1125" s="9">
        <v>2023</v>
      </c>
      <c r="B1125" s="11" t="s">
        <v>105</v>
      </c>
      <c r="C1125" s="11" t="s">
        <v>105</v>
      </c>
      <c r="D1125" s="3" t="s">
        <v>106</v>
      </c>
      <c r="E1125" s="2" t="s">
        <v>16</v>
      </c>
      <c r="F1125" s="42">
        <v>3897188</v>
      </c>
      <c r="G1125" s="11" t="s">
        <v>105</v>
      </c>
      <c r="H1125" s="2" t="s">
        <v>272</v>
      </c>
      <c r="I1125" s="3"/>
      <c r="J1125" s="2" t="s">
        <v>16</v>
      </c>
    </row>
    <row r="1126" spans="1:10" ht="15.75" customHeight="1">
      <c r="A1126" s="9">
        <v>2023</v>
      </c>
      <c r="B1126" s="11" t="s">
        <v>273</v>
      </c>
      <c r="C1126" s="11" t="s">
        <v>273</v>
      </c>
      <c r="D1126" s="3" t="s">
        <v>274</v>
      </c>
      <c r="E1126" s="2" t="s">
        <v>16</v>
      </c>
      <c r="F1126" s="42">
        <v>5858113</v>
      </c>
      <c r="G1126" s="11" t="s">
        <v>273</v>
      </c>
      <c r="H1126" s="2" t="s">
        <v>272</v>
      </c>
      <c r="I1126" s="3"/>
      <c r="J1126" s="2" t="s">
        <v>16</v>
      </c>
    </row>
    <row r="1127" spans="1:10" ht="15.75" customHeight="1">
      <c r="A1127" s="9">
        <v>2023</v>
      </c>
      <c r="B1127" s="11" t="s">
        <v>270</v>
      </c>
      <c r="C1127" s="11" t="s">
        <v>270</v>
      </c>
      <c r="D1127" s="3" t="s">
        <v>164</v>
      </c>
      <c r="E1127" s="2" t="s">
        <v>16</v>
      </c>
      <c r="F1127" s="42">
        <v>1012580</v>
      </c>
      <c r="G1127" s="11" t="s">
        <v>270</v>
      </c>
      <c r="H1127" s="2" t="s">
        <v>272</v>
      </c>
      <c r="I1127" s="3"/>
      <c r="J1127" s="2" t="s">
        <v>16</v>
      </c>
    </row>
    <row r="1128" spans="1:10" ht="15.75" customHeight="1">
      <c r="A1128" s="9">
        <v>2023</v>
      </c>
      <c r="B1128" s="11" t="s">
        <v>280</v>
      </c>
      <c r="C1128" s="11" t="s">
        <v>280</v>
      </c>
      <c r="D1128" s="3" t="s">
        <v>206</v>
      </c>
      <c r="E1128" s="2" t="s">
        <v>16</v>
      </c>
      <c r="F1128" s="42">
        <v>0</v>
      </c>
      <c r="G1128" s="11" t="s">
        <v>280</v>
      </c>
      <c r="H1128" s="2" t="s">
        <v>272</v>
      </c>
      <c r="I1128" s="3"/>
      <c r="J1128" s="2" t="s">
        <v>16</v>
      </c>
    </row>
    <row r="1129" spans="1:10" ht="15.75" customHeight="1">
      <c r="A1129" s="9">
        <v>2023</v>
      </c>
      <c r="B1129" s="11" t="s">
        <v>281</v>
      </c>
      <c r="C1129" s="11" t="s">
        <v>281</v>
      </c>
      <c r="D1129" s="3" t="s">
        <v>282</v>
      </c>
      <c r="E1129" s="2" t="s">
        <v>16</v>
      </c>
      <c r="F1129" s="42">
        <v>0</v>
      </c>
      <c r="G1129" s="11" t="s">
        <v>281</v>
      </c>
      <c r="H1129" s="2" t="s">
        <v>272</v>
      </c>
      <c r="I1129" s="3"/>
      <c r="J1129" s="2" t="s">
        <v>16</v>
      </c>
    </row>
    <row r="1130" spans="1:10" ht="15.75" customHeight="1">
      <c r="A1130" s="9">
        <v>2023</v>
      </c>
      <c r="B1130" s="11" t="s">
        <v>10</v>
      </c>
      <c r="C1130" s="11" t="s">
        <v>10</v>
      </c>
      <c r="D1130" s="3" t="s">
        <v>11</v>
      </c>
      <c r="E1130" s="2" t="s">
        <v>16</v>
      </c>
      <c r="F1130" s="42">
        <v>7902431</v>
      </c>
      <c r="G1130" s="11" t="s">
        <v>10</v>
      </c>
      <c r="H1130" s="2" t="s">
        <v>275</v>
      </c>
      <c r="I1130" s="3"/>
      <c r="J1130" s="2" t="s">
        <v>16</v>
      </c>
    </row>
    <row r="1131" spans="1:10" ht="15.75" customHeight="1">
      <c r="A1131" s="9">
        <v>2023</v>
      </c>
      <c r="B1131" s="11" t="s">
        <v>57</v>
      </c>
      <c r="C1131" s="11" t="s">
        <v>57</v>
      </c>
      <c r="D1131" s="3" t="s">
        <v>58</v>
      </c>
      <c r="E1131" s="2" t="s">
        <v>16</v>
      </c>
      <c r="F1131" s="42">
        <v>1368121</v>
      </c>
      <c r="G1131" s="11" t="s">
        <v>57</v>
      </c>
      <c r="H1131" s="2" t="s">
        <v>275</v>
      </c>
      <c r="I1131" s="3"/>
      <c r="J1131" s="2" t="s">
        <v>16</v>
      </c>
    </row>
    <row r="1132" spans="1:10" ht="15.75" customHeight="1">
      <c r="A1132" s="9">
        <v>2023</v>
      </c>
      <c r="B1132" s="11" t="s">
        <v>276</v>
      </c>
      <c r="C1132" s="11" t="s">
        <v>136</v>
      </c>
      <c r="D1132" s="3" t="s">
        <v>137</v>
      </c>
      <c r="E1132" s="2" t="s">
        <v>16</v>
      </c>
      <c r="F1132" s="42">
        <v>1515698</v>
      </c>
      <c r="G1132" s="11" t="s">
        <v>276</v>
      </c>
      <c r="H1132" s="2" t="s">
        <v>275</v>
      </c>
      <c r="I1132" s="3"/>
      <c r="J1132" s="2" t="s">
        <v>16</v>
      </c>
    </row>
    <row r="1133" spans="1:10" ht="15.75" customHeight="1">
      <c r="A1133" s="9">
        <v>2023</v>
      </c>
      <c r="B1133" s="11" t="s">
        <v>188</v>
      </c>
      <c r="C1133" s="11" t="s">
        <v>188</v>
      </c>
      <c r="D1133" s="3" t="s">
        <v>189</v>
      </c>
      <c r="E1133" s="2" t="s">
        <v>16</v>
      </c>
      <c r="F1133" s="42">
        <v>3245100</v>
      </c>
      <c r="G1133" s="11" t="s">
        <v>188</v>
      </c>
      <c r="H1133" s="2" t="s">
        <v>275</v>
      </c>
      <c r="I1133" s="3"/>
      <c r="J1133" s="2" t="s">
        <v>16</v>
      </c>
    </row>
    <row r="1134" spans="1:10" ht="15.75" customHeight="1">
      <c r="A1134" s="9">
        <v>2023</v>
      </c>
      <c r="B1134" s="11" t="s">
        <v>203</v>
      </c>
      <c r="C1134" s="11" t="s">
        <v>203</v>
      </c>
      <c r="D1134" s="3" t="s">
        <v>204</v>
      </c>
      <c r="E1134" s="2" t="s">
        <v>16</v>
      </c>
      <c r="F1134" s="42">
        <v>580000</v>
      </c>
      <c r="G1134" s="11" t="s">
        <v>203</v>
      </c>
      <c r="H1134" s="2" t="s">
        <v>275</v>
      </c>
      <c r="I1134" s="3"/>
      <c r="J1134" s="2" t="s">
        <v>16</v>
      </c>
    </row>
    <row r="1135" spans="1:10" ht="15.75" customHeight="1">
      <c r="A1135" s="9">
        <v>2023</v>
      </c>
      <c r="B1135" s="11" t="s">
        <v>283</v>
      </c>
      <c r="C1135" s="11" t="s">
        <v>205</v>
      </c>
      <c r="D1135" s="3" t="s">
        <v>206</v>
      </c>
      <c r="E1135" s="2" t="s">
        <v>16</v>
      </c>
      <c r="F1135" s="42">
        <v>13489443</v>
      </c>
      <c r="G1135" s="11" t="s">
        <v>283</v>
      </c>
      <c r="H1135" s="2" t="s">
        <v>275</v>
      </c>
      <c r="I1135" s="3"/>
      <c r="J1135" s="2" t="s">
        <v>16</v>
      </c>
    </row>
    <row r="1136" spans="1:10" ht="15.75" customHeight="1">
      <c r="A1136" s="9">
        <v>2023</v>
      </c>
      <c r="B1136" s="11" t="s">
        <v>254</v>
      </c>
      <c r="C1136" s="11" t="s">
        <v>255</v>
      </c>
      <c r="D1136" s="3"/>
      <c r="E1136" s="2" t="s">
        <v>16</v>
      </c>
      <c r="F1136" s="42">
        <v>1218729</v>
      </c>
      <c r="G1136" s="11" t="s">
        <v>254</v>
      </c>
      <c r="H1136" s="2" t="s">
        <v>275</v>
      </c>
      <c r="I1136" s="3"/>
      <c r="J1136" s="2" t="s">
        <v>16</v>
      </c>
    </row>
    <row r="1137" spans="1:10" ht="15.75" customHeight="1">
      <c r="A1137" s="9">
        <v>2023</v>
      </c>
      <c r="B1137" s="11" t="s">
        <v>218</v>
      </c>
      <c r="C1137" s="11" t="s">
        <v>218</v>
      </c>
      <c r="D1137" s="3" t="s">
        <v>219</v>
      </c>
      <c r="E1137" s="2" t="s">
        <v>16</v>
      </c>
      <c r="F1137" s="42">
        <v>4035000</v>
      </c>
      <c r="G1137" s="11" t="s">
        <v>218</v>
      </c>
      <c r="H1137" s="2" t="s">
        <v>275</v>
      </c>
      <c r="I1137" s="3"/>
      <c r="J1137" s="2" t="s">
        <v>16</v>
      </c>
    </row>
    <row r="1138" spans="1:10" ht="15.75" customHeight="1">
      <c r="A1138" s="9">
        <v>2023</v>
      </c>
      <c r="B1138" s="11" t="s">
        <v>257</v>
      </c>
      <c r="C1138" s="11" t="s">
        <v>222</v>
      </c>
      <c r="D1138" s="3" t="s">
        <v>223</v>
      </c>
      <c r="E1138" s="2" t="s">
        <v>16</v>
      </c>
      <c r="F1138" s="42">
        <v>9179814</v>
      </c>
      <c r="G1138" s="11" t="s">
        <v>257</v>
      </c>
      <c r="H1138" s="2" t="s">
        <v>275</v>
      </c>
      <c r="I1138" s="3"/>
      <c r="J1138" s="2" t="s">
        <v>16</v>
      </c>
    </row>
    <row r="1139" spans="1:10" ht="15.75" customHeight="1">
      <c r="A1139" s="9">
        <v>2023</v>
      </c>
      <c r="B1139" s="11" t="s">
        <v>278</v>
      </c>
      <c r="C1139" s="11" t="s">
        <v>284</v>
      </c>
      <c r="D1139" s="3" t="s">
        <v>195</v>
      </c>
      <c r="E1139" s="2" t="s">
        <v>16</v>
      </c>
      <c r="F1139" s="42">
        <v>3909222</v>
      </c>
      <c r="G1139" s="11" t="s">
        <v>278</v>
      </c>
      <c r="H1139" s="2" t="s">
        <v>22</v>
      </c>
      <c r="I1139" s="3"/>
      <c r="J1139" s="2" t="s">
        <v>16</v>
      </c>
    </row>
    <row r="1140" spans="1:10" ht="15.75" customHeight="1">
      <c r="A1140" s="9">
        <v>2023</v>
      </c>
      <c r="B1140" s="11" t="s">
        <v>123</v>
      </c>
      <c r="C1140" s="11" t="s">
        <v>123</v>
      </c>
      <c r="D1140" s="3" t="s">
        <v>124</v>
      </c>
      <c r="E1140" s="2" t="s">
        <v>16</v>
      </c>
      <c r="F1140" s="42">
        <v>975016</v>
      </c>
      <c r="G1140" s="11" t="s">
        <v>123</v>
      </c>
      <c r="H1140" s="2" t="s">
        <v>22</v>
      </c>
      <c r="I1140" s="3"/>
      <c r="J1140" s="2" t="s">
        <v>16</v>
      </c>
    </row>
    <row r="1141" spans="1:10" ht="15.75" customHeight="1">
      <c r="A1141" s="9">
        <v>2023</v>
      </c>
      <c r="B1141" s="11" t="s">
        <v>168</v>
      </c>
      <c r="C1141" s="11" t="s">
        <v>168</v>
      </c>
      <c r="D1141" s="3" t="s">
        <v>169</v>
      </c>
      <c r="E1141" s="2" t="s">
        <v>16</v>
      </c>
      <c r="F1141" s="42">
        <v>20605258</v>
      </c>
      <c r="G1141" s="11" t="s">
        <v>168</v>
      </c>
      <c r="H1141" s="2" t="s">
        <v>22</v>
      </c>
      <c r="I1141" s="3"/>
      <c r="J1141" s="2" t="s">
        <v>16</v>
      </c>
    </row>
    <row r="1142" spans="1:10" ht="15.75" customHeight="1">
      <c r="A1142" s="9">
        <v>2023</v>
      </c>
      <c r="B1142" s="11" t="s">
        <v>120</v>
      </c>
      <c r="C1142" s="11" t="s">
        <v>120</v>
      </c>
      <c r="D1142" s="3" t="s">
        <v>121</v>
      </c>
      <c r="E1142" s="2" t="s">
        <v>16</v>
      </c>
      <c r="F1142" s="42">
        <v>213000</v>
      </c>
      <c r="G1142" s="11" t="s">
        <v>120</v>
      </c>
      <c r="H1142" s="2" t="s">
        <v>279</v>
      </c>
      <c r="I1142" s="3"/>
      <c r="J1142" s="2" t="s">
        <v>16</v>
      </c>
    </row>
    <row r="1143" spans="1:10" ht="15.75" customHeight="1">
      <c r="A1143" s="9">
        <v>2023</v>
      </c>
      <c r="B1143" s="11" t="s">
        <v>10</v>
      </c>
      <c r="C1143" s="11" t="s">
        <v>10</v>
      </c>
      <c r="D1143" s="47" t="s">
        <v>11</v>
      </c>
      <c r="E1143" s="2" t="s">
        <v>15</v>
      </c>
      <c r="F1143" s="42">
        <v>3227372908</v>
      </c>
      <c r="G1143" s="11" t="s">
        <v>10</v>
      </c>
      <c r="H1143" s="2" t="s">
        <v>269</v>
      </c>
      <c r="I1143" s="3"/>
      <c r="J1143" s="2" t="s">
        <v>15</v>
      </c>
    </row>
    <row r="1144" spans="1:10" ht="15.75" customHeight="1">
      <c r="A1144" s="9">
        <v>2023</v>
      </c>
      <c r="B1144" s="11" t="s">
        <v>24</v>
      </c>
      <c r="C1144" s="11" t="s">
        <v>24</v>
      </c>
      <c r="D1144" s="3" t="s">
        <v>25</v>
      </c>
      <c r="E1144" s="2" t="s">
        <v>15</v>
      </c>
      <c r="F1144" s="42">
        <v>876731475</v>
      </c>
      <c r="G1144" s="11" t="s">
        <v>24</v>
      </c>
      <c r="H1144" s="2" t="s">
        <v>269</v>
      </c>
      <c r="I1144" s="3"/>
      <c r="J1144" s="2" t="s">
        <v>15</v>
      </c>
    </row>
    <row r="1145" spans="1:10" ht="15.75" customHeight="1">
      <c r="A1145" s="9">
        <v>2023</v>
      </c>
      <c r="B1145" s="11" t="s">
        <v>30</v>
      </c>
      <c r="C1145" s="11" t="s">
        <v>30</v>
      </c>
      <c r="D1145" s="3" t="s">
        <v>31</v>
      </c>
      <c r="E1145" s="2" t="s">
        <v>15</v>
      </c>
      <c r="F1145" s="42">
        <v>237180119</v>
      </c>
      <c r="G1145" s="11" t="s">
        <v>30</v>
      </c>
      <c r="H1145" s="2" t="s">
        <v>269</v>
      </c>
      <c r="I1145" s="3"/>
      <c r="J1145" s="2" t="s">
        <v>15</v>
      </c>
    </row>
    <row r="1146" spans="1:10" ht="15.75" customHeight="1">
      <c r="A1146" s="9">
        <v>2023</v>
      </c>
      <c r="B1146" s="11" t="s">
        <v>38</v>
      </c>
      <c r="C1146" s="11" t="s">
        <v>38</v>
      </c>
      <c r="D1146" s="3" t="s">
        <v>39</v>
      </c>
      <c r="E1146" s="2" t="s">
        <v>15</v>
      </c>
      <c r="F1146" s="42">
        <v>407309869</v>
      </c>
      <c r="G1146" s="11" t="s">
        <v>38</v>
      </c>
      <c r="H1146" s="2" t="s">
        <v>269</v>
      </c>
      <c r="I1146" s="3"/>
      <c r="J1146" s="2" t="s">
        <v>15</v>
      </c>
    </row>
    <row r="1147" spans="1:10" ht="15.75" customHeight="1">
      <c r="A1147" s="9">
        <v>2023</v>
      </c>
      <c r="B1147" s="11" t="s">
        <v>41</v>
      </c>
      <c r="C1147" s="11" t="s">
        <v>41</v>
      </c>
      <c r="D1147" s="3" t="s">
        <v>42</v>
      </c>
      <c r="E1147" s="2" t="s">
        <v>15</v>
      </c>
      <c r="F1147" s="42">
        <v>533305798</v>
      </c>
      <c r="G1147" s="11" t="s">
        <v>41</v>
      </c>
      <c r="H1147" s="2" t="s">
        <v>269</v>
      </c>
      <c r="I1147" s="3"/>
      <c r="J1147" s="2" t="s">
        <v>15</v>
      </c>
    </row>
    <row r="1148" spans="1:10" ht="15.75" customHeight="1">
      <c r="A1148" s="9">
        <v>2023</v>
      </c>
      <c r="B1148" s="11" t="s">
        <v>44</v>
      </c>
      <c r="C1148" s="11" t="s">
        <v>44</v>
      </c>
      <c r="D1148" s="3" t="s">
        <v>45</v>
      </c>
      <c r="E1148" s="2" t="s">
        <v>15</v>
      </c>
      <c r="F1148" s="42">
        <v>920624766</v>
      </c>
      <c r="G1148" s="11" t="s">
        <v>44</v>
      </c>
      <c r="H1148" s="2" t="s">
        <v>269</v>
      </c>
      <c r="I1148" s="3"/>
      <c r="J1148" s="2" t="s">
        <v>15</v>
      </c>
    </row>
    <row r="1149" spans="1:10" ht="15.75" customHeight="1">
      <c r="A1149" s="9">
        <v>2023</v>
      </c>
      <c r="B1149" s="11" t="s">
        <v>80</v>
      </c>
      <c r="C1149" s="11" t="s">
        <v>80</v>
      </c>
      <c r="D1149" s="3" t="s">
        <v>81</v>
      </c>
      <c r="E1149" s="2" t="s">
        <v>15</v>
      </c>
      <c r="F1149" s="42">
        <v>283317893</v>
      </c>
      <c r="G1149" s="11" t="s">
        <v>80</v>
      </c>
      <c r="H1149" s="2" t="s">
        <v>269</v>
      </c>
      <c r="I1149" s="3"/>
      <c r="J1149" s="2" t="s">
        <v>15</v>
      </c>
    </row>
    <row r="1150" spans="1:10" ht="15.75" customHeight="1">
      <c r="A1150" s="9">
        <v>2023</v>
      </c>
      <c r="B1150" s="11" t="s">
        <v>57</v>
      </c>
      <c r="C1150" s="11" t="s">
        <v>57</v>
      </c>
      <c r="D1150" s="3" t="s">
        <v>58</v>
      </c>
      <c r="E1150" s="2" t="s">
        <v>15</v>
      </c>
      <c r="F1150" s="42">
        <v>2252684083</v>
      </c>
      <c r="G1150" s="11" t="s">
        <v>57</v>
      </c>
      <c r="H1150" s="2" t="s">
        <v>269</v>
      </c>
      <c r="I1150" s="3"/>
      <c r="J1150" s="2" t="s">
        <v>15</v>
      </c>
    </row>
    <row r="1151" spans="1:10" ht="15.75" customHeight="1">
      <c r="A1151" s="9">
        <v>2023</v>
      </c>
      <c r="B1151" s="11" t="s">
        <v>153</v>
      </c>
      <c r="C1151" s="11" t="s">
        <v>153</v>
      </c>
      <c r="D1151" s="3" t="s">
        <v>268</v>
      </c>
      <c r="E1151" s="2" t="s">
        <v>15</v>
      </c>
      <c r="F1151" s="42">
        <v>98416155</v>
      </c>
      <c r="G1151" s="11" t="s">
        <v>153</v>
      </c>
      <c r="H1151" s="2" t="s">
        <v>269</v>
      </c>
      <c r="I1151" s="3"/>
      <c r="J1151" s="2" t="s">
        <v>15</v>
      </c>
    </row>
    <row r="1152" spans="1:10" ht="15.75" customHeight="1">
      <c r="A1152" s="9">
        <v>2023</v>
      </c>
      <c r="B1152" s="11" t="s">
        <v>78</v>
      </c>
      <c r="C1152" s="11" t="s">
        <v>78</v>
      </c>
      <c r="D1152" s="3" t="s">
        <v>79</v>
      </c>
      <c r="E1152" s="2" t="s">
        <v>15</v>
      </c>
      <c r="F1152" s="42">
        <v>3994813508</v>
      </c>
      <c r="G1152" s="11" t="s">
        <v>78</v>
      </c>
      <c r="H1152" s="2" t="s">
        <v>269</v>
      </c>
      <c r="I1152" s="3"/>
      <c r="J1152" s="2" t="s">
        <v>15</v>
      </c>
    </row>
    <row r="1153" spans="1:10" ht="15.75" customHeight="1">
      <c r="A1153" s="9">
        <v>2023</v>
      </c>
      <c r="B1153" s="11" t="s">
        <v>64</v>
      </c>
      <c r="C1153" s="11" t="s">
        <v>64</v>
      </c>
      <c r="D1153" s="3" t="s">
        <v>65</v>
      </c>
      <c r="E1153" s="2" t="s">
        <v>15</v>
      </c>
      <c r="F1153" s="42">
        <v>126145348</v>
      </c>
      <c r="G1153" s="11" t="s">
        <v>64</v>
      </c>
      <c r="H1153" s="2" t="s">
        <v>269</v>
      </c>
      <c r="I1153" s="3"/>
      <c r="J1153" s="2" t="s">
        <v>15</v>
      </c>
    </row>
    <row r="1154" spans="1:10" ht="15.75" customHeight="1">
      <c r="A1154" s="9">
        <v>2023</v>
      </c>
      <c r="B1154" s="11" t="s">
        <v>82</v>
      </c>
      <c r="C1154" s="11" t="s">
        <v>82</v>
      </c>
      <c r="D1154" s="3" t="s">
        <v>83</v>
      </c>
      <c r="E1154" s="2" t="s">
        <v>15</v>
      </c>
      <c r="F1154" s="42">
        <v>719857713</v>
      </c>
      <c r="G1154" s="11" t="s">
        <v>82</v>
      </c>
      <c r="H1154" s="2" t="s">
        <v>269</v>
      </c>
      <c r="I1154" s="3"/>
      <c r="J1154" s="2" t="s">
        <v>15</v>
      </c>
    </row>
    <row r="1155" spans="1:10" ht="15.75" customHeight="1">
      <c r="A1155" s="9">
        <v>2023</v>
      </c>
      <c r="B1155" s="11" t="s">
        <v>69</v>
      </c>
      <c r="C1155" s="11" t="s">
        <v>69</v>
      </c>
      <c r="D1155" s="3" t="s">
        <v>70</v>
      </c>
      <c r="E1155" s="2" t="s">
        <v>15</v>
      </c>
      <c r="F1155" s="42">
        <v>280360869</v>
      </c>
      <c r="G1155" s="11" t="s">
        <v>69</v>
      </c>
      <c r="H1155" s="2" t="s">
        <v>269</v>
      </c>
      <c r="I1155" s="3"/>
      <c r="J1155" s="2" t="s">
        <v>15</v>
      </c>
    </row>
    <row r="1156" spans="1:10" ht="15.75" customHeight="1">
      <c r="A1156" s="9">
        <v>2023</v>
      </c>
      <c r="B1156" s="11" t="s">
        <v>129</v>
      </c>
      <c r="C1156" s="11" t="s">
        <v>129</v>
      </c>
      <c r="D1156" s="3" t="s">
        <v>130</v>
      </c>
      <c r="E1156" s="2" t="s">
        <v>15</v>
      </c>
      <c r="F1156" s="42">
        <v>751470941</v>
      </c>
      <c r="G1156" s="11" t="s">
        <v>129</v>
      </c>
      <c r="H1156" s="2" t="s">
        <v>269</v>
      </c>
      <c r="I1156" s="3"/>
      <c r="J1156" s="2" t="s">
        <v>15</v>
      </c>
    </row>
    <row r="1157" spans="1:10" ht="15.75" customHeight="1">
      <c r="A1157" s="9">
        <v>2023</v>
      </c>
      <c r="B1157" s="11" t="s">
        <v>123</v>
      </c>
      <c r="C1157" s="11" t="s">
        <v>123</v>
      </c>
      <c r="D1157" s="3" t="s">
        <v>124</v>
      </c>
      <c r="E1157" s="2" t="s">
        <v>15</v>
      </c>
      <c r="F1157" s="42">
        <v>512912994</v>
      </c>
      <c r="G1157" s="11" t="s">
        <v>123</v>
      </c>
      <c r="H1157" s="2" t="s">
        <v>269</v>
      </c>
      <c r="I1157" s="3"/>
      <c r="J1157" s="2" t="s">
        <v>15</v>
      </c>
    </row>
    <row r="1158" spans="1:10" ht="15.75" customHeight="1">
      <c r="A1158" s="9">
        <v>2023</v>
      </c>
      <c r="B1158" s="11" t="s">
        <v>136</v>
      </c>
      <c r="C1158" s="11" t="s">
        <v>136</v>
      </c>
      <c r="D1158" s="3" t="s">
        <v>137</v>
      </c>
      <c r="E1158" s="2" t="s">
        <v>15</v>
      </c>
      <c r="F1158" s="42">
        <v>886738899</v>
      </c>
      <c r="G1158" s="11" t="s">
        <v>136</v>
      </c>
      <c r="H1158" s="2" t="s">
        <v>269</v>
      </c>
      <c r="I1158" s="3"/>
      <c r="J1158" s="2" t="s">
        <v>15</v>
      </c>
    </row>
    <row r="1159" spans="1:10" ht="15.75" customHeight="1">
      <c r="A1159" s="9">
        <v>2023</v>
      </c>
      <c r="B1159" s="11" t="s">
        <v>143</v>
      </c>
      <c r="C1159" s="11" t="s">
        <v>143</v>
      </c>
      <c r="D1159" s="3" t="s">
        <v>144</v>
      </c>
      <c r="E1159" s="2" t="s">
        <v>15</v>
      </c>
      <c r="F1159" s="42">
        <v>583906619</v>
      </c>
      <c r="G1159" s="11" t="s">
        <v>143</v>
      </c>
      <c r="H1159" s="2" t="s">
        <v>269</v>
      </c>
      <c r="I1159" s="3"/>
      <c r="J1159" s="2" t="s">
        <v>15</v>
      </c>
    </row>
    <row r="1160" spans="1:10" ht="15.75" customHeight="1">
      <c r="A1160" s="9">
        <v>2023</v>
      </c>
      <c r="B1160" s="11" t="s">
        <v>155</v>
      </c>
      <c r="C1160" s="11" t="s">
        <v>155</v>
      </c>
      <c r="D1160" s="3" t="s">
        <v>156</v>
      </c>
      <c r="E1160" s="2" t="s">
        <v>15</v>
      </c>
      <c r="F1160" s="42">
        <v>1311953516</v>
      </c>
      <c r="G1160" s="11" t="s">
        <v>155</v>
      </c>
      <c r="H1160" s="2" t="s">
        <v>269</v>
      </c>
      <c r="I1160" s="3"/>
      <c r="J1160" s="2" t="s">
        <v>15</v>
      </c>
    </row>
    <row r="1161" spans="1:10" ht="15.75" customHeight="1">
      <c r="A1161" s="9">
        <v>2023</v>
      </c>
      <c r="B1161" s="11" t="s">
        <v>270</v>
      </c>
      <c r="C1161" s="11" t="s">
        <v>270</v>
      </c>
      <c r="D1161" s="3" t="s">
        <v>164</v>
      </c>
      <c r="E1161" s="2" t="s">
        <v>15</v>
      </c>
      <c r="F1161" s="42">
        <v>376729201</v>
      </c>
      <c r="G1161" s="11" t="s">
        <v>270</v>
      </c>
      <c r="H1161" s="2" t="s">
        <v>269</v>
      </c>
      <c r="I1161" s="3"/>
      <c r="J1161" s="2" t="s">
        <v>15</v>
      </c>
    </row>
    <row r="1162" spans="1:10" ht="15.75" customHeight="1">
      <c r="A1162" s="9">
        <v>2023</v>
      </c>
      <c r="B1162" s="11" t="s">
        <v>185</v>
      </c>
      <c r="C1162" s="11" t="s">
        <v>185</v>
      </c>
      <c r="D1162" s="3" t="s">
        <v>186</v>
      </c>
      <c r="E1162" s="2" t="s">
        <v>15</v>
      </c>
      <c r="F1162" s="42">
        <v>2599161218</v>
      </c>
      <c r="G1162" s="11" t="s">
        <v>185</v>
      </c>
      <c r="H1162" s="2" t="s">
        <v>269</v>
      </c>
      <c r="I1162" s="3"/>
      <c r="J1162" s="2" t="s">
        <v>15</v>
      </c>
    </row>
    <row r="1163" spans="1:10" ht="15.75" customHeight="1">
      <c r="A1163" s="9">
        <v>2023</v>
      </c>
      <c r="B1163" s="11" t="s">
        <v>188</v>
      </c>
      <c r="C1163" s="11" t="s">
        <v>188</v>
      </c>
      <c r="D1163" s="3" t="s">
        <v>189</v>
      </c>
      <c r="E1163" s="2" t="s">
        <v>15</v>
      </c>
      <c r="F1163" s="42">
        <v>2055885216</v>
      </c>
      <c r="G1163" s="11" t="s">
        <v>188</v>
      </c>
      <c r="H1163" s="2" t="s">
        <v>269</v>
      </c>
      <c r="I1163" s="3"/>
      <c r="J1163" s="2" t="s">
        <v>15</v>
      </c>
    </row>
    <row r="1164" spans="1:10" ht="15.75" customHeight="1">
      <c r="A1164" s="9">
        <v>2023</v>
      </c>
      <c r="B1164" s="11" t="s">
        <v>203</v>
      </c>
      <c r="C1164" s="11" t="s">
        <v>203</v>
      </c>
      <c r="D1164" s="3" t="s">
        <v>204</v>
      </c>
      <c r="E1164" s="2" t="s">
        <v>15</v>
      </c>
      <c r="F1164" s="42">
        <v>2565230201</v>
      </c>
      <c r="G1164" s="11" t="s">
        <v>203</v>
      </c>
      <c r="H1164" s="2" t="s">
        <v>269</v>
      </c>
      <c r="I1164" s="3"/>
      <c r="J1164" s="2" t="s">
        <v>15</v>
      </c>
    </row>
    <row r="1165" spans="1:10" ht="15.75" customHeight="1">
      <c r="A1165" s="9">
        <v>2023</v>
      </c>
      <c r="B1165" s="11" t="s">
        <v>271</v>
      </c>
      <c r="C1165" s="11" t="s">
        <v>271</v>
      </c>
      <c r="D1165" s="3" t="s">
        <v>206</v>
      </c>
      <c r="E1165" s="2" t="s">
        <v>15</v>
      </c>
      <c r="F1165" s="42">
        <v>5413802598</v>
      </c>
      <c r="G1165" s="11" t="s">
        <v>271</v>
      </c>
      <c r="H1165" s="2" t="s">
        <v>269</v>
      </c>
      <c r="I1165" s="3"/>
      <c r="J1165" s="2" t="s">
        <v>15</v>
      </c>
    </row>
    <row r="1166" spans="1:10" ht="15.75" customHeight="1">
      <c r="A1166" s="9">
        <v>2023</v>
      </c>
      <c r="B1166" s="11" t="s">
        <v>218</v>
      </c>
      <c r="C1166" s="11" t="s">
        <v>218</v>
      </c>
      <c r="D1166" s="3" t="s">
        <v>219</v>
      </c>
      <c r="E1166" s="2" t="s">
        <v>15</v>
      </c>
      <c r="F1166" s="42">
        <v>3945656687</v>
      </c>
      <c r="G1166" s="11" t="s">
        <v>218</v>
      </c>
      <c r="H1166" s="2" t="s">
        <v>269</v>
      </c>
      <c r="I1166" s="3"/>
      <c r="J1166" s="2" t="s">
        <v>15</v>
      </c>
    </row>
    <row r="1167" spans="1:10" ht="15.75" customHeight="1">
      <c r="A1167" s="9">
        <v>2023</v>
      </c>
      <c r="B1167" s="11" t="s">
        <v>222</v>
      </c>
      <c r="C1167" s="11" t="s">
        <v>222</v>
      </c>
      <c r="D1167" s="3" t="s">
        <v>223</v>
      </c>
      <c r="E1167" s="2" t="s">
        <v>15</v>
      </c>
      <c r="F1167" s="42">
        <v>719581691</v>
      </c>
      <c r="G1167" s="11" t="s">
        <v>222</v>
      </c>
      <c r="H1167" s="2" t="s">
        <v>269</v>
      </c>
      <c r="I1167" s="3"/>
      <c r="J1167" s="2" t="s">
        <v>15</v>
      </c>
    </row>
    <row r="1168" spans="1:10" ht="15.75" customHeight="1">
      <c r="A1168" s="9">
        <v>2023</v>
      </c>
      <c r="B1168" s="11" t="s">
        <v>225</v>
      </c>
      <c r="C1168" s="11" t="s">
        <v>225</v>
      </c>
      <c r="D1168" s="3" t="s">
        <v>226</v>
      </c>
      <c r="E1168" s="2" t="s">
        <v>15</v>
      </c>
      <c r="F1168" s="42">
        <v>4344155316</v>
      </c>
      <c r="G1168" s="11" t="s">
        <v>225</v>
      </c>
      <c r="H1168" s="2" t="s">
        <v>269</v>
      </c>
      <c r="I1168" s="3"/>
      <c r="J1168" s="2" t="s">
        <v>15</v>
      </c>
    </row>
    <row r="1169" spans="1:10" ht="15.75" customHeight="1">
      <c r="A1169" s="9">
        <v>2023</v>
      </c>
      <c r="B1169" s="11" t="s">
        <v>112</v>
      </c>
      <c r="C1169" s="11" t="s">
        <v>112</v>
      </c>
      <c r="D1169" s="3" t="s">
        <v>113</v>
      </c>
      <c r="E1169" s="2" t="s">
        <v>15</v>
      </c>
      <c r="F1169" s="42">
        <v>451825224</v>
      </c>
      <c r="G1169" s="11" t="s">
        <v>112</v>
      </c>
      <c r="H1169" s="2" t="s">
        <v>272</v>
      </c>
      <c r="I1169" s="3"/>
      <c r="J1169" s="2" t="s">
        <v>15</v>
      </c>
    </row>
    <row r="1170" spans="1:10" ht="15.75" customHeight="1">
      <c r="A1170" s="9">
        <v>2023</v>
      </c>
      <c r="B1170" s="11" t="s">
        <v>115</v>
      </c>
      <c r="C1170" s="11" t="s">
        <v>115</v>
      </c>
      <c r="D1170" s="3" t="s">
        <v>116</v>
      </c>
      <c r="E1170" s="2" t="s">
        <v>15</v>
      </c>
      <c r="F1170" s="42">
        <v>37731860</v>
      </c>
      <c r="G1170" s="11" t="s">
        <v>115</v>
      </c>
      <c r="H1170" s="2" t="s">
        <v>272</v>
      </c>
      <c r="I1170" s="3"/>
      <c r="J1170" s="2" t="s">
        <v>15</v>
      </c>
    </row>
    <row r="1171" spans="1:10" ht="15.75" customHeight="1">
      <c r="A1171" s="9">
        <v>2023</v>
      </c>
      <c r="B1171" s="11" t="s">
        <v>105</v>
      </c>
      <c r="C1171" s="11" t="s">
        <v>105</v>
      </c>
      <c r="D1171" s="3" t="s">
        <v>106</v>
      </c>
      <c r="E1171" s="2" t="s">
        <v>15</v>
      </c>
      <c r="F1171" s="42">
        <v>214681354</v>
      </c>
      <c r="G1171" s="11" t="s">
        <v>105</v>
      </c>
      <c r="H1171" s="2" t="s">
        <v>272</v>
      </c>
      <c r="I1171" s="3"/>
      <c r="J1171" s="2" t="s">
        <v>15</v>
      </c>
    </row>
    <row r="1172" spans="1:10" ht="15.75" customHeight="1">
      <c r="A1172" s="9">
        <v>2023</v>
      </c>
      <c r="B1172" s="11" t="s">
        <v>273</v>
      </c>
      <c r="C1172" s="11" t="s">
        <v>273</v>
      </c>
      <c r="D1172" s="3" t="s">
        <v>274</v>
      </c>
      <c r="E1172" s="2" t="s">
        <v>15</v>
      </c>
      <c r="F1172" s="42">
        <v>115945732</v>
      </c>
      <c r="G1172" s="11" t="s">
        <v>273</v>
      </c>
      <c r="H1172" s="2" t="s">
        <v>272</v>
      </c>
      <c r="I1172" s="3"/>
      <c r="J1172" s="2" t="s">
        <v>15</v>
      </c>
    </row>
    <row r="1173" spans="1:10" ht="15.75" customHeight="1">
      <c r="A1173" s="9">
        <v>2023</v>
      </c>
      <c r="B1173" s="11" t="s">
        <v>270</v>
      </c>
      <c r="C1173" s="11" t="s">
        <v>270</v>
      </c>
      <c r="D1173" s="3" t="s">
        <v>164</v>
      </c>
      <c r="E1173" s="2" t="s">
        <v>15</v>
      </c>
      <c r="F1173" s="42">
        <v>629098307</v>
      </c>
      <c r="G1173" s="11" t="s">
        <v>270</v>
      </c>
      <c r="H1173" s="2" t="s">
        <v>272</v>
      </c>
      <c r="I1173" s="3"/>
      <c r="J1173" s="2" t="s">
        <v>15</v>
      </c>
    </row>
    <row r="1174" spans="1:10" ht="15.75" customHeight="1">
      <c r="A1174" s="9">
        <v>2023</v>
      </c>
      <c r="B1174" s="11" t="s">
        <v>280</v>
      </c>
      <c r="C1174" s="11" t="s">
        <v>280</v>
      </c>
      <c r="D1174" s="3" t="s">
        <v>206</v>
      </c>
      <c r="E1174" s="2" t="s">
        <v>15</v>
      </c>
      <c r="F1174" s="42">
        <v>397623464</v>
      </c>
      <c r="G1174" s="11" t="s">
        <v>280</v>
      </c>
      <c r="H1174" s="2" t="s">
        <v>272</v>
      </c>
      <c r="I1174" s="3"/>
      <c r="J1174" s="2" t="s">
        <v>15</v>
      </c>
    </row>
    <row r="1175" spans="1:10" ht="15.75" customHeight="1">
      <c r="A1175" s="9">
        <v>2023</v>
      </c>
      <c r="B1175" s="11" t="s">
        <v>281</v>
      </c>
      <c r="C1175" s="11" t="s">
        <v>281</v>
      </c>
      <c r="D1175" s="3" t="s">
        <v>282</v>
      </c>
      <c r="E1175" s="2" t="s">
        <v>15</v>
      </c>
      <c r="F1175" s="42">
        <v>1006545000</v>
      </c>
      <c r="G1175" s="11" t="s">
        <v>281</v>
      </c>
      <c r="H1175" s="2" t="s">
        <v>272</v>
      </c>
      <c r="I1175" s="3"/>
      <c r="J1175" s="2" t="s">
        <v>15</v>
      </c>
    </row>
    <row r="1176" spans="1:10" ht="15.75" customHeight="1">
      <c r="A1176" s="9">
        <v>2023</v>
      </c>
      <c r="B1176" s="11" t="s">
        <v>10</v>
      </c>
      <c r="C1176" s="11" t="s">
        <v>10</v>
      </c>
      <c r="D1176" s="3" t="s">
        <v>11</v>
      </c>
      <c r="E1176" s="2" t="s">
        <v>15</v>
      </c>
      <c r="F1176" s="42">
        <v>613012986</v>
      </c>
      <c r="G1176" s="11" t="s">
        <v>10</v>
      </c>
      <c r="H1176" s="2" t="s">
        <v>275</v>
      </c>
      <c r="I1176" s="3"/>
      <c r="J1176" s="2" t="s">
        <v>15</v>
      </c>
    </row>
    <row r="1177" spans="1:10" ht="15.75" customHeight="1">
      <c r="A1177" s="9">
        <v>2023</v>
      </c>
      <c r="B1177" s="11" t="s">
        <v>57</v>
      </c>
      <c r="C1177" s="11" t="s">
        <v>57</v>
      </c>
      <c r="D1177" s="3" t="s">
        <v>58</v>
      </c>
      <c r="E1177" s="2" t="s">
        <v>15</v>
      </c>
      <c r="F1177" s="42">
        <v>549404765</v>
      </c>
      <c r="G1177" s="11" t="s">
        <v>57</v>
      </c>
      <c r="H1177" s="2" t="s">
        <v>275</v>
      </c>
      <c r="I1177" s="3"/>
      <c r="J1177" s="2" t="s">
        <v>15</v>
      </c>
    </row>
    <row r="1178" spans="1:10" ht="15.75" customHeight="1">
      <c r="A1178" s="9">
        <v>2023</v>
      </c>
      <c r="B1178" s="11" t="s">
        <v>276</v>
      </c>
      <c r="C1178" s="11" t="s">
        <v>136</v>
      </c>
      <c r="D1178" s="3" t="s">
        <v>137</v>
      </c>
      <c r="E1178" s="2" t="s">
        <v>15</v>
      </c>
      <c r="F1178" s="42">
        <v>875927365</v>
      </c>
      <c r="G1178" s="11" t="s">
        <v>276</v>
      </c>
      <c r="H1178" s="2" t="s">
        <v>275</v>
      </c>
      <c r="I1178" s="3"/>
      <c r="J1178" s="2" t="s">
        <v>15</v>
      </c>
    </row>
    <row r="1179" spans="1:10" ht="15.75" customHeight="1">
      <c r="A1179" s="9">
        <v>2023</v>
      </c>
      <c r="B1179" s="11" t="s">
        <v>188</v>
      </c>
      <c r="C1179" s="11" t="s">
        <v>188</v>
      </c>
      <c r="D1179" s="3" t="s">
        <v>189</v>
      </c>
      <c r="E1179" s="2" t="s">
        <v>15</v>
      </c>
      <c r="F1179" s="42">
        <v>950234784</v>
      </c>
      <c r="G1179" s="11" t="s">
        <v>188</v>
      </c>
      <c r="H1179" s="2" t="s">
        <v>275</v>
      </c>
      <c r="I1179" s="3"/>
      <c r="J1179" s="2" t="s">
        <v>15</v>
      </c>
    </row>
    <row r="1180" spans="1:10" ht="15.75" customHeight="1">
      <c r="A1180" s="9">
        <v>2023</v>
      </c>
      <c r="B1180" s="11" t="s">
        <v>203</v>
      </c>
      <c r="C1180" s="11" t="s">
        <v>203</v>
      </c>
      <c r="D1180" s="3" t="s">
        <v>204</v>
      </c>
      <c r="E1180" s="2" t="s">
        <v>15</v>
      </c>
      <c r="F1180" s="42">
        <v>217629924</v>
      </c>
      <c r="G1180" s="11" t="s">
        <v>203</v>
      </c>
      <c r="H1180" s="2" t="s">
        <v>275</v>
      </c>
      <c r="I1180" s="3"/>
      <c r="J1180" s="2" t="s">
        <v>15</v>
      </c>
    </row>
    <row r="1181" spans="1:10" ht="15.75" customHeight="1">
      <c r="A1181" s="9">
        <v>2023</v>
      </c>
      <c r="B1181" s="11" t="s">
        <v>283</v>
      </c>
      <c r="C1181" s="11" t="s">
        <v>205</v>
      </c>
      <c r="D1181" s="3" t="s">
        <v>206</v>
      </c>
      <c r="E1181" s="2" t="s">
        <v>15</v>
      </c>
      <c r="F1181" s="42">
        <v>5856939096</v>
      </c>
      <c r="G1181" s="11" t="s">
        <v>283</v>
      </c>
      <c r="H1181" s="2" t="s">
        <v>275</v>
      </c>
      <c r="I1181" s="3"/>
      <c r="J1181" s="2" t="s">
        <v>15</v>
      </c>
    </row>
    <row r="1182" spans="1:10" ht="15.75" customHeight="1">
      <c r="A1182" s="9">
        <v>2023</v>
      </c>
      <c r="B1182" s="11" t="s">
        <v>254</v>
      </c>
      <c r="C1182" s="11" t="s">
        <v>255</v>
      </c>
      <c r="D1182" s="3"/>
      <c r="E1182" s="2" t="s">
        <v>15</v>
      </c>
      <c r="F1182" s="42">
        <v>60414277</v>
      </c>
      <c r="G1182" s="11" t="s">
        <v>254</v>
      </c>
      <c r="H1182" s="2" t="s">
        <v>275</v>
      </c>
      <c r="I1182" s="3"/>
      <c r="J1182" s="2" t="s">
        <v>15</v>
      </c>
    </row>
    <row r="1183" spans="1:10" ht="15.75" customHeight="1">
      <c r="A1183" s="9">
        <v>2023</v>
      </c>
      <c r="B1183" s="11" t="s">
        <v>218</v>
      </c>
      <c r="C1183" s="11" t="s">
        <v>218</v>
      </c>
      <c r="D1183" s="3" t="s">
        <v>219</v>
      </c>
      <c r="E1183" s="2" t="s">
        <v>15</v>
      </c>
      <c r="F1183" s="42">
        <v>1685495256</v>
      </c>
      <c r="G1183" s="11" t="s">
        <v>218</v>
      </c>
      <c r="H1183" s="2" t="s">
        <v>275</v>
      </c>
      <c r="I1183" s="3"/>
      <c r="J1183" s="2" t="s">
        <v>15</v>
      </c>
    </row>
    <row r="1184" spans="1:10" ht="15.75" customHeight="1">
      <c r="A1184" s="9">
        <v>2023</v>
      </c>
      <c r="B1184" s="11" t="s">
        <v>257</v>
      </c>
      <c r="C1184" s="11" t="s">
        <v>222</v>
      </c>
      <c r="D1184" s="3" t="s">
        <v>223</v>
      </c>
      <c r="E1184" s="2" t="s">
        <v>15</v>
      </c>
      <c r="F1184" s="42">
        <v>1715042189</v>
      </c>
      <c r="G1184" s="11" t="s">
        <v>257</v>
      </c>
      <c r="H1184" s="2" t="s">
        <v>275</v>
      </c>
      <c r="I1184" s="3"/>
      <c r="J1184" s="2" t="s">
        <v>15</v>
      </c>
    </row>
    <row r="1185" spans="1:10" ht="15.75" customHeight="1">
      <c r="A1185" s="9">
        <v>2023</v>
      </c>
      <c r="B1185" s="11" t="s">
        <v>278</v>
      </c>
      <c r="C1185" s="11" t="s">
        <v>284</v>
      </c>
      <c r="D1185" s="3" t="s">
        <v>195</v>
      </c>
      <c r="E1185" s="2" t="s">
        <v>15</v>
      </c>
      <c r="F1185" s="42">
        <v>200203540</v>
      </c>
      <c r="G1185" s="11" t="s">
        <v>278</v>
      </c>
      <c r="H1185" s="2" t="s">
        <v>22</v>
      </c>
      <c r="I1185" s="3"/>
      <c r="J1185" s="2" t="s">
        <v>15</v>
      </c>
    </row>
    <row r="1186" spans="1:10" ht="15.75" customHeight="1">
      <c r="A1186" s="9">
        <v>2023</v>
      </c>
      <c r="B1186" s="11" t="s">
        <v>123</v>
      </c>
      <c r="C1186" s="11" t="s">
        <v>123</v>
      </c>
      <c r="D1186" s="3" t="s">
        <v>124</v>
      </c>
      <c r="E1186" s="2" t="s">
        <v>15</v>
      </c>
      <c r="F1186" s="42">
        <v>138008861</v>
      </c>
      <c r="G1186" s="11" t="s">
        <v>123</v>
      </c>
      <c r="H1186" s="2" t="s">
        <v>22</v>
      </c>
      <c r="I1186" s="3"/>
      <c r="J1186" s="2" t="s">
        <v>15</v>
      </c>
    </row>
    <row r="1187" spans="1:10" ht="15.75" customHeight="1">
      <c r="A1187" s="9">
        <v>2023</v>
      </c>
      <c r="B1187" s="11" t="s">
        <v>168</v>
      </c>
      <c r="C1187" s="11" t="s">
        <v>168</v>
      </c>
      <c r="D1187" s="3" t="s">
        <v>169</v>
      </c>
      <c r="E1187" s="2" t="s">
        <v>15</v>
      </c>
      <c r="F1187" s="42">
        <v>344007921</v>
      </c>
      <c r="G1187" s="11" t="s">
        <v>168</v>
      </c>
      <c r="H1187" s="2" t="s">
        <v>22</v>
      </c>
      <c r="I1187" s="3"/>
      <c r="J1187" s="2" t="s">
        <v>15</v>
      </c>
    </row>
    <row r="1188" spans="1:10" ht="15.75" customHeight="1">
      <c r="A1188" s="9">
        <v>2023</v>
      </c>
      <c r="B1188" s="11" t="s">
        <v>120</v>
      </c>
      <c r="C1188" s="11" t="s">
        <v>120</v>
      </c>
      <c r="D1188" s="3" t="s">
        <v>121</v>
      </c>
      <c r="E1188" s="2" t="s">
        <v>15</v>
      </c>
      <c r="F1188" s="42">
        <v>5154000</v>
      </c>
      <c r="G1188" s="11" t="s">
        <v>120</v>
      </c>
      <c r="H1188" s="2" t="s">
        <v>279</v>
      </c>
      <c r="I1188" s="3"/>
      <c r="J1188" s="2" t="s">
        <v>15</v>
      </c>
    </row>
    <row r="1189" spans="1:10" ht="15.75" customHeight="1">
      <c r="A1189" s="9">
        <v>2024</v>
      </c>
      <c r="B1189" s="11" t="s">
        <v>10</v>
      </c>
      <c r="C1189" s="11" t="s">
        <v>10</v>
      </c>
      <c r="D1189" s="3" t="s">
        <v>11</v>
      </c>
      <c r="E1189" s="2" t="s">
        <v>16</v>
      </c>
      <c r="F1189" s="42">
        <v>23666389</v>
      </c>
      <c r="G1189" s="11" t="s">
        <v>10</v>
      </c>
      <c r="H1189" s="2" t="s">
        <v>269</v>
      </c>
      <c r="I1189" s="3"/>
      <c r="J1189" s="2" t="s">
        <v>16</v>
      </c>
    </row>
    <row r="1190" spans="1:10" ht="15.75" customHeight="1">
      <c r="A1190" s="9">
        <v>2024</v>
      </c>
      <c r="B1190" s="11" t="s">
        <v>24</v>
      </c>
      <c r="C1190" s="11" t="s">
        <v>24</v>
      </c>
      <c r="D1190" s="3" t="s">
        <v>25</v>
      </c>
      <c r="E1190" s="2" t="s">
        <v>16</v>
      </c>
      <c r="F1190" s="42">
        <v>6300000</v>
      </c>
      <c r="G1190" s="11" t="s">
        <v>24</v>
      </c>
      <c r="H1190" s="2" t="s">
        <v>269</v>
      </c>
      <c r="I1190" s="3"/>
      <c r="J1190" s="2" t="s">
        <v>16</v>
      </c>
    </row>
    <row r="1191" spans="1:10" ht="15.75" customHeight="1">
      <c r="A1191" s="9">
        <v>2024</v>
      </c>
      <c r="B1191" s="11" t="s">
        <v>38</v>
      </c>
      <c r="C1191" s="11" t="s">
        <v>38</v>
      </c>
      <c r="D1191" s="3" t="s">
        <v>39</v>
      </c>
      <c r="E1191" s="2" t="s">
        <v>16</v>
      </c>
      <c r="F1191" s="42">
        <v>3369526</v>
      </c>
      <c r="G1191" s="11" t="s">
        <v>38</v>
      </c>
      <c r="H1191" s="2" t="s">
        <v>269</v>
      </c>
      <c r="I1191" s="3"/>
      <c r="J1191" s="2" t="s">
        <v>16</v>
      </c>
    </row>
    <row r="1192" spans="1:10" ht="15.75" customHeight="1">
      <c r="A1192" s="9">
        <v>2024</v>
      </c>
      <c r="B1192" s="11" t="s">
        <v>41</v>
      </c>
      <c r="C1192" s="11" t="s">
        <v>41</v>
      </c>
      <c r="D1192" s="3" t="s">
        <v>42</v>
      </c>
      <c r="E1192" s="2" t="s">
        <v>16</v>
      </c>
      <c r="F1192" s="42">
        <v>2801810</v>
      </c>
      <c r="G1192" s="11" t="s">
        <v>41</v>
      </c>
      <c r="H1192" s="2" t="s">
        <v>269</v>
      </c>
      <c r="I1192" s="3"/>
      <c r="J1192" s="2" t="s">
        <v>16</v>
      </c>
    </row>
    <row r="1193" spans="1:10" ht="15.75" customHeight="1">
      <c r="A1193" s="9">
        <v>2024</v>
      </c>
      <c r="B1193" s="11" t="s">
        <v>44</v>
      </c>
      <c r="C1193" s="11" t="s">
        <v>44</v>
      </c>
      <c r="D1193" s="3" t="s">
        <v>45</v>
      </c>
      <c r="E1193" s="2" t="s">
        <v>16</v>
      </c>
      <c r="F1193" s="42">
        <v>5800000</v>
      </c>
      <c r="G1193" s="11" t="s">
        <v>44</v>
      </c>
      <c r="H1193" s="2" t="s">
        <v>269</v>
      </c>
      <c r="I1193" s="3"/>
      <c r="J1193" s="2" t="s">
        <v>16</v>
      </c>
    </row>
    <row r="1194" spans="1:10" ht="15.75" customHeight="1">
      <c r="A1194" s="9">
        <v>2024</v>
      </c>
      <c r="B1194" s="11" t="s">
        <v>80</v>
      </c>
      <c r="C1194" s="11" t="s">
        <v>80</v>
      </c>
      <c r="D1194" s="3" t="s">
        <v>81</v>
      </c>
      <c r="E1194" s="2" t="s">
        <v>16</v>
      </c>
      <c r="F1194" s="42">
        <v>8307129</v>
      </c>
      <c r="G1194" s="11" t="s">
        <v>80</v>
      </c>
      <c r="H1194" s="2" t="s">
        <v>269</v>
      </c>
      <c r="I1194" s="3"/>
      <c r="J1194" s="2" t="s">
        <v>16</v>
      </c>
    </row>
    <row r="1195" spans="1:10" ht="15.75" customHeight="1">
      <c r="A1195" s="9">
        <v>2024</v>
      </c>
      <c r="B1195" s="11" t="s">
        <v>57</v>
      </c>
      <c r="C1195" s="11" t="s">
        <v>57</v>
      </c>
      <c r="D1195" s="3" t="s">
        <v>58</v>
      </c>
      <c r="E1195" s="2" t="s">
        <v>16</v>
      </c>
      <c r="F1195" s="42">
        <v>25400000</v>
      </c>
      <c r="G1195" s="11" t="s">
        <v>57</v>
      </c>
      <c r="H1195" s="2" t="s">
        <v>269</v>
      </c>
      <c r="I1195" s="3"/>
      <c r="J1195" s="2" t="s">
        <v>16</v>
      </c>
    </row>
    <row r="1196" spans="1:10" ht="15.75" customHeight="1">
      <c r="A1196" s="9">
        <v>2024</v>
      </c>
      <c r="B1196" s="11" t="s">
        <v>153</v>
      </c>
      <c r="C1196" s="11" t="s">
        <v>153</v>
      </c>
      <c r="D1196" s="3" t="s">
        <v>268</v>
      </c>
      <c r="E1196" s="2" t="s">
        <v>16</v>
      </c>
      <c r="F1196" s="42">
        <v>1100000</v>
      </c>
      <c r="G1196" s="11" t="s">
        <v>153</v>
      </c>
      <c r="H1196" s="2" t="s">
        <v>269</v>
      </c>
      <c r="I1196" s="3"/>
      <c r="J1196" s="2" t="s">
        <v>16</v>
      </c>
    </row>
    <row r="1197" spans="1:10" ht="15.75" customHeight="1">
      <c r="A1197" s="9">
        <v>2024</v>
      </c>
      <c r="B1197" s="11" t="s">
        <v>78</v>
      </c>
      <c r="C1197" s="11" t="s">
        <v>78</v>
      </c>
      <c r="D1197" s="3" t="s">
        <v>79</v>
      </c>
      <c r="E1197" s="2" t="s">
        <v>16</v>
      </c>
      <c r="F1197" s="42">
        <v>21360484</v>
      </c>
      <c r="G1197" s="11" t="s">
        <v>78</v>
      </c>
      <c r="H1197" s="2" t="s">
        <v>269</v>
      </c>
      <c r="I1197" s="3"/>
      <c r="J1197" s="2" t="s">
        <v>16</v>
      </c>
    </row>
    <row r="1198" spans="1:10" ht="15.75" customHeight="1">
      <c r="A1198" s="9">
        <v>2024</v>
      </c>
      <c r="B1198" s="11" t="s">
        <v>64</v>
      </c>
      <c r="C1198" s="11" t="s">
        <v>64</v>
      </c>
      <c r="D1198" s="3" t="s">
        <v>65</v>
      </c>
      <c r="E1198" s="2" t="s">
        <v>16</v>
      </c>
      <c r="F1198" s="42">
        <v>5300000</v>
      </c>
      <c r="G1198" s="11" t="s">
        <v>64</v>
      </c>
      <c r="H1198" s="2" t="s">
        <v>269</v>
      </c>
      <c r="I1198" s="3"/>
      <c r="J1198" s="2" t="s">
        <v>16</v>
      </c>
    </row>
    <row r="1199" spans="1:10" ht="15.75" customHeight="1">
      <c r="A1199" s="9">
        <v>2024</v>
      </c>
      <c r="B1199" s="11" t="s">
        <v>82</v>
      </c>
      <c r="C1199" s="11" t="s">
        <v>82</v>
      </c>
      <c r="D1199" s="3" t="s">
        <v>83</v>
      </c>
      <c r="E1199" s="2" t="s">
        <v>16</v>
      </c>
      <c r="F1199" s="42">
        <v>5500000</v>
      </c>
      <c r="G1199" s="11" t="s">
        <v>82</v>
      </c>
      <c r="H1199" s="2" t="s">
        <v>269</v>
      </c>
      <c r="I1199" s="3"/>
      <c r="J1199" s="2" t="s">
        <v>16</v>
      </c>
    </row>
    <row r="1200" spans="1:10" ht="15.75" customHeight="1">
      <c r="A1200" s="9">
        <v>2024</v>
      </c>
      <c r="B1200" s="11" t="s">
        <v>69</v>
      </c>
      <c r="C1200" s="11" t="s">
        <v>69</v>
      </c>
      <c r="D1200" s="3" t="s">
        <v>70</v>
      </c>
      <c r="E1200" s="2" t="s">
        <v>16</v>
      </c>
      <c r="F1200" s="42">
        <v>2800000</v>
      </c>
      <c r="G1200" s="11" t="s">
        <v>69</v>
      </c>
      <c r="H1200" s="2" t="s">
        <v>269</v>
      </c>
      <c r="I1200" s="3"/>
      <c r="J1200" s="2" t="s">
        <v>16</v>
      </c>
    </row>
    <row r="1201" spans="1:28" ht="15.75" customHeight="1">
      <c r="A1201" s="9">
        <v>2024</v>
      </c>
      <c r="B1201" s="11" t="s">
        <v>129</v>
      </c>
      <c r="C1201" s="11" t="s">
        <v>129</v>
      </c>
      <c r="D1201" s="3" t="s">
        <v>130</v>
      </c>
      <c r="E1201" s="2" t="s">
        <v>16</v>
      </c>
      <c r="F1201" s="42">
        <v>7107194</v>
      </c>
      <c r="G1201" s="11" t="s">
        <v>129</v>
      </c>
      <c r="H1201" s="2" t="s">
        <v>269</v>
      </c>
      <c r="I1201" s="3"/>
      <c r="J1201" s="2" t="s">
        <v>16</v>
      </c>
    </row>
    <row r="1202" spans="1:28" ht="15.75" customHeight="1">
      <c r="A1202" s="9">
        <v>2024</v>
      </c>
      <c r="B1202" s="11" t="s">
        <v>123</v>
      </c>
      <c r="C1202" s="11" t="s">
        <v>123</v>
      </c>
      <c r="D1202" s="3" t="s">
        <v>124</v>
      </c>
      <c r="E1202" s="2" t="s">
        <v>16</v>
      </c>
      <c r="F1202" s="42">
        <v>2252973</v>
      </c>
      <c r="G1202" s="11" t="s">
        <v>123</v>
      </c>
      <c r="H1202" s="2" t="s">
        <v>269</v>
      </c>
      <c r="I1202" s="3"/>
      <c r="J1202" s="2" t="s">
        <v>16</v>
      </c>
    </row>
    <row r="1203" spans="1:28" ht="15.75" customHeight="1">
      <c r="A1203" s="9">
        <v>2024</v>
      </c>
      <c r="B1203" s="11" t="s">
        <v>136</v>
      </c>
      <c r="C1203" s="11" t="s">
        <v>136</v>
      </c>
      <c r="D1203" s="3" t="s">
        <v>137</v>
      </c>
      <c r="E1203" s="2" t="s">
        <v>16</v>
      </c>
      <c r="F1203" s="42">
        <v>18590021</v>
      </c>
      <c r="G1203" s="11" t="s">
        <v>136</v>
      </c>
      <c r="H1203" s="2" t="s">
        <v>269</v>
      </c>
      <c r="I1203" s="3"/>
      <c r="J1203" s="2" t="s">
        <v>16</v>
      </c>
    </row>
    <row r="1204" spans="1:28" ht="15.75" customHeight="1">
      <c r="A1204" s="9">
        <v>2024</v>
      </c>
      <c r="B1204" s="11" t="s">
        <v>143</v>
      </c>
      <c r="C1204" s="11" t="s">
        <v>143</v>
      </c>
      <c r="D1204" s="3" t="s">
        <v>144</v>
      </c>
      <c r="E1204" s="2" t="s">
        <v>16</v>
      </c>
      <c r="F1204" s="42">
        <v>4500000</v>
      </c>
      <c r="G1204" s="11" t="s">
        <v>143</v>
      </c>
      <c r="H1204" s="2" t="s">
        <v>269</v>
      </c>
      <c r="I1204" s="3"/>
      <c r="J1204" s="2" t="s">
        <v>16</v>
      </c>
    </row>
    <row r="1205" spans="1:28" ht="15.75" customHeight="1">
      <c r="A1205" s="9">
        <v>2024</v>
      </c>
      <c r="B1205" s="11" t="s">
        <v>155</v>
      </c>
      <c r="C1205" s="11" t="s">
        <v>155</v>
      </c>
      <c r="D1205" s="3" t="s">
        <v>156</v>
      </c>
      <c r="E1205" s="2" t="s">
        <v>16</v>
      </c>
      <c r="F1205" s="42">
        <v>7900000</v>
      </c>
      <c r="G1205" s="11" t="s">
        <v>155</v>
      </c>
      <c r="H1205" s="2" t="s">
        <v>269</v>
      </c>
      <c r="I1205" s="3"/>
      <c r="J1205" s="2" t="s">
        <v>16</v>
      </c>
    </row>
    <row r="1206" spans="1:28" ht="15.75" customHeight="1">
      <c r="A1206" s="9">
        <v>2024</v>
      </c>
      <c r="B1206" s="11" t="s">
        <v>185</v>
      </c>
      <c r="C1206" s="11" t="s">
        <v>185</v>
      </c>
      <c r="D1206" s="3" t="s">
        <v>186</v>
      </c>
      <c r="E1206" s="2" t="s">
        <v>16</v>
      </c>
      <c r="F1206" s="42">
        <v>6869716</v>
      </c>
      <c r="G1206" s="11" t="s">
        <v>185</v>
      </c>
      <c r="H1206" s="2" t="s">
        <v>269</v>
      </c>
      <c r="I1206" s="3"/>
      <c r="J1206" s="2" t="s">
        <v>16</v>
      </c>
    </row>
    <row r="1207" spans="1:28" ht="15.75" customHeight="1">
      <c r="A1207" s="9">
        <v>2024</v>
      </c>
      <c r="B1207" s="11" t="s">
        <v>188</v>
      </c>
      <c r="C1207" s="11" t="s">
        <v>188</v>
      </c>
      <c r="D1207" s="3" t="s">
        <v>189</v>
      </c>
      <c r="E1207" s="2" t="s">
        <v>16</v>
      </c>
      <c r="F1207" s="42">
        <v>8996986</v>
      </c>
      <c r="G1207" s="11" t="s">
        <v>188</v>
      </c>
      <c r="H1207" s="2" t="s">
        <v>269</v>
      </c>
      <c r="I1207" s="3"/>
      <c r="J1207" s="2" t="s">
        <v>16</v>
      </c>
    </row>
    <row r="1208" spans="1:28" ht="15.75" customHeight="1">
      <c r="A1208" s="9">
        <v>2024</v>
      </c>
      <c r="B1208" s="11" t="s">
        <v>203</v>
      </c>
      <c r="C1208" s="11" t="s">
        <v>203</v>
      </c>
      <c r="D1208" s="3" t="s">
        <v>204</v>
      </c>
      <c r="E1208" s="2" t="s">
        <v>16</v>
      </c>
      <c r="F1208" s="42">
        <v>24786370</v>
      </c>
      <c r="G1208" s="11" t="s">
        <v>203</v>
      </c>
      <c r="H1208" s="2" t="s">
        <v>269</v>
      </c>
      <c r="I1208" s="3"/>
      <c r="J1208" s="2" t="s">
        <v>16</v>
      </c>
    </row>
    <row r="1209" spans="1:28" ht="15.75" customHeight="1">
      <c r="A1209" s="9">
        <v>2024</v>
      </c>
      <c r="B1209" s="11" t="s">
        <v>271</v>
      </c>
      <c r="C1209" s="11" t="s">
        <v>271</v>
      </c>
      <c r="D1209" s="3" t="s">
        <v>206</v>
      </c>
      <c r="E1209" s="2" t="s">
        <v>16</v>
      </c>
      <c r="F1209" s="42">
        <v>15300000</v>
      </c>
      <c r="G1209" s="11" t="s">
        <v>271</v>
      </c>
      <c r="H1209" s="2" t="s">
        <v>269</v>
      </c>
      <c r="I1209" s="3"/>
      <c r="J1209" s="2" t="s">
        <v>16</v>
      </c>
    </row>
    <row r="1210" spans="1:28" ht="15.75" customHeight="1">
      <c r="A1210" s="9">
        <v>2024</v>
      </c>
      <c r="B1210" s="11" t="s">
        <v>218</v>
      </c>
      <c r="C1210" s="11" t="s">
        <v>218</v>
      </c>
      <c r="D1210" s="3" t="s">
        <v>219</v>
      </c>
      <c r="E1210" s="2" t="s">
        <v>16</v>
      </c>
      <c r="F1210" s="42">
        <v>14622301</v>
      </c>
      <c r="G1210" s="11" t="s">
        <v>218</v>
      </c>
      <c r="H1210" s="2" t="s">
        <v>269</v>
      </c>
      <c r="I1210" s="3"/>
      <c r="J1210" s="2" t="s">
        <v>16</v>
      </c>
    </row>
    <row r="1211" spans="1:28" ht="15.75" customHeight="1">
      <c r="A1211" s="9">
        <v>2024</v>
      </c>
      <c r="B1211" s="11" t="s">
        <v>222</v>
      </c>
      <c r="C1211" s="11" t="s">
        <v>222</v>
      </c>
      <c r="D1211" s="3" t="s">
        <v>223</v>
      </c>
      <c r="E1211" s="2" t="s">
        <v>16</v>
      </c>
      <c r="F1211" s="42">
        <v>7581480</v>
      </c>
      <c r="G1211" s="11" t="s">
        <v>222</v>
      </c>
      <c r="H1211" s="2" t="s">
        <v>269</v>
      </c>
      <c r="I1211" s="3"/>
      <c r="J1211" s="2" t="s">
        <v>16</v>
      </c>
    </row>
    <row r="1212" spans="1:28" ht="15.75" customHeight="1">
      <c r="A1212" s="9">
        <v>2024</v>
      </c>
      <c r="B1212" s="11" t="s">
        <v>225</v>
      </c>
      <c r="C1212" s="11" t="s">
        <v>225</v>
      </c>
      <c r="D1212" s="3" t="s">
        <v>226</v>
      </c>
      <c r="E1212" s="2" t="s">
        <v>16</v>
      </c>
      <c r="F1212" s="42">
        <v>18182658</v>
      </c>
      <c r="G1212" s="11" t="s">
        <v>225</v>
      </c>
      <c r="H1212" s="2" t="s">
        <v>269</v>
      </c>
      <c r="I1212" s="3"/>
      <c r="J1212" s="2" t="s">
        <v>16</v>
      </c>
    </row>
    <row r="1213" spans="1:28" ht="15.75" customHeight="1">
      <c r="A1213" s="9">
        <v>2024</v>
      </c>
      <c r="B1213" s="11" t="s">
        <v>115</v>
      </c>
      <c r="C1213" s="11" t="s">
        <v>115</v>
      </c>
      <c r="D1213" s="3" t="s">
        <v>116</v>
      </c>
      <c r="E1213" s="2" t="s">
        <v>16</v>
      </c>
      <c r="F1213" s="42">
        <v>250000</v>
      </c>
      <c r="G1213" s="11" t="s">
        <v>115</v>
      </c>
      <c r="H1213" s="2" t="s">
        <v>272</v>
      </c>
      <c r="I1213" s="3"/>
      <c r="J1213" s="2" t="s">
        <v>16</v>
      </c>
    </row>
    <row r="1214" spans="1:28" ht="15.75" customHeight="1">
      <c r="A1214" s="9">
        <v>2024</v>
      </c>
      <c r="B1214" s="11" t="s">
        <v>105</v>
      </c>
      <c r="C1214" s="11" t="s">
        <v>105</v>
      </c>
      <c r="D1214" s="3" t="s">
        <v>106</v>
      </c>
      <c r="E1214" s="2" t="s">
        <v>16</v>
      </c>
      <c r="F1214" s="42">
        <v>2295813</v>
      </c>
      <c r="G1214" s="11" t="s">
        <v>105</v>
      </c>
      <c r="H1214" s="2" t="s">
        <v>272</v>
      </c>
      <c r="I1214" s="3"/>
      <c r="J1214" s="2" t="s">
        <v>16</v>
      </c>
    </row>
    <row r="1215" spans="1:28" ht="15.75" customHeight="1">
      <c r="A1215" s="9">
        <v>2024</v>
      </c>
      <c r="B1215" s="17" t="s">
        <v>270</v>
      </c>
      <c r="C1215" s="17" t="s">
        <v>270</v>
      </c>
      <c r="D1215" s="48" t="s">
        <v>164</v>
      </c>
      <c r="E1215" s="2" t="s">
        <v>16</v>
      </c>
      <c r="F1215" s="49">
        <v>2700000</v>
      </c>
      <c r="G1215" s="17" t="s">
        <v>270</v>
      </c>
      <c r="H1215" s="48" t="s">
        <v>272</v>
      </c>
      <c r="I1215" s="48"/>
      <c r="J1215" s="2" t="s">
        <v>16</v>
      </c>
      <c r="K1215" s="50"/>
      <c r="L1215" s="50"/>
      <c r="M1215" s="50"/>
      <c r="N1215" s="50"/>
      <c r="O1215" s="50"/>
      <c r="P1215" s="50"/>
      <c r="Q1215" s="50"/>
      <c r="R1215" s="50"/>
      <c r="S1215" s="50"/>
      <c r="T1215" s="50"/>
      <c r="U1215" s="50"/>
      <c r="V1215" s="50"/>
      <c r="W1215" s="50"/>
      <c r="X1215" s="50"/>
      <c r="Y1215" s="50"/>
      <c r="Z1215" s="50"/>
      <c r="AA1215" s="50"/>
      <c r="AB1215" s="50"/>
    </row>
    <row r="1216" spans="1:28" ht="15.75" customHeight="1">
      <c r="A1216" s="9">
        <v>2024</v>
      </c>
      <c r="B1216" s="17" t="s">
        <v>10</v>
      </c>
      <c r="C1216" s="17" t="s">
        <v>10</v>
      </c>
      <c r="D1216" s="48" t="s">
        <v>11</v>
      </c>
      <c r="E1216" s="2" t="s">
        <v>16</v>
      </c>
      <c r="F1216" s="49">
        <v>7300000</v>
      </c>
      <c r="G1216" s="17" t="s">
        <v>10</v>
      </c>
      <c r="H1216" s="48" t="s">
        <v>275</v>
      </c>
      <c r="I1216" s="48"/>
      <c r="J1216" s="2" t="s">
        <v>16</v>
      </c>
      <c r="K1216" s="50"/>
      <c r="L1216" s="50"/>
      <c r="M1216" s="50"/>
      <c r="N1216" s="50"/>
      <c r="O1216" s="50"/>
      <c r="P1216" s="50"/>
      <c r="Q1216" s="50"/>
      <c r="R1216" s="50"/>
      <c r="S1216" s="50"/>
      <c r="T1216" s="50"/>
      <c r="U1216" s="50"/>
      <c r="V1216" s="50"/>
      <c r="W1216" s="50"/>
      <c r="X1216" s="50"/>
      <c r="Y1216" s="50"/>
      <c r="Z1216" s="50"/>
      <c r="AA1216" s="50"/>
      <c r="AB1216" s="50"/>
    </row>
    <row r="1217" spans="1:28" ht="15.75" customHeight="1">
      <c r="A1217" s="9">
        <v>2024</v>
      </c>
      <c r="B1217" s="17" t="s">
        <v>57</v>
      </c>
      <c r="C1217" s="17" t="s">
        <v>57</v>
      </c>
      <c r="D1217" s="48" t="s">
        <v>58</v>
      </c>
      <c r="E1217" s="2" t="s">
        <v>16</v>
      </c>
      <c r="F1217" s="49">
        <v>1856000</v>
      </c>
      <c r="G1217" s="17" t="s">
        <v>57</v>
      </c>
      <c r="H1217" s="48" t="s">
        <v>275</v>
      </c>
      <c r="I1217" s="48"/>
      <c r="J1217" s="2" t="s">
        <v>16</v>
      </c>
      <c r="K1217" s="50"/>
      <c r="L1217" s="50"/>
      <c r="M1217" s="50"/>
      <c r="N1217" s="50"/>
      <c r="O1217" s="50"/>
      <c r="P1217" s="50"/>
      <c r="Q1217" s="50"/>
      <c r="R1217" s="50"/>
      <c r="S1217" s="50"/>
      <c r="T1217" s="50"/>
      <c r="U1217" s="50"/>
      <c r="V1217" s="50"/>
      <c r="W1217" s="50"/>
      <c r="X1217" s="50"/>
      <c r="Y1217" s="50"/>
      <c r="Z1217" s="50"/>
      <c r="AA1217" s="50"/>
      <c r="AB1217" s="50"/>
    </row>
    <row r="1218" spans="1:28" ht="15.75" customHeight="1">
      <c r="A1218" s="9">
        <v>2024</v>
      </c>
      <c r="B1218" s="17" t="s">
        <v>276</v>
      </c>
      <c r="C1218" s="17" t="s">
        <v>136</v>
      </c>
      <c r="D1218" s="48" t="s">
        <v>137</v>
      </c>
      <c r="E1218" s="2" t="s">
        <v>16</v>
      </c>
      <c r="F1218" s="49">
        <v>1550000</v>
      </c>
      <c r="G1218" s="17" t="s">
        <v>276</v>
      </c>
      <c r="H1218" s="48" t="s">
        <v>275</v>
      </c>
      <c r="I1218" s="48"/>
      <c r="J1218" s="2" t="s">
        <v>16</v>
      </c>
      <c r="K1218" s="50"/>
      <c r="L1218" s="50"/>
      <c r="M1218" s="50"/>
      <c r="N1218" s="50"/>
      <c r="O1218" s="50"/>
      <c r="P1218" s="50"/>
      <c r="Q1218" s="50"/>
      <c r="R1218" s="50"/>
      <c r="S1218" s="50"/>
      <c r="T1218" s="50"/>
      <c r="U1218" s="50"/>
      <c r="V1218" s="50"/>
      <c r="W1218" s="50"/>
      <c r="X1218" s="50"/>
      <c r="Y1218" s="50"/>
      <c r="Z1218" s="50"/>
      <c r="AA1218" s="50"/>
      <c r="AB1218" s="50"/>
    </row>
    <row r="1219" spans="1:28" ht="15.75" customHeight="1">
      <c r="A1219" s="9">
        <v>2024</v>
      </c>
      <c r="B1219" s="17" t="s">
        <v>188</v>
      </c>
      <c r="C1219" s="17" t="s">
        <v>188</v>
      </c>
      <c r="D1219" s="48" t="s">
        <v>189</v>
      </c>
      <c r="E1219" s="2" t="s">
        <v>16</v>
      </c>
      <c r="F1219" s="49">
        <v>4622729</v>
      </c>
      <c r="G1219" s="17" t="s">
        <v>188</v>
      </c>
      <c r="H1219" s="48" t="s">
        <v>275</v>
      </c>
      <c r="I1219" s="48"/>
      <c r="J1219" s="2" t="s">
        <v>16</v>
      </c>
      <c r="K1219" s="50"/>
      <c r="L1219" s="50"/>
      <c r="M1219" s="50"/>
      <c r="N1219" s="50"/>
      <c r="O1219" s="50"/>
      <c r="P1219" s="50"/>
      <c r="Q1219" s="50"/>
      <c r="R1219" s="50"/>
      <c r="S1219" s="50"/>
      <c r="T1219" s="50"/>
      <c r="U1219" s="50"/>
      <c r="V1219" s="50"/>
      <c r="W1219" s="50"/>
      <c r="X1219" s="50"/>
      <c r="Y1219" s="50"/>
      <c r="Z1219" s="50"/>
      <c r="AA1219" s="50"/>
      <c r="AB1219" s="50"/>
    </row>
    <row r="1220" spans="1:28" ht="15.75" customHeight="1">
      <c r="A1220" s="9">
        <v>2024</v>
      </c>
      <c r="B1220" s="17" t="s">
        <v>203</v>
      </c>
      <c r="C1220" s="17" t="s">
        <v>203</v>
      </c>
      <c r="D1220" s="48" t="s">
        <v>204</v>
      </c>
      <c r="E1220" s="2" t="s">
        <v>16</v>
      </c>
      <c r="F1220" s="49">
        <v>3285935</v>
      </c>
      <c r="G1220" s="17" t="s">
        <v>203</v>
      </c>
      <c r="H1220" s="48" t="s">
        <v>275</v>
      </c>
      <c r="I1220" s="48"/>
      <c r="J1220" s="2" t="s">
        <v>16</v>
      </c>
      <c r="K1220" s="50"/>
      <c r="L1220" s="50"/>
      <c r="M1220" s="50"/>
      <c r="N1220" s="50"/>
      <c r="O1220" s="50"/>
      <c r="P1220" s="50"/>
      <c r="Q1220" s="50"/>
      <c r="R1220" s="50"/>
      <c r="S1220" s="50"/>
      <c r="T1220" s="50"/>
      <c r="U1220" s="50"/>
      <c r="V1220" s="50"/>
      <c r="W1220" s="50"/>
      <c r="X1220" s="50"/>
      <c r="Y1220" s="50"/>
      <c r="Z1220" s="50"/>
      <c r="AA1220" s="50"/>
      <c r="AB1220" s="50"/>
    </row>
    <row r="1221" spans="1:28" ht="15.75" customHeight="1">
      <c r="A1221" s="9">
        <v>2024</v>
      </c>
      <c r="B1221" s="17" t="s">
        <v>283</v>
      </c>
      <c r="C1221" s="17" t="s">
        <v>205</v>
      </c>
      <c r="D1221" s="48" t="s">
        <v>206</v>
      </c>
      <c r="E1221" s="2" t="s">
        <v>16</v>
      </c>
      <c r="F1221" s="49">
        <v>17200000</v>
      </c>
      <c r="G1221" s="17" t="s">
        <v>283</v>
      </c>
      <c r="H1221" s="48" t="s">
        <v>275</v>
      </c>
      <c r="I1221" s="48"/>
      <c r="J1221" s="2" t="s">
        <v>16</v>
      </c>
      <c r="K1221" s="50"/>
      <c r="L1221" s="50"/>
      <c r="M1221" s="50"/>
      <c r="N1221" s="50"/>
      <c r="O1221" s="50"/>
      <c r="P1221" s="50"/>
      <c r="Q1221" s="50"/>
      <c r="R1221" s="50"/>
      <c r="S1221" s="50"/>
      <c r="T1221" s="50"/>
      <c r="U1221" s="50"/>
      <c r="V1221" s="50"/>
      <c r="W1221" s="50"/>
      <c r="X1221" s="50"/>
      <c r="Y1221" s="50"/>
      <c r="Z1221" s="50"/>
      <c r="AA1221" s="50"/>
      <c r="AB1221" s="50"/>
    </row>
    <row r="1222" spans="1:28" ht="15.75" customHeight="1">
      <c r="A1222" s="9">
        <v>2024</v>
      </c>
      <c r="B1222" s="17" t="s">
        <v>254</v>
      </c>
      <c r="C1222" s="17" t="s">
        <v>255</v>
      </c>
      <c r="D1222" s="48"/>
      <c r="E1222" s="2" t="s">
        <v>16</v>
      </c>
      <c r="F1222" s="49">
        <v>1864821</v>
      </c>
      <c r="G1222" s="17" t="s">
        <v>254</v>
      </c>
      <c r="H1222" s="48" t="s">
        <v>275</v>
      </c>
      <c r="I1222" s="48"/>
      <c r="J1222" s="2" t="s">
        <v>16</v>
      </c>
      <c r="K1222" s="50"/>
      <c r="L1222" s="50"/>
      <c r="M1222" s="50"/>
      <c r="N1222" s="50"/>
      <c r="O1222" s="50"/>
      <c r="P1222" s="50"/>
      <c r="Q1222" s="50"/>
      <c r="R1222" s="50"/>
      <c r="S1222" s="50"/>
      <c r="T1222" s="50"/>
      <c r="U1222" s="50"/>
      <c r="V1222" s="50"/>
      <c r="W1222" s="50"/>
      <c r="X1222" s="50"/>
      <c r="Y1222" s="50"/>
      <c r="Z1222" s="50"/>
      <c r="AA1222" s="50"/>
      <c r="AB1222" s="50"/>
    </row>
    <row r="1223" spans="1:28" ht="15.75" customHeight="1">
      <c r="A1223" s="9">
        <v>2024</v>
      </c>
      <c r="B1223" s="17" t="s">
        <v>218</v>
      </c>
      <c r="C1223" s="17" t="s">
        <v>218</v>
      </c>
      <c r="D1223" s="48" t="s">
        <v>219</v>
      </c>
      <c r="E1223" s="2" t="s">
        <v>16</v>
      </c>
      <c r="F1223" s="49">
        <v>2245000</v>
      </c>
      <c r="G1223" s="17" t="s">
        <v>218</v>
      </c>
      <c r="H1223" s="48" t="s">
        <v>275</v>
      </c>
      <c r="I1223" s="48"/>
      <c r="J1223" s="2" t="s">
        <v>16</v>
      </c>
      <c r="K1223" s="50"/>
      <c r="L1223" s="50"/>
      <c r="M1223" s="50"/>
      <c r="N1223" s="50"/>
      <c r="O1223" s="50"/>
      <c r="P1223" s="50"/>
      <c r="Q1223" s="50"/>
      <c r="R1223" s="50"/>
      <c r="S1223" s="50"/>
      <c r="T1223" s="50"/>
      <c r="U1223" s="50"/>
      <c r="V1223" s="50"/>
      <c r="W1223" s="50"/>
      <c r="X1223" s="50"/>
      <c r="Y1223" s="50"/>
      <c r="Z1223" s="50"/>
      <c r="AA1223" s="50"/>
      <c r="AB1223" s="50"/>
    </row>
    <row r="1224" spans="1:28" ht="15.75" customHeight="1">
      <c r="A1224" s="9">
        <v>2024</v>
      </c>
      <c r="B1224" s="17" t="s">
        <v>257</v>
      </c>
      <c r="C1224" s="17" t="s">
        <v>222</v>
      </c>
      <c r="D1224" s="48" t="s">
        <v>223</v>
      </c>
      <c r="E1224" s="2" t="s">
        <v>16</v>
      </c>
      <c r="F1224" s="49">
        <v>8678941</v>
      </c>
      <c r="G1224" s="17" t="s">
        <v>257</v>
      </c>
      <c r="H1224" s="48" t="s">
        <v>275</v>
      </c>
      <c r="I1224" s="48"/>
      <c r="J1224" s="2" t="s">
        <v>16</v>
      </c>
      <c r="K1224" s="50"/>
      <c r="L1224" s="50"/>
      <c r="M1224" s="50"/>
      <c r="N1224" s="50"/>
      <c r="O1224" s="50"/>
      <c r="P1224" s="50"/>
      <c r="Q1224" s="50"/>
      <c r="R1224" s="50"/>
      <c r="S1224" s="50"/>
      <c r="T1224" s="50"/>
      <c r="U1224" s="50"/>
      <c r="V1224" s="50"/>
      <c r="W1224" s="50"/>
      <c r="X1224" s="50"/>
      <c r="Y1224" s="50"/>
      <c r="Z1224" s="50"/>
      <c r="AA1224" s="50"/>
      <c r="AB1224" s="50"/>
    </row>
    <row r="1225" spans="1:28" ht="15.75" customHeight="1">
      <c r="A1225" s="9">
        <v>2024</v>
      </c>
      <c r="B1225" s="11" t="s">
        <v>10</v>
      </c>
      <c r="C1225" s="11" t="s">
        <v>10</v>
      </c>
      <c r="D1225" s="3" t="s">
        <v>11</v>
      </c>
      <c r="E1225" s="48" t="s">
        <v>15</v>
      </c>
      <c r="F1225" s="49">
        <v>3059587797</v>
      </c>
      <c r="G1225" s="11" t="s">
        <v>10</v>
      </c>
      <c r="H1225" s="48" t="s">
        <v>269</v>
      </c>
      <c r="I1225" s="48"/>
      <c r="J1225" s="48" t="s">
        <v>15</v>
      </c>
      <c r="K1225" s="50"/>
      <c r="L1225" s="50"/>
      <c r="M1225" s="50"/>
      <c r="N1225" s="50"/>
      <c r="O1225" s="50"/>
      <c r="P1225" s="50"/>
      <c r="Q1225" s="50"/>
      <c r="R1225" s="50"/>
      <c r="S1225" s="50"/>
      <c r="T1225" s="50"/>
      <c r="U1225" s="50"/>
      <c r="V1225" s="50"/>
      <c r="W1225" s="50"/>
      <c r="X1225" s="50"/>
      <c r="Y1225" s="50"/>
      <c r="Z1225" s="50"/>
      <c r="AA1225" s="50"/>
      <c r="AB1225" s="50"/>
    </row>
    <row r="1226" spans="1:28" ht="15.75" customHeight="1">
      <c r="A1226" s="9">
        <v>2024</v>
      </c>
      <c r="B1226" s="11" t="s">
        <v>24</v>
      </c>
      <c r="C1226" s="11" t="s">
        <v>24</v>
      </c>
      <c r="D1226" s="3" t="s">
        <v>25</v>
      </c>
      <c r="E1226" s="48" t="s">
        <v>15</v>
      </c>
      <c r="F1226" s="49">
        <v>935000000</v>
      </c>
      <c r="G1226" s="11" t="s">
        <v>24</v>
      </c>
      <c r="H1226" s="48" t="s">
        <v>269</v>
      </c>
      <c r="I1226" s="48"/>
      <c r="J1226" s="48" t="s">
        <v>15</v>
      </c>
      <c r="K1226" s="50"/>
      <c r="L1226" s="50"/>
      <c r="M1226" s="50"/>
      <c r="N1226" s="50"/>
      <c r="O1226" s="50"/>
      <c r="P1226" s="50"/>
      <c r="Q1226" s="50"/>
      <c r="R1226" s="50"/>
      <c r="S1226" s="50"/>
      <c r="T1226" s="50"/>
      <c r="U1226" s="50"/>
      <c r="V1226" s="50"/>
      <c r="W1226" s="50"/>
      <c r="X1226" s="50"/>
      <c r="Y1226" s="50"/>
      <c r="Z1226" s="50"/>
      <c r="AA1226" s="50"/>
      <c r="AB1226" s="50"/>
    </row>
    <row r="1227" spans="1:28" ht="15.75" customHeight="1">
      <c r="A1227" s="9">
        <v>2024</v>
      </c>
      <c r="B1227" s="11" t="s">
        <v>38</v>
      </c>
      <c r="C1227" s="11" t="s">
        <v>38</v>
      </c>
      <c r="D1227" s="3" t="s">
        <v>39</v>
      </c>
      <c r="E1227" s="48" t="s">
        <v>15</v>
      </c>
      <c r="F1227" s="49">
        <v>371369724</v>
      </c>
      <c r="G1227" s="11" t="s">
        <v>38</v>
      </c>
      <c r="H1227" s="48" t="s">
        <v>269</v>
      </c>
      <c r="I1227" s="48"/>
      <c r="J1227" s="48" t="s">
        <v>15</v>
      </c>
      <c r="K1227" s="50"/>
      <c r="L1227" s="50"/>
      <c r="M1227" s="50"/>
      <c r="N1227" s="50"/>
      <c r="O1227" s="50"/>
      <c r="P1227" s="50"/>
      <c r="Q1227" s="50"/>
      <c r="R1227" s="50"/>
      <c r="S1227" s="50"/>
      <c r="T1227" s="50"/>
      <c r="U1227" s="50"/>
      <c r="V1227" s="50"/>
      <c r="W1227" s="50"/>
      <c r="X1227" s="50"/>
      <c r="Y1227" s="50"/>
      <c r="Z1227" s="50"/>
      <c r="AA1227" s="50"/>
      <c r="AB1227" s="50"/>
    </row>
    <row r="1228" spans="1:28" ht="15.75" customHeight="1">
      <c r="A1228" s="9">
        <v>2024</v>
      </c>
      <c r="B1228" s="11" t="s">
        <v>41</v>
      </c>
      <c r="C1228" s="11" t="s">
        <v>41</v>
      </c>
      <c r="D1228" s="3" t="s">
        <v>42</v>
      </c>
      <c r="E1228" s="48" t="s">
        <v>15</v>
      </c>
      <c r="F1228" s="49">
        <v>367670976</v>
      </c>
      <c r="G1228" s="11" t="s">
        <v>41</v>
      </c>
      <c r="H1228" s="48" t="s">
        <v>269</v>
      </c>
      <c r="I1228" s="48"/>
      <c r="J1228" s="48" t="s">
        <v>15</v>
      </c>
      <c r="K1228" s="50"/>
      <c r="L1228" s="50"/>
      <c r="M1228" s="50"/>
      <c r="N1228" s="50"/>
      <c r="O1228" s="50"/>
      <c r="P1228" s="50"/>
      <c r="Q1228" s="50"/>
      <c r="R1228" s="50"/>
      <c r="S1228" s="50"/>
      <c r="T1228" s="50"/>
      <c r="U1228" s="50"/>
      <c r="V1228" s="50"/>
      <c r="W1228" s="50"/>
      <c r="X1228" s="50"/>
      <c r="Y1228" s="50"/>
      <c r="Z1228" s="50"/>
      <c r="AA1228" s="50"/>
      <c r="AB1228" s="50"/>
    </row>
    <row r="1229" spans="1:28" ht="15.75" customHeight="1">
      <c r="A1229" s="9">
        <v>2024</v>
      </c>
      <c r="B1229" s="11" t="s">
        <v>44</v>
      </c>
      <c r="C1229" s="11" t="s">
        <v>44</v>
      </c>
      <c r="D1229" s="3" t="s">
        <v>45</v>
      </c>
      <c r="E1229" s="48" t="s">
        <v>15</v>
      </c>
      <c r="F1229" s="49">
        <v>1181400000</v>
      </c>
      <c r="G1229" s="11" t="s">
        <v>44</v>
      </c>
      <c r="H1229" s="48" t="s">
        <v>269</v>
      </c>
      <c r="I1229" s="48"/>
      <c r="J1229" s="48" t="s">
        <v>15</v>
      </c>
      <c r="K1229" s="50"/>
      <c r="L1229" s="50"/>
      <c r="M1229" s="50"/>
      <c r="N1229" s="50"/>
      <c r="O1229" s="50"/>
      <c r="P1229" s="50"/>
      <c r="Q1229" s="50"/>
      <c r="R1229" s="50"/>
      <c r="S1229" s="50"/>
      <c r="T1229" s="50"/>
      <c r="U1229" s="50"/>
      <c r="V1229" s="50"/>
      <c r="W1229" s="50"/>
      <c r="X1229" s="50"/>
      <c r="Y1229" s="50"/>
      <c r="Z1229" s="50"/>
      <c r="AA1229" s="50"/>
      <c r="AB1229" s="50"/>
    </row>
    <row r="1230" spans="1:28" ht="15.75" customHeight="1">
      <c r="A1230" s="9">
        <v>2024</v>
      </c>
      <c r="B1230" s="11" t="s">
        <v>80</v>
      </c>
      <c r="C1230" s="11" t="s">
        <v>80</v>
      </c>
      <c r="D1230" s="3" t="s">
        <v>81</v>
      </c>
      <c r="E1230" s="48" t="s">
        <v>15</v>
      </c>
      <c r="F1230" s="49">
        <v>331990687</v>
      </c>
      <c r="G1230" s="11" t="s">
        <v>80</v>
      </c>
      <c r="H1230" s="48" t="s">
        <v>269</v>
      </c>
      <c r="I1230" s="48"/>
      <c r="J1230" s="48" t="s">
        <v>15</v>
      </c>
      <c r="K1230" s="50"/>
      <c r="L1230" s="50"/>
      <c r="M1230" s="50"/>
      <c r="N1230" s="50"/>
      <c r="O1230" s="50"/>
      <c r="P1230" s="50"/>
      <c r="Q1230" s="50"/>
      <c r="R1230" s="50"/>
      <c r="S1230" s="50"/>
      <c r="T1230" s="50"/>
      <c r="U1230" s="50"/>
      <c r="V1230" s="50"/>
      <c r="W1230" s="50"/>
      <c r="X1230" s="50"/>
      <c r="Y1230" s="50"/>
      <c r="Z1230" s="50"/>
      <c r="AA1230" s="50"/>
      <c r="AB1230" s="50"/>
    </row>
    <row r="1231" spans="1:28" ht="15.75" customHeight="1">
      <c r="A1231" s="9">
        <v>2024</v>
      </c>
      <c r="B1231" s="11" t="s">
        <v>57</v>
      </c>
      <c r="C1231" s="11" t="s">
        <v>57</v>
      </c>
      <c r="D1231" s="3" t="s">
        <v>58</v>
      </c>
      <c r="E1231" s="48" t="s">
        <v>15</v>
      </c>
      <c r="F1231" s="49">
        <v>2580627746</v>
      </c>
      <c r="G1231" s="11" t="s">
        <v>57</v>
      </c>
      <c r="H1231" s="48" t="s">
        <v>269</v>
      </c>
      <c r="I1231" s="48"/>
      <c r="J1231" s="48" t="s">
        <v>15</v>
      </c>
      <c r="K1231" s="50"/>
      <c r="L1231" s="50"/>
      <c r="M1231" s="50"/>
      <c r="N1231" s="50"/>
      <c r="O1231" s="50"/>
      <c r="P1231" s="50"/>
      <c r="Q1231" s="50"/>
      <c r="R1231" s="50"/>
      <c r="S1231" s="50"/>
      <c r="T1231" s="50"/>
      <c r="U1231" s="50"/>
      <c r="V1231" s="50"/>
      <c r="W1231" s="50"/>
      <c r="X1231" s="50"/>
      <c r="Y1231" s="50"/>
      <c r="Z1231" s="50"/>
      <c r="AA1231" s="50"/>
      <c r="AB1231" s="50"/>
    </row>
    <row r="1232" spans="1:28" ht="15.75" customHeight="1">
      <c r="A1232" s="9">
        <v>2024</v>
      </c>
      <c r="B1232" s="11" t="s">
        <v>153</v>
      </c>
      <c r="C1232" s="11" t="s">
        <v>153</v>
      </c>
      <c r="D1232" s="3" t="s">
        <v>268</v>
      </c>
      <c r="E1232" s="48" t="s">
        <v>15</v>
      </c>
      <c r="F1232" s="49">
        <v>87000000</v>
      </c>
      <c r="G1232" s="11" t="s">
        <v>153</v>
      </c>
      <c r="H1232" s="48" t="s">
        <v>269</v>
      </c>
      <c r="I1232" s="48"/>
      <c r="J1232" s="48" t="s">
        <v>15</v>
      </c>
      <c r="K1232" s="50"/>
      <c r="L1232" s="50"/>
      <c r="M1232" s="50"/>
      <c r="N1232" s="50"/>
      <c r="O1232" s="50"/>
      <c r="P1232" s="50"/>
      <c r="Q1232" s="50"/>
      <c r="R1232" s="50"/>
      <c r="S1232" s="50"/>
      <c r="T1232" s="50"/>
      <c r="U1232" s="50"/>
      <c r="V1232" s="50"/>
      <c r="W1232" s="50"/>
      <c r="X1232" s="50"/>
      <c r="Y1232" s="50"/>
      <c r="Z1232" s="50"/>
      <c r="AA1232" s="50"/>
      <c r="AB1232" s="50"/>
    </row>
    <row r="1233" spans="1:28" ht="15.75" customHeight="1">
      <c r="A1233" s="9">
        <v>2024</v>
      </c>
      <c r="B1233" s="11" t="s">
        <v>78</v>
      </c>
      <c r="C1233" s="11" t="s">
        <v>78</v>
      </c>
      <c r="D1233" s="3" t="s">
        <v>79</v>
      </c>
      <c r="E1233" s="48" t="s">
        <v>15</v>
      </c>
      <c r="F1233" s="49">
        <v>3235782784</v>
      </c>
      <c r="G1233" s="11" t="s">
        <v>78</v>
      </c>
      <c r="H1233" s="48" t="s">
        <v>269</v>
      </c>
      <c r="I1233" s="48"/>
      <c r="J1233" s="48" t="s">
        <v>15</v>
      </c>
      <c r="K1233" s="50"/>
      <c r="L1233" s="50"/>
      <c r="M1233" s="50"/>
      <c r="N1233" s="50"/>
      <c r="O1233" s="50"/>
      <c r="P1233" s="50"/>
      <c r="Q1233" s="50"/>
      <c r="R1233" s="50"/>
      <c r="S1233" s="50"/>
      <c r="T1233" s="50"/>
      <c r="U1233" s="50"/>
      <c r="V1233" s="50"/>
      <c r="W1233" s="50"/>
      <c r="X1233" s="50"/>
      <c r="Y1233" s="50"/>
      <c r="Z1233" s="50"/>
      <c r="AA1233" s="50"/>
      <c r="AB1233" s="50"/>
    </row>
    <row r="1234" spans="1:28" ht="15.75" customHeight="1">
      <c r="A1234" s="9">
        <v>2024</v>
      </c>
      <c r="B1234" s="11" t="s">
        <v>64</v>
      </c>
      <c r="C1234" s="11" t="s">
        <v>64</v>
      </c>
      <c r="D1234" s="3" t="s">
        <v>65</v>
      </c>
      <c r="E1234" s="48" t="s">
        <v>15</v>
      </c>
      <c r="F1234" s="49">
        <v>125401425</v>
      </c>
      <c r="G1234" s="11" t="s">
        <v>64</v>
      </c>
      <c r="H1234" s="48" t="s">
        <v>269</v>
      </c>
      <c r="I1234" s="48"/>
      <c r="J1234" s="48" t="s">
        <v>15</v>
      </c>
      <c r="K1234" s="50"/>
      <c r="L1234" s="50"/>
      <c r="M1234" s="50"/>
      <c r="N1234" s="50"/>
      <c r="O1234" s="50"/>
      <c r="P1234" s="50"/>
      <c r="Q1234" s="50"/>
      <c r="R1234" s="50"/>
      <c r="S1234" s="50"/>
      <c r="T1234" s="50"/>
      <c r="U1234" s="50"/>
      <c r="V1234" s="50"/>
      <c r="W1234" s="50"/>
      <c r="X1234" s="50"/>
      <c r="Y1234" s="50"/>
      <c r="Z1234" s="50"/>
      <c r="AA1234" s="50"/>
      <c r="AB1234" s="50"/>
    </row>
    <row r="1235" spans="1:28" ht="15.75" customHeight="1">
      <c r="A1235" s="9">
        <v>2024</v>
      </c>
      <c r="B1235" s="11" t="s">
        <v>82</v>
      </c>
      <c r="C1235" s="11" t="s">
        <v>82</v>
      </c>
      <c r="D1235" s="3" t="s">
        <v>83</v>
      </c>
      <c r="E1235" s="48" t="s">
        <v>15</v>
      </c>
      <c r="F1235" s="49">
        <v>673767352</v>
      </c>
      <c r="G1235" s="11" t="s">
        <v>82</v>
      </c>
      <c r="H1235" s="48" t="s">
        <v>269</v>
      </c>
      <c r="I1235" s="48"/>
      <c r="J1235" s="48" t="s">
        <v>15</v>
      </c>
      <c r="K1235" s="50"/>
      <c r="L1235" s="50"/>
      <c r="M1235" s="50"/>
      <c r="N1235" s="50"/>
      <c r="O1235" s="50"/>
      <c r="P1235" s="50"/>
      <c r="Q1235" s="50"/>
      <c r="R1235" s="50"/>
      <c r="S1235" s="50"/>
      <c r="T1235" s="50"/>
      <c r="U1235" s="50"/>
      <c r="V1235" s="50"/>
      <c r="W1235" s="50"/>
      <c r="X1235" s="50"/>
      <c r="Y1235" s="50"/>
      <c r="Z1235" s="50"/>
      <c r="AA1235" s="50"/>
      <c r="AB1235" s="50"/>
    </row>
    <row r="1236" spans="1:28" ht="15.75" customHeight="1">
      <c r="A1236" s="9">
        <v>2024</v>
      </c>
      <c r="B1236" s="11" t="s">
        <v>69</v>
      </c>
      <c r="C1236" s="11" t="s">
        <v>69</v>
      </c>
      <c r="D1236" s="3" t="s">
        <v>70</v>
      </c>
      <c r="E1236" s="48" t="s">
        <v>15</v>
      </c>
      <c r="F1236" s="49">
        <v>203159869</v>
      </c>
      <c r="G1236" s="11" t="s">
        <v>69</v>
      </c>
      <c r="H1236" s="48" t="s">
        <v>269</v>
      </c>
      <c r="I1236" s="48"/>
      <c r="J1236" s="48" t="s">
        <v>15</v>
      </c>
      <c r="K1236" s="50"/>
      <c r="L1236" s="50"/>
      <c r="M1236" s="50"/>
      <c r="N1236" s="50"/>
      <c r="O1236" s="50"/>
      <c r="P1236" s="50"/>
      <c r="Q1236" s="50"/>
      <c r="R1236" s="50"/>
      <c r="S1236" s="50"/>
      <c r="T1236" s="50"/>
      <c r="U1236" s="50"/>
      <c r="V1236" s="50"/>
      <c r="W1236" s="50"/>
      <c r="X1236" s="50"/>
      <c r="Y1236" s="50"/>
      <c r="Z1236" s="50"/>
      <c r="AA1236" s="50"/>
      <c r="AB1236" s="50"/>
    </row>
    <row r="1237" spans="1:28" ht="15.75" customHeight="1">
      <c r="A1237" s="9">
        <v>2024</v>
      </c>
      <c r="B1237" s="11" t="s">
        <v>129</v>
      </c>
      <c r="C1237" s="11" t="s">
        <v>129</v>
      </c>
      <c r="D1237" s="3" t="s">
        <v>130</v>
      </c>
      <c r="E1237" s="48" t="s">
        <v>15</v>
      </c>
      <c r="F1237" s="49">
        <v>701569941</v>
      </c>
      <c r="G1237" s="11" t="s">
        <v>129</v>
      </c>
      <c r="H1237" s="48" t="s">
        <v>269</v>
      </c>
      <c r="I1237" s="48"/>
      <c r="J1237" s="48" t="s">
        <v>15</v>
      </c>
      <c r="K1237" s="50"/>
      <c r="L1237" s="50"/>
      <c r="M1237" s="50"/>
      <c r="N1237" s="50"/>
      <c r="O1237" s="50"/>
      <c r="P1237" s="50"/>
      <c r="Q1237" s="50"/>
      <c r="R1237" s="50"/>
      <c r="S1237" s="50"/>
      <c r="T1237" s="50"/>
      <c r="U1237" s="50"/>
      <c r="V1237" s="50"/>
      <c r="W1237" s="50"/>
      <c r="X1237" s="50"/>
      <c r="Y1237" s="50"/>
      <c r="Z1237" s="50"/>
      <c r="AA1237" s="50"/>
      <c r="AB1237" s="50"/>
    </row>
    <row r="1238" spans="1:28" ht="15.75" customHeight="1">
      <c r="A1238" s="9">
        <v>2024</v>
      </c>
      <c r="B1238" s="11" t="s">
        <v>123</v>
      </c>
      <c r="C1238" s="11" t="s">
        <v>123</v>
      </c>
      <c r="D1238" s="3" t="s">
        <v>124</v>
      </c>
      <c r="E1238" s="48" t="s">
        <v>15</v>
      </c>
      <c r="F1238" s="49">
        <v>413420177</v>
      </c>
      <c r="G1238" s="11" t="s">
        <v>123</v>
      </c>
      <c r="H1238" s="48" t="s">
        <v>269</v>
      </c>
      <c r="I1238" s="48"/>
      <c r="J1238" s="48" t="s">
        <v>15</v>
      </c>
      <c r="K1238" s="50"/>
      <c r="L1238" s="50"/>
      <c r="M1238" s="50"/>
      <c r="N1238" s="50"/>
      <c r="O1238" s="50"/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0"/>
      <c r="AA1238" s="50"/>
      <c r="AB1238" s="50"/>
    </row>
    <row r="1239" spans="1:28" ht="15.75" customHeight="1">
      <c r="A1239" s="9">
        <v>2024</v>
      </c>
      <c r="B1239" s="11" t="s">
        <v>136</v>
      </c>
      <c r="C1239" s="11" t="s">
        <v>136</v>
      </c>
      <c r="D1239" s="3" t="s">
        <v>137</v>
      </c>
      <c r="E1239" s="48" t="s">
        <v>15</v>
      </c>
      <c r="F1239" s="49">
        <v>993548103</v>
      </c>
      <c r="G1239" s="11" t="s">
        <v>136</v>
      </c>
      <c r="H1239" s="48" t="s">
        <v>269</v>
      </c>
      <c r="I1239" s="48"/>
      <c r="J1239" s="48" t="s">
        <v>15</v>
      </c>
      <c r="K1239" s="50"/>
      <c r="L1239" s="50"/>
      <c r="M1239" s="50"/>
      <c r="N1239" s="50"/>
      <c r="O1239" s="50"/>
      <c r="P1239" s="50"/>
      <c r="Q1239" s="50"/>
      <c r="R1239" s="50"/>
      <c r="S1239" s="50"/>
      <c r="T1239" s="50"/>
      <c r="U1239" s="50"/>
      <c r="V1239" s="50"/>
      <c r="W1239" s="50"/>
      <c r="X1239" s="50"/>
      <c r="Y1239" s="50"/>
      <c r="Z1239" s="50"/>
      <c r="AA1239" s="50"/>
      <c r="AB1239" s="50"/>
    </row>
    <row r="1240" spans="1:28" ht="15.75" customHeight="1">
      <c r="A1240" s="9">
        <v>2024</v>
      </c>
      <c r="B1240" s="11" t="s">
        <v>143</v>
      </c>
      <c r="C1240" s="11" t="s">
        <v>143</v>
      </c>
      <c r="D1240" s="3" t="s">
        <v>144</v>
      </c>
      <c r="E1240" s="48" t="s">
        <v>15</v>
      </c>
      <c r="F1240" s="49">
        <v>662192757</v>
      </c>
      <c r="G1240" s="11" t="s">
        <v>143</v>
      </c>
      <c r="H1240" s="48" t="s">
        <v>269</v>
      </c>
      <c r="I1240" s="48"/>
      <c r="J1240" s="48" t="s">
        <v>15</v>
      </c>
      <c r="K1240" s="50"/>
      <c r="L1240" s="50"/>
      <c r="M1240" s="50"/>
      <c r="N1240" s="50"/>
      <c r="O1240" s="50"/>
      <c r="P1240" s="50"/>
      <c r="Q1240" s="50"/>
      <c r="R1240" s="50"/>
      <c r="S1240" s="50"/>
      <c r="T1240" s="50"/>
      <c r="U1240" s="50"/>
      <c r="V1240" s="50"/>
      <c r="W1240" s="50"/>
      <c r="X1240" s="50"/>
      <c r="Y1240" s="50"/>
      <c r="Z1240" s="50"/>
      <c r="AA1240" s="50"/>
      <c r="AB1240" s="50"/>
    </row>
    <row r="1241" spans="1:28" ht="15.75" customHeight="1">
      <c r="A1241" s="9">
        <v>2024</v>
      </c>
      <c r="B1241" s="11" t="s">
        <v>155</v>
      </c>
      <c r="C1241" s="11" t="s">
        <v>155</v>
      </c>
      <c r="D1241" s="3" t="s">
        <v>156</v>
      </c>
      <c r="E1241" s="48" t="s">
        <v>15</v>
      </c>
      <c r="F1241" s="49">
        <v>860000000</v>
      </c>
      <c r="G1241" s="11" t="s">
        <v>155</v>
      </c>
      <c r="H1241" s="48" t="s">
        <v>269</v>
      </c>
      <c r="I1241" s="48"/>
      <c r="J1241" s="48" t="s">
        <v>15</v>
      </c>
      <c r="K1241" s="50"/>
      <c r="L1241" s="50"/>
      <c r="M1241" s="50"/>
      <c r="N1241" s="50"/>
      <c r="O1241" s="50"/>
      <c r="P1241" s="50"/>
      <c r="Q1241" s="50"/>
      <c r="R1241" s="50"/>
      <c r="S1241" s="50"/>
      <c r="T1241" s="50"/>
      <c r="U1241" s="50"/>
      <c r="V1241" s="50"/>
      <c r="W1241" s="50"/>
      <c r="X1241" s="50"/>
      <c r="Y1241" s="50"/>
      <c r="Z1241" s="50"/>
      <c r="AA1241" s="50"/>
      <c r="AB1241" s="50"/>
    </row>
    <row r="1242" spans="1:28" ht="15.75" customHeight="1">
      <c r="A1242" s="9">
        <v>2024</v>
      </c>
      <c r="B1242" s="11" t="s">
        <v>185</v>
      </c>
      <c r="C1242" s="11" t="s">
        <v>185</v>
      </c>
      <c r="D1242" s="3" t="s">
        <v>186</v>
      </c>
      <c r="E1242" s="48" t="s">
        <v>15</v>
      </c>
      <c r="F1242" s="49">
        <v>1585259297</v>
      </c>
      <c r="G1242" s="11" t="s">
        <v>185</v>
      </c>
      <c r="H1242" s="48" t="s">
        <v>269</v>
      </c>
      <c r="I1242" s="48"/>
      <c r="J1242" s="48" t="s">
        <v>15</v>
      </c>
      <c r="K1242" s="50"/>
      <c r="L1242" s="50"/>
      <c r="M1242" s="50"/>
      <c r="N1242" s="50"/>
      <c r="O1242" s="50"/>
      <c r="P1242" s="50"/>
      <c r="Q1242" s="50"/>
      <c r="R1242" s="50"/>
      <c r="S1242" s="50"/>
      <c r="T1242" s="50"/>
      <c r="U1242" s="50"/>
      <c r="V1242" s="50"/>
      <c r="W1242" s="50"/>
      <c r="X1242" s="50"/>
      <c r="Y1242" s="50"/>
      <c r="Z1242" s="50"/>
      <c r="AA1242" s="50"/>
      <c r="AB1242" s="50"/>
    </row>
    <row r="1243" spans="1:28" ht="15.75" customHeight="1">
      <c r="A1243" s="9">
        <v>2024</v>
      </c>
      <c r="B1243" s="11" t="s">
        <v>188</v>
      </c>
      <c r="C1243" s="11" t="s">
        <v>188</v>
      </c>
      <c r="D1243" s="3" t="s">
        <v>189</v>
      </c>
      <c r="E1243" s="48" t="s">
        <v>15</v>
      </c>
      <c r="F1243" s="49">
        <v>1788817122</v>
      </c>
      <c r="G1243" s="11" t="s">
        <v>188</v>
      </c>
      <c r="H1243" s="48" t="s">
        <v>269</v>
      </c>
      <c r="I1243" s="48"/>
      <c r="J1243" s="48" t="s">
        <v>15</v>
      </c>
      <c r="K1243" s="50"/>
      <c r="L1243" s="50"/>
      <c r="M1243" s="50"/>
      <c r="N1243" s="50"/>
      <c r="O1243" s="50"/>
      <c r="P1243" s="50"/>
      <c r="Q1243" s="50"/>
      <c r="R1243" s="50"/>
      <c r="S1243" s="50"/>
      <c r="T1243" s="50"/>
      <c r="U1243" s="50"/>
      <c r="V1243" s="50"/>
      <c r="W1243" s="50"/>
      <c r="X1243" s="50"/>
      <c r="Y1243" s="50"/>
      <c r="Z1243" s="50"/>
      <c r="AA1243" s="50"/>
      <c r="AB1243" s="50"/>
    </row>
    <row r="1244" spans="1:28" ht="15.75" customHeight="1">
      <c r="A1244" s="9">
        <v>2024</v>
      </c>
      <c r="B1244" s="11" t="s">
        <v>203</v>
      </c>
      <c r="C1244" s="11" t="s">
        <v>203</v>
      </c>
      <c r="D1244" s="3" t="s">
        <v>204</v>
      </c>
      <c r="E1244" s="48" t="s">
        <v>15</v>
      </c>
      <c r="F1244" s="49">
        <v>2695680744</v>
      </c>
      <c r="G1244" s="11" t="s">
        <v>203</v>
      </c>
      <c r="H1244" s="48" t="s">
        <v>269</v>
      </c>
      <c r="I1244" s="48"/>
      <c r="J1244" s="48" t="s">
        <v>15</v>
      </c>
      <c r="K1244" s="50"/>
      <c r="L1244" s="50"/>
      <c r="M1244" s="50"/>
      <c r="N1244" s="50"/>
      <c r="O1244" s="50"/>
      <c r="P1244" s="50"/>
      <c r="Q1244" s="50"/>
      <c r="R1244" s="50"/>
      <c r="S1244" s="50"/>
      <c r="T1244" s="50"/>
      <c r="U1244" s="50"/>
      <c r="V1244" s="50"/>
      <c r="W1244" s="50"/>
      <c r="X1244" s="50"/>
      <c r="Y1244" s="50"/>
      <c r="Z1244" s="50"/>
      <c r="AA1244" s="50"/>
      <c r="AB1244" s="50"/>
    </row>
    <row r="1245" spans="1:28" ht="15.75" customHeight="1">
      <c r="A1245" s="9">
        <v>2024</v>
      </c>
      <c r="B1245" s="11" t="s">
        <v>271</v>
      </c>
      <c r="C1245" s="11" t="s">
        <v>271</v>
      </c>
      <c r="D1245" s="3" t="s">
        <v>206</v>
      </c>
      <c r="E1245" s="48" t="s">
        <v>15</v>
      </c>
      <c r="F1245" s="49">
        <v>4400000000</v>
      </c>
      <c r="G1245" s="11" t="s">
        <v>271</v>
      </c>
      <c r="H1245" s="48" t="s">
        <v>269</v>
      </c>
      <c r="I1245" s="48"/>
      <c r="J1245" s="48" t="s">
        <v>15</v>
      </c>
      <c r="K1245" s="50"/>
      <c r="L1245" s="50"/>
      <c r="M1245" s="50"/>
      <c r="N1245" s="50"/>
      <c r="O1245" s="50"/>
      <c r="P1245" s="50"/>
      <c r="Q1245" s="50"/>
      <c r="R1245" s="50"/>
      <c r="S1245" s="50"/>
      <c r="T1245" s="50"/>
      <c r="U1245" s="50"/>
      <c r="V1245" s="50"/>
      <c r="W1245" s="50"/>
      <c r="X1245" s="50"/>
      <c r="Y1245" s="50"/>
      <c r="Z1245" s="50"/>
      <c r="AA1245" s="50"/>
      <c r="AB1245" s="50"/>
    </row>
    <row r="1246" spans="1:28" ht="15.75" customHeight="1">
      <c r="A1246" s="9">
        <v>2024</v>
      </c>
      <c r="B1246" s="11" t="s">
        <v>218</v>
      </c>
      <c r="C1246" s="11" t="s">
        <v>218</v>
      </c>
      <c r="D1246" s="3" t="s">
        <v>219</v>
      </c>
      <c r="E1246" s="48" t="s">
        <v>15</v>
      </c>
      <c r="F1246" s="49">
        <v>3107702931</v>
      </c>
      <c r="G1246" s="11" t="s">
        <v>218</v>
      </c>
      <c r="H1246" s="48" t="s">
        <v>269</v>
      </c>
      <c r="I1246" s="48"/>
      <c r="J1246" s="48" t="s">
        <v>15</v>
      </c>
      <c r="K1246" s="50"/>
      <c r="L1246" s="50"/>
      <c r="M1246" s="50"/>
      <c r="N1246" s="50"/>
      <c r="O1246" s="50"/>
      <c r="P1246" s="50"/>
      <c r="Q1246" s="50"/>
      <c r="R1246" s="50"/>
      <c r="S1246" s="50"/>
      <c r="T1246" s="50"/>
      <c r="U1246" s="50"/>
      <c r="V1246" s="50"/>
      <c r="W1246" s="50"/>
      <c r="X1246" s="50"/>
      <c r="Y1246" s="50"/>
      <c r="Z1246" s="50"/>
      <c r="AA1246" s="50"/>
      <c r="AB1246" s="50"/>
    </row>
    <row r="1247" spans="1:28" ht="15.75" customHeight="1">
      <c r="A1247" s="9">
        <v>2024</v>
      </c>
      <c r="B1247" s="11" t="s">
        <v>222</v>
      </c>
      <c r="C1247" s="11" t="s">
        <v>222</v>
      </c>
      <c r="D1247" s="3" t="s">
        <v>223</v>
      </c>
      <c r="E1247" s="48" t="s">
        <v>15</v>
      </c>
      <c r="F1247" s="49">
        <v>617034811</v>
      </c>
      <c r="G1247" s="11" t="s">
        <v>222</v>
      </c>
      <c r="H1247" s="48" t="s">
        <v>269</v>
      </c>
      <c r="I1247" s="48"/>
      <c r="J1247" s="48" t="s">
        <v>15</v>
      </c>
      <c r="K1247" s="50"/>
      <c r="L1247" s="50"/>
      <c r="M1247" s="50"/>
      <c r="N1247" s="50"/>
      <c r="O1247" s="50"/>
      <c r="P1247" s="50"/>
      <c r="Q1247" s="50"/>
      <c r="R1247" s="50"/>
      <c r="S1247" s="50"/>
      <c r="T1247" s="50"/>
      <c r="U1247" s="50"/>
      <c r="V1247" s="50"/>
      <c r="W1247" s="50"/>
      <c r="X1247" s="50"/>
      <c r="Y1247" s="50"/>
      <c r="Z1247" s="50"/>
      <c r="AA1247" s="50"/>
      <c r="AB1247" s="50"/>
    </row>
    <row r="1248" spans="1:28" ht="15.75" customHeight="1">
      <c r="A1248" s="9">
        <v>2024</v>
      </c>
      <c r="B1248" s="11" t="s">
        <v>225</v>
      </c>
      <c r="C1248" s="11" t="s">
        <v>225</v>
      </c>
      <c r="D1248" s="3" t="s">
        <v>226</v>
      </c>
      <c r="E1248" s="48" t="s">
        <v>15</v>
      </c>
      <c r="F1248" s="49">
        <v>2705762394</v>
      </c>
      <c r="G1248" s="11" t="s">
        <v>225</v>
      </c>
      <c r="H1248" s="48" t="s">
        <v>269</v>
      </c>
      <c r="I1248" s="48"/>
      <c r="J1248" s="48" t="s">
        <v>15</v>
      </c>
      <c r="K1248" s="50"/>
      <c r="L1248" s="50"/>
      <c r="M1248" s="50"/>
      <c r="N1248" s="50"/>
      <c r="O1248" s="50"/>
      <c r="P1248" s="50"/>
      <c r="Q1248" s="50"/>
      <c r="R1248" s="50"/>
      <c r="S1248" s="50"/>
      <c r="T1248" s="50"/>
      <c r="U1248" s="50"/>
      <c r="V1248" s="50"/>
      <c r="W1248" s="50"/>
      <c r="X1248" s="50"/>
      <c r="Y1248" s="50"/>
      <c r="Z1248" s="50"/>
      <c r="AA1248" s="50"/>
      <c r="AB1248" s="50"/>
    </row>
    <row r="1249" spans="1:28" ht="15.75" customHeight="1">
      <c r="A1249" s="9">
        <v>2024</v>
      </c>
      <c r="B1249" s="11" t="s">
        <v>115</v>
      </c>
      <c r="C1249" s="11" t="s">
        <v>115</v>
      </c>
      <c r="D1249" s="3" t="s">
        <v>116</v>
      </c>
      <c r="E1249" s="48" t="s">
        <v>15</v>
      </c>
      <c r="F1249" s="49">
        <v>33667840</v>
      </c>
      <c r="G1249" s="11" t="s">
        <v>115</v>
      </c>
      <c r="H1249" s="48" t="s">
        <v>272</v>
      </c>
      <c r="I1249" s="48"/>
      <c r="J1249" s="48" t="s">
        <v>15</v>
      </c>
      <c r="K1249" s="50"/>
      <c r="L1249" s="50"/>
      <c r="M1249" s="50"/>
      <c r="N1249" s="50"/>
      <c r="O1249" s="50"/>
      <c r="P1249" s="50"/>
      <c r="Q1249" s="50"/>
      <c r="R1249" s="50"/>
      <c r="S1249" s="50"/>
      <c r="T1249" s="50"/>
      <c r="U1249" s="50"/>
      <c r="V1249" s="50"/>
      <c r="W1249" s="50"/>
      <c r="X1249" s="50"/>
      <c r="Y1249" s="50"/>
      <c r="Z1249" s="50"/>
      <c r="AA1249" s="50"/>
      <c r="AB1249" s="50"/>
    </row>
    <row r="1250" spans="1:28" ht="15.75" customHeight="1">
      <c r="A1250" s="9">
        <v>2024</v>
      </c>
      <c r="B1250" s="11" t="s">
        <v>105</v>
      </c>
      <c r="C1250" s="11" t="s">
        <v>105</v>
      </c>
      <c r="D1250" s="3" t="s">
        <v>106</v>
      </c>
      <c r="E1250" s="48" t="s">
        <v>15</v>
      </c>
      <c r="F1250" s="49">
        <v>162217808</v>
      </c>
      <c r="G1250" s="11" t="s">
        <v>105</v>
      </c>
      <c r="H1250" s="48" t="s">
        <v>272</v>
      </c>
      <c r="I1250" s="48"/>
      <c r="J1250" s="48" t="s">
        <v>15</v>
      </c>
      <c r="K1250" s="50"/>
      <c r="L1250" s="50"/>
      <c r="M1250" s="50"/>
      <c r="N1250" s="50"/>
      <c r="O1250" s="50"/>
      <c r="P1250" s="50"/>
      <c r="Q1250" s="50"/>
      <c r="R1250" s="50"/>
      <c r="S1250" s="50"/>
      <c r="T1250" s="50"/>
      <c r="U1250" s="50"/>
      <c r="V1250" s="50"/>
      <c r="W1250" s="50"/>
      <c r="X1250" s="50"/>
      <c r="Y1250" s="50"/>
      <c r="Z1250" s="50"/>
      <c r="AA1250" s="50"/>
      <c r="AB1250" s="50"/>
    </row>
    <row r="1251" spans="1:28" ht="15.75" customHeight="1">
      <c r="A1251" s="9">
        <v>2024</v>
      </c>
      <c r="B1251" s="17" t="s">
        <v>270</v>
      </c>
      <c r="C1251" s="17" t="s">
        <v>270</v>
      </c>
      <c r="D1251" s="48" t="s">
        <v>164</v>
      </c>
      <c r="E1251" s="48" t="s">
        <v>15</v>
      </c>
      <c r="F1251" s="49">
        <v>600000000</v>
      </c>
      <c r="G1251" s="17" t="s">
        <v>270</v>
      </c>
      <c r="H1251" s="48" t="s">
        <v>272</v>
      </c>
      <c r="I1251" s="48"/>
      <c r="J1251" s="48" t="s">
        <v>15</v>
      </c>
      <c r="K1251" s="50"/>
      <c r="L1251" s="50"/>
      <c r="M1251" s="50"/>
      <c r="N1251" s="50"/>
      <c r="O1251" s="50"/>
      <c r="P1251" s="50"/>
      <c r="Q1251" s="50"/>
      <c r="R1251" s="50"/>
      <c r="S1251" s="50"/>
      <c r="T1251" s="50"/>
      <c r="U1251" s="50"/>
      <c r="V1251" s="50"/>
      <c r="W1251" s="50"/>
      <c r="X1251" s="50"/>
      <c r="Y1251" s="50"/>
      <c r="Z1251" s="50"/>
      <c r="AA1251" s="50"/>
      <c r="AB1251" s="50"/>
    </row>
    <row r="1252" spans="1:28" ht="15.75" customHeight="1">
      <c r="A1252" s="9">
        <v>2024</v>
      </c>
      <c r="B1252" s="17" t="s">
        <v>10</v>
      </c>
      <c r="C1252" s="17" t="s">
        <v>10</v>
      </c>
      <c r="D1252" s="48" t="s">
        <v>11</v>
      </c>
      <c r="E1252" s="48" t="s">
        <v>15</v>
      </c>
      <c r="F1252" s="49">
        <v>620000000</v>
      </c>
      <c r="G1252" s="17" t="s">
        <v>10</v>
      </c>
      <c r="H1252" s="48" t="s">
        <v>275</v>
      </c>
      <c r="I1252" s="48"/>
      <c r="J1252" s="48" t="s">
        <v>15</v>
      </c>
      <c r="K1252" s="50"/>
      <c r="L1252" s="50"/>
      <c r="M1252" s="50"/>
      <c r="N1252" s="50"/>
      <c r="O1252" s="50"/>
      <c r="P1252" s="50"/>
      <c r="Q1252" s="50"/>
      <c r="R1252" s="50"/>
      <c r="S1252" s="50"/>
      <c r="T1252" s="50"/>
      <c r="U1252" s="50"/>
      <c r="V1252" s="50"/>
      <c r="W1252" s="50"/>
      <c r="X1252" s="50"/>
      <c r="Y1252" s="50"/>
      <c r="Z1252" s="50"/>
      <c r="AA1252" s="50"/>
      <c r="AB1252" s="50"/>
    </row>
    <row r="1253" spans="1:28" ht="15.75" customHeight="1">
      <c r="A1253" s="9">
        <v>2024</v>
      </c>
      <c r="B1253" s="17" t="s">
        <v>57</v>
      </c>
      <c r="C1253" s="17" t="s">
        <v>57</v>
      </c>
      <c r="D1253" s="48" t="s">
        <v>58</v>
      </c>
      <c r="E1253" s="48" t="s">
        <v>15</v>
      </c>
      <c r="F1253" s="49">
        <v>629800000</v>
      </c>
      <c r="G1253" s="17" t="s">
        <v>57</v>
      </c>
      <c r="H1253" s="48" t="s">
        <v>275</v>
      </c>
      <c r="I1253" s="48"/>
      <c r="J1253" s="48" t="s">
        <v>15</v>
      </c>
      <c r="K1253" s="50"/>
      <c r="L1253" s="50"/>
      <c r="M1253" s="50"/>
      <c r="N1253" s="50"/>
      <c r="O1253" s="50"/>
      <c r="P1253" s="50"/>
      <c r="Q1253" s="50"/>
      <c r="R1253" s="50"/>
      <c r="S1253" s="50"/>
      <c r="T1253" s="50"/>
      <c r="U1253" s="50"/>
      <c r="V1253" s="50"/>
      <c r="W1253" s="50"/>
      <c r="X1253" s="50"/>
      <c r="Y1253" s="50"/>
      <c r="Z1253" s="50"/>
      <c r="AA1253" s="50"/>
      <c r="AB1253" s="50"/>
    </row>
    <row r="1254" spans="1:28" ht="15.75" customHeight="1">
      <c r="A1254" s="9">
        <v>2024</v>
      </c>
      <c r="B1254" s="17" t="s">
        <v>276</v>
      </c>
      <c r="C1254" s="17" t="s">
        <v>136</v>
      </c>
      <c r="D1254" s="48" t="s">
        <v>137</v>
      </c>
      <c r="E1254" s="48" t="s">
        <v>15</v>
      </c>
      <c r="F1254" s="49">
        <v>872700000</v>
      </c>
      <c r="G1254" s="17" t="s">
        <v>276</v>
      </c>
      <c r="H1254" s="48" t="s">
        <v>275</v>
      </c>
      <c r="I1254" s="48"/>
      <c r="J1254" s="48" t="s">
        <v>15</v>
      </c>
      <c r="K1254" s="50"/>
      <c r="L1254" s="50"/>
      <c r="M1254" s="50"/>
      <c r="N1254" s="50"/>
      <c r="O1254" s="50"/>
      <c r="P1254" s="50"/>
      <c r="Q1254" s="50"/>
      <c r="R1254" s="50"/>
      <c r="S1254" s="50"/>
      <c r="T1254" s="50"/>
      <c r="U1254" s="50"/>
      <c r="V1254" s="50"/>
      <c r="W1254" s="50"/>
      <c r="X1254" s="50"/>
      <c r="Y1254" s="50"/>
      <c r="Z1254" s="50"/>
      <c r="AA1254" s="50"/>
      <c r="AB1254" s="50"/>
    </row>
    <row r="1255" spans="1:28" ht="15.75" customHeight="1">
      <c r="A1255" s="9">
        <v>2024</v>
      </c>
      <c r="B1255" s="17" t="s">
        <v>188</v>
      </c>
      <c r="C1255" s="17" t="s">
        <v>188</v>
      </c>
      <c r="D1255" s="48" t="s">
        <v>189</v>
      </c>
      <c r="E1255" s="48" t="s">
        <v>15</v>
      </c>
      <c r="F1255" s="49">
        <v>981294922</v>
      </c>
      <c r="G1255" s="17" t="s">
        <v>188</v>
      </c>
      <c r="H1255" s="48" t="s">
        <v>275</v>
      </c>
      <c r="I1255" s="48"/>
      <c r="J1255" s="48" t="s">
        <v>15</v>
      </c>
      <c r="K1255" s="50"/>
      <c r="L1255" s="50"/>
      <c r="M1255" s="50"/>
      <c r="N1255" s="50"/>
      <c r="O1255" s="50"/>
      <c r="P1255" s="50"/>
      <c r="Q1255" s="50"/>
      <c r="R1255" s="50"/>
      <c r="S1255" s="50"/>
      <c r="T1255" s="50"/>
      <c r="U1255" s="50"/>
      <c r="V1255" s="50"/>
      <c r="W1255" s="50"/>
      <c r="X1255" s="50"/>
      <c r="Y1255" s="50"/>
      <c r="Z1255" s="50"/>
      <c r="AA1255" s="50"/>
      <c r="AB1255" s="50"/>
    </row>
    <row r="1256" spans="1:28" ht="15.75" customHeight="1">
      <c r="A1256" s="9">
        <v>2024</v>
      </c>
      <c r="B1256" s="17" t="s">
        <v>203</v>
      </c>
      <c r="C1256" s="17" t="s">
        <v>203</v>
      </c>
      <c r="D1256" s="48" t="s">
        <v>204</v>
      </c>
      <c r="E1256" s="48" t="s">
        <v>15</v>
      </c>
      <c r="F1256" s="49">
        <v>281321594</v>
      </c>
      <c r="G1256" s="17" t="s">
        <v>203</v>
      </c>
      <c r="H1256" s="48" t="s">
        <v>275</v>
      </c>
      <c r="I1256" s="48"/>
      <c r="J1256" s="48" t="s">
        <v>15</v>
      </c>
      <c r="K1256" s="50"/>
      <c r="L1256" s="50"/>
      <c r="M1256" s="50"/>
      <c r="N1256" s="50"/>
      <c r="O1256" s="50"/>
      <c r="P1256" s="50"/>
      <c r="Q1256" s="50"/>
      <c r="R1256" s="50"/>
      <c r="S1256" s="50"/>
      <c r="T1256" s="50"/>
      <c r="U1256" s="50"/>
      <c r="V1256" s="50"/>
      <c r="W1256" s="50"/>
      <c r="X1256" s="50"/>
      <c r="Y1256" s="50"/>
      <c r="Z1256" s="50"/>
      <c r="AA1256" s="50"/>
      <c r="AB1256" s="50"/>
    </row>
    <row r="1257" spans="1:28" ht="15.75" customHeight="1">
      <c r="A1257" s="9">
        <v>2024</v>
      </c>
      <c r="B1257" s="17" t="s">
        <v>283</v>
      </c>
      <c r="C1257" s="17" t="s">
        <v>205</v>
      </c>
      <c r="D1257" s="48" t="s">
        <v>206</v>
      </c>
      <c r="E1257" s="48" t="s">
        <v>15</v>
      </c>
      <c r="F1257" s="49">
        <v>5540000000</v>
      </c>
      <c r="G1257" s="17" t="s">
        <v>283</v>
      </c>
      <c r="H1257" s="48" t="s">
        <v>275</v>
      </c>
      <c r="I1257" s="48"/>
      <c r="J1257" s="48" t="s">
        <v>15</v>
      </c>
      <c r="K1257" s="50"/>
      <c r="L1257" s="50"/>
      <c r="M1257" s="50"/>
      <c r="N1257" s="50"/>
      <c r="O1257" s="50"/>
      <c r="P1257" s="50"/>
      <c r="Q1257" s="50"/>
      <c r="R1257" s="50"/>
      <c r="S1257" s="50"/>
      <c r="T1257" s="50"/>
      <c r="U1257" s="50"/>
      <c r="V1257" s="50"/>
      <c r="W1257" s="50"/>
      <c r="X1257" s="50"/>
      <c r="Y1257" s="50"/>
      <c r="Z1257" s="50"/>
      <c r="AA1257" s="50"/>
      <c r="AB1257" s="50"/>
    </row>
    <row r="1258" spans="1:28" ht="15.75" customHeight="1">
      <c r="A1258" s="9">
        <v>2024</v>
      </c>
      <c r="B1258" s="17" t="s">
        <v>254</v>
      </c>
      <c r="C1258" s="17" t="s">
        <v>255</v>
      </c>
      <c r="D1258" s="48"/>
      <c r="E1258" s="48" t="s">
        <v>15</v>
      </c>
      <c r="F1258" s="49">
        <v>73867855</v>
      </c>
      <c r="G1258" s="17" t="s">
        <v>254</v>
      </c>
      <c r="H1258" s="48" t="s">
        <v>275</v>
      </c>
      <c r="I1258" s="48"/>
      <c r="J1258" s="48" t="s">
        <v>15</v>
      </c>
      <c r="K1258" s="50"/>
      <c r="L1258" s="50"/>
      <c r="M1258" s="50"/>
      <c r="N1258" s="50"/>
      <c r="O1258" s="50"/>
      <c r="P1258" s="50"/>
      <c r="Q1258" s="50"/>
      <c r="R1258" s="50"/>
      <c r="S1258" s="50"/>
      <c r="T1258" s="50"/>
      <c r="U1258" s="50"/>
      <c r="V1258" s="50"/>
      <c r="W1258" s="50"/>
      <c r="X1258" s="50"/>
      <c r="Y1258" s="50"/>
      <c r="Z1258" s="50"/>
      <c r="AA1258" s="50"/>
      <c r="AB1258" s="50"/>
    </row>
    <row r="1259" spans="1:28" ht="15.75" customHeight="1">
      <c r="A1259" s="9">
        <v>2024</v>
      </c>
      <c r="B1259" s="17" t="s">
        <v>218</v>
      </c>
      <c r="C1259" s="17" t="s">
        <v>218</v>
      </c>
      <c r="D1259" s="48" t="s">
        <v>219</v>
      </c>
      <c r="E1259" s="48" t="s">
        <v>15</v>
      </c>
      <c r="F1259" s="49">
        <v>1038000000</v>
      </c>
      <c r="G1259" s="17" t="s">
        <v>218</v>
      </c>
      <c r="H1259" s="48" t="s">
        <v>275</v>
      </c>
      <c r="I1259" s="48"/>
      <c r="J1259" s="48" t="s">
        <v>15</v>
      </c>
      <c r="K1259" s="50"/>
      <c r="L1259" s="50"/>
      <c r="M1259" s="50"/>
      <c r="N1259" s="50"/>
      <c r="O1259" s="50"/>
      <c r="P1259" s="50"/>
      <c r="Q1259" s="50"/>
      <c r="R1259" s="50"/>
      <c r="S1259" s="50"/>
      <c r="T1259" s="50"/>
      <c r="U1259" s="50"/>
      <c r="V1259" s="50"/>
      <c r="W1259" s="50"/>
      <c r="X1259" s="50"/>
      <c r="Y1259" s="50"/>
      <c r="Z1259" s="50"/>
      <c r="AA1259" s="50"/>
      <c r="AB1259" s="50"/>
    </row>
    <row r="1260" spans="1:28" ht="15.75" customHeight="1">
      <c r="A1260" s="9">
        <v>2024</v>
      </c>
      <c r="B1260" s="17" t="s">
        <v>257</v>
      </c>
      <c r="C1260" s="17" t="s">
        <v>222</v>
      </c>
      <c r="D1260" s="48" t="s">
        <v>223</v>
      </c>
      <c r="E1260" s="48" t="s">
        <v>15</v>
      </c>
      <c r="F1260" s="49">
        <v>1587428979</v>
      </c>
      <c r="G1260" s="17" t="s">
        <v>257</v>
      </c>
      <c r="H1260" s="48" t="s">
        <v>275</v>
      </c>
      <c r="I1260" s="48"/>
      <c r="J1260" s="48" t="s">
        <v>15</v>
      </c>
      <c r="K1260" s="50"/>
      <c r="L1260" s="50"/>
      <c r="M1260" s="50"/>
      <c r="N1260" s="50"/>
      <c r="O1260" s="50"/>
      <c r="P1260" s="50"/>
      <c r="Q1260" s="50"/>
      <c r="R1260" s="50"/>
      <c r="S1260" s="50"/>
      <c r="T1260" s="50"/>
      <c r="U1260" s="50"/>
      <c r="V1260" s="50"/>
      <c r="W1260" s="50"/>
      <c r="X1260" s="50"/>
      <c r="Y1260" s="50"/>
      <c r="Z1260" s="50"/>
      <c r="AA1260" s="50"/>
      <c r="AB1260" s="50"/>
    </row>
  </sheetData>
  <autoFilter ref="A1:J1260" xr:uid="{00000000-0009-0000-0000-000000000000}"/>
  <customSheetViews>
    <customSheetView guid="{EB1E6E7C-D94A-4C14-AEFB-33018963F29D}" filter="1" showAutoFilter="1">
      <pageMargins left="0.7" right="0.7" top="0.75" bottom="0.75" header="0.3" footer="0.3"/>
      <autoFilter ref="A1:F747" xr:uid="{7CE90F52-2F08-8C41-9A6A-B5A917253696}"/>
    </customSheetView>
  </customSheetViews>
  <phoneticPr fontId="14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C1000"/>
  <sheetViews>
    <sheetView showGridLines="0" workbookViewId="0"/>
  </sheetViews>
  <sheetFormatPr baseColWidth="10" defaultColWidth="12.6640625" defaultRowHeight="15" customHeight="1"/>
  <cols>
    <col min="1" max="1" width="39.33203125" customWidth="1"/>
    <col min="2" max="2" width="16.6640625" customWidth="1"/>
    <col min="3" max="3" width="13.5" customWidth="1"/>
    <col min="4" max="4" width="16.6640625" customWidth="1"/>
    <col min="5" max="5" width="13.5" customWidth="1"/>
    <col min="6" max="6" width="16.6640625" customWidth="1"/>
    <col min="7" max="7" width="13.5" customWidth="1"/>
    <col min="8" max="8" width="11.83203125" customWidth="1"/>
    <col min="9" max="9" width="16.6640625" customWidth="1"/>
    <col min="10" max="10" width="13.5" customWidth="1"/>
    <col min="11" max="11" width="11.83203125" customWidth="1"/>
    <col min="12" max="12" width="16.6640625" customWidth="1"/>
    <col min="13" max="13" width="13.5" customWidth="1"/>
    <col min="14" max="14" width="11.83203125" customWidth="1"/>
    <col min="15" max="15" width="16.6640625" customWidth="1"/>
    <col min="16" max="16" width="13.5" customWidth="1"/>
    <col min="17" max="17" width="11.83203125" customWidth="1"/>
    <col min="18" max="18" width="16.6640625" customWidth="1"/>
    <col min="19" max="19" width="11" customWidth="1"/>
    <col min="20" max="20" width="10" customWidth="1"/>
  </cols>
  <sheetData>
    <row r="1" spans="1:55" ht="15.75" customHeight="1">
      <c r="A1" s="64" t="s">
        <v>285</v>
      </c>
      <c r="B1" s="65"/>
      <c r="C1" s="64" t="s">
        <v>0</v>
      </c>
      <c r="D1" s="66" t="s">
        <v>4</v>
      </c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7"/>
    </row>
    <row r="2" spans="1:55" ht="15.75" customHeight="1">
      <c r="A2" s="68"/>
      <c r="B2" s="69"/>
      <c r="C2" s="70">
        <v>2010</v>
      </c>
      <c r="D2" s="65"/>
      <c r="E2" s="65"/>
      <c r="F2" s="65"/>
      <c r="G2" s="70">
        <v>2011</v>
      </c>
      <c r="H2" s="65"/>
      <c r="I2" s="65"/>
      <c r="J2" s="65"/>
      <c r="K2" s="70">
        <v>2012</v>
      </c>
      <c r="L2" s="65"/>
      <c r="M2" s="65"/>
      <c r="N2" s="65"/>
      <c r="O2" s="70">
        <v>2013</v>
      </c>
      <c r="P2" s="65"/>
      <c r="Q2" s="65"/>
      <c r="R2" s="65"/>
      <c r="S2" s="70">
        <v>2014</v>
      </c>
      <c r="T2" s="65"/>
      <c r="U2" s="65"/>
      <c r="V2" s="65"/>
      <c r="W2" s="70">
        <v>2015</v>
      </c>
      <c r="X2" s="65"/>
      <c r="Y2" s="65"/>
      <c r="Z2" s="65"/>
      <c r="AA2" s="70">
        <v>2016</v>
      </c>
      <c r="AB2" s="65"/>
      <c r="AC2" s="65"/>
      <c r="AD2" s="65"/>
      <c r="AE2" s="70">
        <v>2017</v>
      </c>
      <c r="AF2" s="65"/>
      <c r="AG2" s="65"/>
      <c r="AH2" s="65"/>
      <c r="AI2" s="70">
        <v>2018</v>
      </c>
      <c r="AJ2" s="65"/>
      <c r="AK2" s="65"/>
      <c r="AL2" s="65"/>
      <c r="AM2" s="70">
        <v>2019</v>
      </c>
      <c r="AN2" s="65"/>
      <c r="AO2" s="65"/>
      <c r="AP2" s="65"/>
      <c r="AQ2" s="70">
        <v>2020</v>
      </c>
      <c r="AR2" s="65"/>
      <c r="AS2" s="65"/>
      <c r="AT2" s="65"/>
      <c r="AU2" s="70">
        <v>2021</v>
      </c>
      <c r="AV2" s="65"/>
      <c r="AW2" s="65"/>
      <c r="AX2" s="70">
        <v>2022</v>
      </c>
      <c r="AY2" s="65"/>
      <c r="AZ2" s="70">
        <v>2023</v>
      </c>
      <c r="BA2" s="65"/>
      <c r="BB2" s="70">
        <v>2024</v>
      </c>
      <c r="BC2" s="67"/>
    </row>
    <row r="3" spans="1:55" ht="15.75" customHeight="1">
      <c r="A3" s="64" t="s">
        <v>2</v>
      </c>
      <c r="B3" s="64" t="s">
        <v>6</v>
      </c>
      <c r="C3" s="70" t="s">
        <v>12</v>
      </c>
      <c r="D3" s="71" t="s">
        <v>16</v>
      </c>
      <c r="E3" s="71" t="s">
        <v>15</v>
      </c>
      <c r="F3" s="71" t="s">
        <v>14</v>
      </c>
      <c r="G3" s="70" t="s">
        <v>12</v>
      </c>
      <c r="H3" s="71" t="s">
        <v>16</v>
      </c>
      <c r="I3" s="71" t="s">
        <v>15</v>
      </c>
      <c r="J3" s="71" t="s">
        <v>14</v>
      </c>
      <c r="K3" s="70" t="s">
        <v>12</v>
      </c>
      <c r="L3" s="71" t="s">
        <v>16</v>
      </c>
      <c r="M3" s="71" t="s">
        <v>15</v>
      </c>
      <c r="N3" s="71" t="s">
        <v>14</v>
      </c>
      <c r="O3" s="70" t="s">
        <v>12</v>
      </c>
      <c r="P3" s="71" t="s">
        <v>16</v>
      </c>
      <c r="Q3" s="71" t="s">
        <v>15</v>
      </c>
      <c r="R3" s="71" t="s">
        <v>14</v>
      </c>
      <c r="S3" s="70" t="s">
        <v>12</v>
      </c>
      <c r="T3" s="71" t="s">
        <v>16</v>
      </c>
      <c r="U3" s="71" t="s">
        <v>15</v>
      </c>
      <c r="V3" s="71" t="s">
        <v>14</v>
      </c>
      <c r="W3" s="70" t="s">
        <v>12</v>
      </c>
      <c r="X3" s="71" t="s">
        <v>16</v>
      </c>
      <c r="Y3" s="71" t="s">
        <v>15</v>
      </c>
      <c r="Z3" s="71" t="s">
        <v>14</v>
      </c>
      <c r="AA3" s="70" t="s">
        <v>12</v>
      </c>
      <c r="AB3" s="71" t="s">
        <v>16</v>
      </c>
      <c r="AC3" s="71" t="s">
        <v>15</v>
      </c>
      <c r="AD3" s="71" t="s">
        <v>14</v>
      </c>
      <c r="AE3" s="70" t="s">
        <v>12</v>
      </c>
      <c r="AF3" s="71" t="s">
        <v>16</v>
      </c>
      <c r="AG3" s="71" t="s">
        <v>15</v>
      </c>
      <c r="AH3" s="71" t="s">
        <v>14</v>
      </c>
      <c r="AI3" s="70" t="s">
        <v>12</v>
      </c>
      <c r="AJ3" s="71" t="s">
        <v>16</v>
      </c>
      <c r="AK3" s="71" t="s">
        <v>15</v>
      </c>
      <c r="AL3" s="71" t="s">
        <v>14</v>
      </c>
      <c r="AM3" s="70" t="s">
        <v>12</v>
      </c>
      <c r="AN3" s="71" t="s">
        <v>16</v>
      </c>
      <c r="AO3" s="71" t="s">
        <v>15</v>
      </c>
      <c r="AP3" s="71" t="s">
        <v>14</v>
      </c>
      <c r="AQ3" s="70" t="s">
        <v>12</v>
      </c>
      <c r="AR3" s="71" t="s">
        <v>16</v>
      </c>
      <c r="AS3" s="71" t="s">
        <v>15</v>
      </c>
      <c r="AT3" s="71" t="s">
        <v>14</v>
      </c>
      <c r="AU3" s="70" t="s">
        <v>16</v>
      </c>
      <c r="AV3" s="71" t="s">
        <v>15</v>
      </c>
      <c r="AW3" s="71" t="s">
        <v>14</v>
      </c>
      <c r="AX3" s="70" t="s">
        <v>16</v>
      </c>
      <c r="AY3" s="71" t="s">
        <v>15</v>
      </c>
      <c r="AZ3" s="70" t="s">
        <v>16</v>
      </c>
      <c r="BA3" s="71" t="s">
        <v>15</v>
      </c>
      <c r="BB3" s="70" t="s">
        <v>16</v>
      </c>
      <c r="BC3" s="72" t="s">
        <v>15</v>
      </c>
    </row>
    <row r="4" spans="1:55" ht="15.75" customHeight="1">
      <c r="A4" s="70" t="s">
        <v>10</v>
      </c>
      <c r="B4" s="70" t="s">
        <v>10</v>
      </c>
      <c r="C4" s="75">
        <v>22000000</v>
      </c>
      <c r="D4" s="76">
        <v>58650000</v>
      </c>
      <c r="E4" s="76">
        <v>6249233786</v>
      </c>
      <c r="F4" s="76">
        <v>2919599635</v>
      </c>
      <c r="G4" s="75"/>
      <c r="H4" s="76"/>
      <c r="I4" s="76"/>
      <c r="J4" s="76"/>
      <c r="K4" s="75"/>
      <c r="L4" s="76"/>
      <c r="M4" s="76"/>
      <c r="N4" s="76"/>
      <c r="O4" s="75"/>
      <c r="P4" s="76"/>
      <c r="Q4" s="76"/>
      <c r="R4" s="76"/>
      <c r="S4" s="75"/>
      <c r="T4" s="76"/>
      <c r="U4" s="76"/>
      <c r="V4" s="76"/>
      <c r="W4" s="75"/>
      <c r="X4" s="76"/>
      <c r="Y4" s="76"/>
      <c r="Z4" s="76"/>
      <c r="AA4" s="75"/>
      <c r="AB4" s="76">
        <v>18400000</v>
      </c>
      <c r="AC4" s="76"/>
      <c r="AD4" s="76"/>
      <c r="AE4" s="75"/>
      <c r="AF4" s="76"/>
      <c r="AG4" s="76"/>
      <c r="AH4" s="76"/>
      <c r="AI4" s="75"/>
      <c r="AJ4" s="76"/>
      <c r="AK4" s="76"/>
      <c r="AL4" s="76"/>
      <c r="AM4" s="75"/>
      <c r="AN4" s="76"/>
      <c r="AO4" s="76"/>
      <c r="AP4" s="76"/>
      <c r="AQ4" s="75"/>
      <c r="AR4" s="76"/>
      <c r="AS4" s="76"/>
      <c r="AT4" s="76"/>
      <c r="AU4" s="75"/>
      <c r="AV4" s="76"/>
      <c r="AW4" s="76"/>
      <c r="AX4" s="75">
        <v>30082953</v>
      </c>
      <c r="AY4" s="76">
        <v>5065615539</v>
      </c>
      <c r="AZ4" s="75">
        <v>37076810</v>
      </c>
      <c r="BA4" s="76">
        <v>3840385894</v>
      </c>
      <c r="BB4" s="75">
        <v>30966389</v>
      </c>
      <c r="BC4" s="77">
        <v>3679587797</v>
      </c>
    </row>
    <row r="5" spans="1:55" ht="15.75" customHeight="1">
      <c r="A5" s="68"/>
      <c r="B5" s="73" t="s">
        <v>18</v>
      </c>
      <c r="C5" s="78"/>
      <c r="D5" s="79"/>
      <c r="E5" s="79">
        <v>152100000</v>
      </c>
      <c r="F5" s="79">
        <v>53500000</v>
      </c>
      <c r="G5" s="78"/>
      <c r="H5" s="79"/>
      <c r="I5" s="79"/>
      <c r="J5" s="79"/>
      <c r="K5" s="78"/>
      <c r="L5" s="79"/>
      <c r="M5" s="79"/>
      <c r="N5" s="79"/>
      <c r="O5" s="78"/>
      <c r="P5" s="79"/>
      <c r="Q5" s="79"/>
      <c r="R5" s="79"/>
      <c r="S5" s="78"/>
      <c r="T5" s="79"/>
      <c r="U5" s="79"/>
      <c r="V5" s="79"/>
      <c r="W5" s="78"/>
      <c r="X5" s="79"/>
      <c r="Y5" s="79"/>
      <c r="Z5" s="79"/>
      <c r="AA5" s="78"/>
      <c r="AB5" s="79"/>
      <c r="AC5" s="79"/>
      <c r="AD5" s="79"/>
      <c r="AE5" s="78"/>
      <c r="AF5" s="79"/>
      <c r="AG5" s="79"/>
      <c r="AH5" s="79"/>
      <c r="AI5" s="78"/>
      <c r="AJ5" s="79"/>
      <c r="AK5" s="79"/>
      <c r="AL5" s="79"/>
      <c r="AM5" s="78"/>
      <c r="AN5" s="79"/>
      <c r="AO5" s="79"/>
      <c r="AP5" s="79"/>
      <c r="AQ5" s="78"/>
      <c r="AR5" s="79"/>
      <c r="AS5" s="79"/>
      <c r="AT5" s="79"/>
      <c r="AU5" s="78"/>
      <c r="AV5" s="79"/>
      <c r="AW5" s="79"/>
      <c r="AX5" s="78"/>
      <c r="AY5" s="79"/>
      <c r="AZ5" s="78"/>
      <c r="BA5" s="79"/>
      <c r="BB5" s="78"/>
      <c r="BC5" s="80"/>
    </row>
    <row r="6" spans="1:55" ht="15.75" customHeight="1">
      <c r="A6" s="68"/>
      <c r="B6" s="73" t="s">
        <v>19</v>
      </c>
      <c r="C6" s="78"/>
      <c r="D6" s="79"/>
      <c r="E6" s="79">
        <v>774508310</v>
      </c>
      <c r="F6" s="79">
        <v>505299903</v>
      </c>
      <c r="G6" s="78"/>
      <c r="H6" s="79"/>
      <c r="I6" s="79"/>
      <c r="J6" s="79"/>
      <c r="K6" s="78"/>
      <c r="L6" s="79"/>
      <c r="M6" s="79"/>
      <c r="N6" s="79"/>
      <c r="O6" s="78"/>
      <c r="P6" s="79"/>
      <c r="Q6" s="79"/>
      <c r="R6" s="79"/>
      <c r="S6" s="78"/>
      <c r="T6" s="79"/>
      <c r="U6" s="79"/>
      <c r="V6" s="79"/>
      <c r="W6" s="78"/>
      <c r="X6" s="79"/>
      <c r="Y6" s="79"/>
      <c r="Z6" s="79"/>
      <c r="AA6" s="78"/>
      <c r="AB6" s="79"/>
      <c r="AC6" s="79"/>
      <c r="AD6" s="79"/>
      <c r="AE6" s="78"/>
      <c r="AF6" s="79"/>
      <c r="AG6" s="79"/>
      <c r="AH6" s="79"/>
      <c r="AI6" s="78"/>
      <c r="AJ6" s="79"/>
      <c r="AK6" s="79"/>
      <c r="AL6" s="79"/>
      <c r="AM6" s="78"/>
      <c r="AN6" s="79"/>
      <c r="AO6" s="79"/>
      <c r="AP6" s="79"/>
      <c r="AQ6" s="78"/>
      <c r="AR6" s="79"/>
      <c r="AS6" s="79"/>
      <c r="AT6" s="79"/>
      <c r="AU6" s="78"/>
      <c r="AV6" s="79"/>
      <c r="AW6" s="79"/>
      <c r="AX6" s="78"/>
      <c r="AY6" s="79"/>
      <c r="AZ6" s="78"/>
      <c r="BA6" s="79"/>
      <c r="BB6" s="78"/>
      <c r="BC6" s="80"/>
    </row>
    <row r="7" spans="1:55" ht="15.75" customHeight="1">
      <c r="A7" s="70" t="s">
        <v>20</v>
      </c>
      <c r="B7" s="70" t="s">
        <v>20</v>
      </c>
      <c r="C7" s="75"/>
      <c r="D7" s="76">
        <v>2500000</v>
      </c>
      <c r="E7" s="76">
        <v>2305400000</v>
      </c>
      <c r="F7" s="76">
        <v>1445100000</v>
      </c>
      <c r="G7" s="75"/>
      <c r="H7" s="76">
        <v>1200000</v>
      </c>
      <c r="I7" s="76">
        <v>871000000</v>
      </c>
      <c r="J7" s="76"/>
      <c r="K7" s="75"/>
      <c r="L7" s="76"/>
      <c r="M7" s="76"/>
      <c r="N7" s="76"/>
      <c r="O7" s="75"/>
      <c r="P7" s="76"/>
      <c r="Q7" s="76"/>
      <c r="R7" s="76"/>
      <c r="S7" s="75"/>
      <c r="T7" s="76"/>
      <c r="U7" s="76"/>
      <c r="V7" s="76"/>
      <c r="W7" s="75"/>
      <c r="X7" s="76"/>
      <c r="Y7" s="76"/>
      <c r="Z7" s="76"/>
      <c r="AA7" s="75"/>
      <c r="AB7" s="76"/>
      <c r="AC7" s="76"/>
      <c r="AD7" s="76"/>
      <c r="AE7" s="75"/>
      <c r="AF7" s="76"/>
      <c r="AG7" s="76"/>
      <c r="AH7" s="76"/>
      <c r="AI7" s="75"/>
      <c r="AJ7" s="76"/>
      <c r="AK7" s="76"/>
      <c r="AL7" s="76"/>
      <c r="AM7" s="75"/>
      <c r="AN7" s="76"/>
      <c r="AO7" s="76"/>
      <c r="AP7" s="76"/>
      <c r="AQ7" s="75"/>
      <c r="AR7" s="76"/>
      <c r="AS7" s="76"/>
      <c r="AT7" s="76"/>
      <c r="AU7" s="75"/>
      <c r="AV7" s="76"/>
      <c r="AW7" s="76"/>
      <c r="AX7" s="75"/>
      <c r="AY7" s="76"/>
      <c r="AZ7" s="75"/>
      <c r="BA7" s="76"/>
      <c r="BB7" s="75"/>
      <c r="BC7" s="77"/>
    </row>
    <row r="8" spans="1:55" ht="15.75" customHeight="1">
      <c r="A8" s="68"/>
      <c r="B8" s="73" t="s">
        <v>26</v>
      </c>
      <c r="C8" s="78"/>
      <c r="D8" s="79"/>
      <c r="E8" s="79"/>
      <c r="F8" s="79"/>
      <c r="G8" s="78"/>
      <c r="H8" s="79">
        <v>20180000</v>
      </c>
      <c r="I8" s="79"/>
      <c r="J8" s="79"/>
      <c r="K8" s="78"/>
      <c r="L8" s="79"/>
      <c r="M8" s="79"/>
      <c r="N8" s="79"/>
      <c r="O8" s="78"/>
      <c r="P8" s="79"/>
      <c r="Q8" s="79"/>
      <c r="R8" s="79"/>
      <c r="S8" s="78"/>
      <c r="T8" s="79"/>
      <c r="U8" s="79"/>
      <c r="V8" s="79"/>
      <c r="W8" s="78"/>
      <c r="X8" s="79"/>
      <c r="Y8" s="79"/>
      <c r="Z8" s="79"/>
      <c r="AA8" s="78"/>
      <c r="AB8" s="79"/>
      <c r="AC8" s="79"/>
      <c r="AD8" s="79"/>
      <c r="AE8" s="78"/>
      <c r="AF8" s="79"/>
      <c r="AG8" s="79"/>
      <c r="AH8" s="79"/>
      <c r="AI8" s="78"/>
      <c r="AJ8" s="79"/>
      <c r="AK8" s="79"/>
      <c r="AL8" s="79"/>
      <c r="AM8" s="78"/>
      <c r="AN8" s="79"/>
      <c r="AO8" s="79"/>
      <c r="AP8" s="79"/>
      <c r="AQ8" s="78"/>
      <c r="AR8" s="79"/>
      <c r="AS8" s="79"/>
      <c r="AT8" s="79"/>
      <c r="AU8" s="78"/>
      <c r="AV8" s="79"/>
      <c r="AW8" s="79"/>
      <c r="AX8" s="78"/>
      <c r="AY8" s="79"/>
      <c r="AZ8" s="78"/>
      <c r="BA8" s="79"/>
      <c r="BB8" s="78"/>
      <c r="BC8" s="80"/>
    </row>
    <row r="9" spans="1:55" ht="15.75" customHeight="1">
      <c r="A9" s="70" t="s">
        <v>32</v>
      </c>
      <c r="B9" s="70" t="s">
        <v>32</v>
      </c>
      <c r="C9" s="75"/>
      <c r="D9" s="76"/>
      <c r="E9" s="76"/>
      <c r="F9" s="76"/>
      <c r="G9" s="75"/>
      <c r="H9" s="76">
        <v>3000000</v>
      </c>
      <c r="I9" s="76"/>
      <c r="J9" s="76"/>
      <c r="K9" s="75"/>
      <c r="L9" s="76"/>
      <c r="M9" s="76"/>
      <c r="N9" s="76"/>
      <c r="O9" s="75"/>
      <c r="P9" s="76"/>
      <c r="Q9" s="76"/>
      <c r="R9" s="76"/>
      <c r="S9" s="75"/>
      <c r="T9" s="76"/>
      <c r="U9" s="76"/>
      <c r="V9" s="76"/>
      <c r="W9" s="75"/>
      <c r="X9" s="76"/>
      <c r="Y9" s="76"/>
      <c r="Z9" s="76"/>
      <c r="AA9" s="75"/>
      <c r="AB9" s="76"/>
      <c r="AC9" s="76"/>
      <c r="AD9" s="76"/>
      <c r="AE9" s="75"/>
      <c r="AF9" s="76"/>
      <c r="AG9" s="76"/>
      <c r="AH9" s="76"/>
      <c r="AI9" s="75"/>
      <c r="AJ9" s="76"/>
      <c r="AK9" s="76"/>
      <c r="AL9" s="76"/>
      <c r="AM9" s="75"/>
      <c r="AN9" s="76"/>
      <c r="AO9" s="76"/>
      <c r="AP9" s="76"/>
      <c r="AQ9" s="75"/>
      <c r="AR9" s="76"/>
      <c r="AS9" s="76"/>
      <c r="AT9" s="76"/>
      <c r="AU9" s="75"/>
      <c r="AV9" s="76"/>
      <c r="AW9" s="76"/>
      <c r="AX9" s="75"/>
      <c r="AY9" s="76"/>
      <c r="AZ9" s="75"/>
      <c r="BA9" s="76"/>
      <c r="BB9" s="75"/>
      <c r="BC9" s="77"/>
    </row>
    <row r="10" spans="1:55" ht="15.75" customHeight="1">
      <c r="A10" s="70" t="s">
        <v>24</v>
      </c>
      <c r="B10" s="70" t="s">
        <v>24</v>
      </c>
      <c r="C10" s="75">
        <v>3500000</v>
      </c>
      <c r="D10" s="76"/>
      <c r="E10" s="76">
        <v>126062151</v>
      </c>
      <c r="F10" s="76">
        <v>161948681</v>
      </c>
      <c r="G10" s="75">
        <v>3500000</v>
      </c>
      <c r="H10" s="76">
        <v>9754148</v>
      </c>
      <c r="I10" s="76">
        <v>1060977186</v>
      </c>
      <c r="J10" s="76">
        <v>276200000</v>
      </c>
      <c r="K10" s="75"/>
      <c r="L10" s="76"/>
      <c r="M10" s="76">
        <v>607400000</v>
      </c>
      <c r="N10" s="76"/>
      <c r="O10" s="75"/>
      <c r="P10" s="76"/>
      <c r="Q10" s="76"/>
      <c r="R10" s="76"/>
      <c r="S10" s="75"/>
      <c r="T10" s="76"/>
      <c r="U10" s="76"/>
      <c r="V10" s="76"/>
      <c r="W10" s="75"/>
      <c r="X10" s="76"/>
      <c r="Y10" s="76"/>
      <c r="Z10" s="76"/>
      <c r="AA10" s="75"/>
      <c r="AB10" s="76"/>
      <c r="AC10" s="76"/>
      <c r="AD10" s="76"/>
      <c r="AE10" s="75"/>
      <c r="AF10" s="76"/>
      <c r="AG10" s="76"/>
      <c r="AH10" s="76"/>
      <c r="AI10" s="75"/>
      <c r="AJ10" s="76"/>
      <c r="AK10" s="76"/>
      <c r="AL10" s="76"/>
      <c r="AM10" s="75"/>
      <c r="AN10" s="76"/>
      <c r="AO10" s="76"/>
      <c r="AP10" s="76"/>
      <c r="AQ10" s="75"/>
      <c r="AR10" s="76"/>
      <c r="AS10" s="76"/>
      <c r="AT10" s="76"/>
      <c r="AU10" s="75">
        <v>3533773</v>
      </c>
      <c r="AV10" s="76"/>
      <c r="AW10" s="76"/>
      <c r="AX10" s="75">
        <v>4889324</v>
      </c>
      <c r="AY10" s="76">
        <v>805099698</v>
      </c>
      <c r="AZ10" s="75">
        <v>4648210</v>
      </c>
      <c r="BA10" s="76">
        <v>876731475</v>
      </c>
      <c r="BB10" s="75">
        <v>6300000</v>
      </c>
      <c r="BC10" s="77">
        <v>935000000</v>
      </c>
    </row>
    <row r="11" spans="1:55" ht="15.75" customHeight="1">
      <c r="A11" s="68"/>
      <c r="B11" s="73" t="s">
        <v>29</v>
      </c>
      <c r="C11" s="78"/>
      <c r="D11" s="79"/>
      <c r="E11" s="79"/>
      <c r="F11" s="79"/>
      <c r="G11" s="78"/>
      <c r="H11" s="79"/>
      <c r="I11" s="79">
        <v>14163313</v>
      </c>
      <c r="J11" s="79">
        <v>3896575</v>
      </c>
      <c r="K11" s="78"/>
      <c r="L11" s="79"/>
      <c r="M11" s="79"/>
      <c r="N11" s="79"/>
      <c r="O11" s="78"/>
      <c r="P11" s="79"/>
      <c r="Q11" s="79"/>
      <c r="R11" s="79"/>
      <c r="S11" s="78"/>
      <c r="T11" s="79"/>
      <c r="U11" s="79"/>
      <c r="V11" s="79"/>
      <c r="W11" s="78"/>
      <c r="X11" s="79"/>
      <c r="Y11" s="79"/>
      <c r="Z11" s="79"/>
      <c r="AA11" s="78"/>
      <c r="AB11" s="79"/>
      <c r="AC11" s="79"/>
      <c r="AD11" s="79"/>
      <c r="AE11" s="78"/>
      <c r="AF11" s="79"/>
      <c r="AG11" s="79"/>
      <c r="AH11" s="79"/>
      <c r="AI11" s="78"/>
      <c r="AJ11" s="79"/>
      <c r="AK11" s="79"/>
      <c r="AL11" s="79"/>
      <c r="AM11" s="78"/>
      <c r="AN11" s="79"/>
      <c r="AO11" s="79"/>
      <c r="AP11" s="79"/>
      <c r="AQ11" s="78"/>
      <c r="AR11" s="79"/>
      <c r="AS11" s="79"/>
      <c r="AT11" s="79"/>
      <c r="AU11" s="78"/>
      <c r="AV11" s="79"/>
      <c r="AW11" s="79"/>
      <c r="AX11" s="78"/>
      <c r="AY11" s="79"/>
      <c r="AZ11" s="78"/>
      <c r="BA11" s="79"/>
      <c r="BB11" s="78"/>
      <c r="BC11" s="80"/>
    </row>
    <row r="12" spans="1:55" ht="15.75" customHeight="1">
      <c r="A12" s="70" t="s">
        <v>30</v>
      </c>
      <c r="B12" s="70" t="s">
        <v>30</v>
      </c>
      <c r="C12" s="75"/>
      <c r="D12" s="76"/>
      <c r="E12" s="76"/>
      <c r="F12" s="76"/>
      <c r="G12" s="75"/>
      <c r="H12" s="76">
        <v>6600000</v>
      </c>
      <c r="I12" s="76">
        <v>384100000</v>
      </c>
      <c r="J12" s="76">
        <v>224400000</v>
      </c>
      <c r="K12" s="75"/>
      <c r="L12" s="76">
        <v>3540000</v>
      </c>
      <c r="M12" s="76">
        <v>104000000</v>
      </c>
      <c r="N12" s="76"/>
      <c r="O12" s="75"/>
      <c r="P12" s="76"/>
      <c r="Q12" s="76">
        <v>195647826</v>
      </c>
      <c r="R12" s="76"/>
      <c r="S12" s="75"/>
      <c r="T12" s="76"/>
      <c r="U12" s="76">
        <v>208889587</v>
      </c>
      <c r="V12" s="76"/>
      <c r="W12" s="75"/>
      <c r="X12" s="76"/>
      <c r="Y12" s="76"/>
      <c r="Z12" s="76"/>
      <c r="AA12" s="75"/>
      <c r="AB12" s="76"/>
      <c r="AC12" s="76"/>
      <c r="AD12" s="76"/>
      <c r="AE12" s="75"/>
      <c r="AF12" s="76"/>
      <c r="AG12" s="76"/>
      <c r="AH12" s="76"/>
      <c r="AI12" s="75"/>
      <c r="AJ12" s="76"/>
      <c r="AK12" s="76"/>
      <c r="AL12" s="76"/>
      <c r="AM12" s="75"/>
      <c r="AN12" s="76"/>
      <c r="AO12" s="76"/>
      <c r="AP12" s="76"/>
      <c r="AQ12" s="75"/>
      <c r="AR12" s="76"/>
      <c r="AS12" s="76"/>
      <c r="AT12" s="76"/>
      <c r="AU12" s="75">
        <v>2255830</v>
      </c>
      <c r="AV12" s="76"/>
      <c r="AW12" s="76"/>
      <c r="AX12" s="75">
        <v>1795961</v>
      </c>
      <c r="AY12" s="76">
        <v>182414025</v>
      </c>
      <c r="AZ12" s="75">
        <v>2666886</v>
      </c>
      <c r="BA12" s="76">
        <v>237180119</v>
      </c>
      <c r="BB12" s="75"/>
      <c r="BC12" s="77"/>
    </row>
    <row r="13" spans="1:55" ht="15.75" customHeight="1">
      <c r="A13" s="68"/>
      <c r="B13" s="73" t="s">
        <v>37</v>
      </c>
      <c r="C13" s="78"/>
      <c r="D13" s="79"/>
      <c r="E13" s="79"/>
      <c r="F13" s="79"/>
      <c r="G13" s="78"/>
      <c r="H13" s="79"/>
      <c r="I13" s="79">
        <v>306600000</v>
      </c>
      <c r="J13" s="79">
        <v>73800000</v>
      </c>
      <c r="K13" s="78"/>
      <c r="L13" s="79"/>
      <c r="M13" s="79"/>
      <c r="N13" s="79"/>
      <c r="O13" s="78"/>
      <c r="P13" s="79"/>
      <c r="Q13" s="79"/>
      <c r="R13" s="79"/>
      <c r="S13" s="78"/>
      <c r="T13" s="79"/>
      <c r="U13" s="79"/>
      <c r="V13" s="79"/>
      <c r="W13" s="78"/>
      <c r="X13" s="79"/>
      <c r="Y13" s="79"/>
      <c r="Z13" s="79"/>
      <c r="AA13" s="78"/>
      <c r="AB13" s="79"/>
      <c r="AC13" s="79"/>
      <c r="AD13" s="79"/>
      <c r="AE13" s="78"/>
      <c r="AF13" s="79"/>
      <c r="AG13" s="79"/>
      <c r="AH13" s="79"/>
      <c r="AI13" s="78"/>
      <c r="AJ13" s="79"/>
      <c r="AK13" s="79"/>
      <c r="AL13" s="79"/>
      <c r="AM13" s="78"/>
      <c r="AN13" s="79"/>
      <c r="AO13" s="79"/>
      <c r="AP13" s="79"/>
      <c r="AQ13" s="78"/>
      <c r="AR13" s="79"/>
      <c r="AS13" s="79"/>
      <c r="AT13" s="79"/>
      <c r="AU13" s="78"/>
      <c r="AV13" s="79"/>
      <c r="AW13" s="79"/>
      <c r="AX13" s="78"/>
      <c r="AY13" s="79"/>
      <c r="AZ13" s="78"/>
      <c r="BA13" s="79"/>
      <c r="BB13" s="78"/>
      <c r="BC13" s="80"/>
    </row>
    <row r="14" spans="1:55" ht="15.75" customHeight="1">
      <c r="A14" s="68"/>
      <c r="B14" s="73" t="s">
        <v>35</v>
      </c>
      <c r="C14" s="78"/>
      <c r="D14" s="79"/>
      <c r="E14" s="79"/>
      <c r="F14" s="79"/>
      <c r="G14" s="78"/>
      <c r="H14" s="79">
        <v>814000</v>
      </c>
      <c r="I14" s="79">
        <v>1396100000</v>
      </c>
      <c r="J14" s="79">
        <v>337700000</v>
      </c>
      <c r="K14" s="78"/>
      <c r="L14" s="79">
        <v>223000</v>
      </c>
      <c r="M14" s="79"/>
      <c r="N14" s="79">
        <v>85400000</v>
      </c>
      <c r="O14" s="78"/>
      <c r="P14" s="79"/>
      <c r="Q14" s="79"/>
      <c r="R14" s="79"/>
      <c r="S14" s="78"/>
      <c r="T14" s="79"/>
      <c r="U14" s="79">
        <v>235800000</v>
      </c>
      <c r="V14" s="79"/>
      <c r="W14" s="78"/>
      <c r="X14" s="79"/>
      <c r="Y14" s="79"/>
      <c r="Z14" s="79"/>
      <c r="AA14" s="78"/>
      <c r="AB14" s="79"/>
      <c r="AC14" s="79"/>
      <c r="AD14" s="79"/>
      <c r="AE14" s="78"/>
      <c r="AF14" s="79"/>
      <c r="AG14" s="79"/>
      <c r="AH14" s="79"/>
      <c r="AI14" s="78"/>
      <c r="AJ14" s="79"/>
      <c r="AK14" s="79"/>
      <c r="AL14" s="79"/>
      <c r="AM14" s="78"/>
      <c r="AN14" s="79"/>
      <c r="AO14" s="79"/>
      <c r="AP14" s="79"/>
      <c r="AQ14" s="78"/>
      <c r="AR14" s="79"/>
      <c r="AS14" s="79"/>
      <c r="AT14" s="79"/>
      <c r="AU14" s="78"/>
      <c r="AV14" s="79"/>
      <c r="AW14" s="79"/>
      <c r="AX14" s="78"/>
      <c r="AY14" s="79"/>
      <c r="AZ14" s="78"/>
      <c r="BA14" s="79"/>
      <c r="BB14" s="78"/>
      <c r="BC14" s="80"/>
    </row>
    <row r="15" spans="1:55" ht="15.75" customHeight="1">
      <c r="A15" s="68"/>
      <c r="B15" s="73" t="s">
        <v>46</v>
      </c>
      <c r="C15" s="78"/>
      <c r="D15" s="79"/>
      <c r="E15" s="79"/>
      <c r="F15" s="79"/>
      <c r="G15" s="78"/>
      <c r="H15" s="79"/>
      <c r="I15" s="79"/>
      <c r="J15" s="79"/>
      <c r="K15" s="78"/>
      <c r="L15" s="79">
        <v>250000</v>
      </c>
      <c r="M15" s="79"/>
      <c r="N15" s="79"/>
      <c r="O15" s="78"/>
      <c r="P15" s="79"/>
      <c r="Q15" s="79"/>
      <c r="R15" s="79"/>
      <c r="S15" s="78"/>
      <c r="T15" s="79"/>
      <c r="U15" s="79"/>
      <c r="V15" s="79"/>
      <c r="W15" s="78"/>
      <c r="X15" s="79"/>
      <c r="Y15" s="79"/>
      <c r="Z15" s="79"/>
      <c r="AA15" s="78"/>
      <c r="AB15" s="79"/>
      <c r="AC15" s="79"/>
      <c r="AD15" s="79"/>
      <c r="AE15" s="78"/>
      <c r="AF15" s="79"/>
      <c r="AG15" s="79"/>
      <c r="AH15" s="79"/>
      <c r="AI15" s="78"/>
      <c r="AJ15" s="79"/>
      <c r="AK15" s="79"/>
      <c r="AL15" s="79"/>
      <c r="AM15" s="78"/>
      <c r="AN15" s="79"/>
      <c r="AO15" s="79"/>
      <c r="AP15" s="79"/>
      <c r="AQ15" s="78"/>
      <c r="AR15" s="79"/>
      <c r="AS15" s="79"/>
      <c r="AT15" s="79"/>
      <c r="AU15" s="78"/>
      <c r="AV15" s="79"/>
      <c r="AW15" s="79"/>
      <c r="AX15" s="78"/>
      <c r="AY15" s="79"/>
      <c r="AZ15" s="78"/>
      <c r="BA15" s="79"/>
      <c r="BB15" s="78"/>
      <c r="BC15" s="80"/>
    </row>
    <row r="16" spans="1:55" ht="15.75" customHeight="1">
      <c r="A16" s="70" t="s">
        <v>264</v>
      </c>
      <c r="B16" s="70" t="s">
        <v>72</v>
      </c>
      <c r="C16" s="75"/>
      <c r="D16" s="76"/>
      <c r="E16" s="76"/>
      <c r="F16" s="76"/>
      <c r="G16" s="75"/>
      <c r="H16" s="76"/>
      <c r="I16" s="76"/>
      <c r="J16" s="76"/>
      <c r="K16" s="75"/>
      <c r="L16" s="76"/>
      <c r="M16" s="76"/>
      <c r="N16" s="76"/>
      <c r="O16" s="75"/>
      <c r="P16" s="76"/>
      <c r="Q16" s="76"/>
      <c r="R16" s="76"/>
      <c r="S16" s="75"/>
      <c r="T16" s="76"/>
      <c r="U16" s="76"/>
      <c r="V16" s="76"/>
      <c r="W16" s="75"/>
      <c r="X16" s="76"/>
      <c r="Y16" s="76"/>
      <c r="Z16" s="76"/>
      <c r="AA16" s="75"/>
      <c r="AB16" s="76"/>
      <c r="AC16" s="76"/>
      <c r="AD16" s="76"/>
      <c r="AE16" s="75"/>
      <c r="AF16" s="76"/>
      <c r="AG16" s="76"/>
      <c r="AH16" s="76"/>
      <c r="AI16" s="75"/>
      <c r="AJ16" s="76"/>
      <c r="AK16" s="76"/>
      <c r="AL16" s="76"/>
      <c r="AM16" s="75"/>
      <c r="AN16" s="76"/>
      <c r="AO16" s="76"/>
      <c r="AP16" s="76"/>
      <c r="AQ16" s="75"/>
      <c r="AR16" s="76"/>
      <c r="AS16" s="76"/>
      <c r="AT16" s="76"/>
      <c r="AU16" s="75">
        <v>552000</v>
      </c>
      <c r="AV16" s="76"/>
      <c r="AW16" s="76"/>
      <c r="AX16" s="75"/>
      <c r="AY16" s="76"/>
      <c r="AZ16" s="75"/>
      <c r="BA16" s="76"/>
      <c r="BB16" s="75"/>
      <c r="BC16" s="77"/>
    </row>
    <row r="17" spans="1:55" ht="15.75" customHeight="1">
      <c r="A17" s="70" t="s">
        <v>38</v>
      </c>
      <c r="B17" s="70" t="s">
        <v>38</v>
      </c>
      <c r="C17" s="75"/>
      <c r="D17" s="76"/>
      <c r="E17" s="76"/>
      <c r="F17" s="76"/>
      <c r="G17" s="75"/>
      <c r="H17" s="76">
        <v>13970000</v>
      </c>
      <c r="I17" s="76">
        <v>860100000</v>
      </c>
      <c r="J17" s="76">
        <v>528000000</v>
      </c>
      <c r="K17" s="75"/>
      <c r="L17" s="76">
        <v>3400000</v>
      </c>
      <c r="M17" s="76">
        <v>618600000</v>
      </c>
      <c r="N17" s="76">
        <v>123600000</v>
      </c>
      <c r="O17" s="75"/>
      <c r="P17" s="76">
        <v>10500000</v>
      </c>
      <c r="Q17" s="76"/>
      <c r="R17" s="76"/>
      <c r="S17" s="75"/>
      <c r="T17" s="76"/>
      <c r="U17" s="76">
        <v>677000000</v>
      </c>
      <c r="V17" s="76"/>
      <c r="W17" s="75"/>
      <c r="X17" s="76"/>
      <c r="Y17" s="76"/>
      <c r="Z17" s="76"/>
      <c r="AA17" s="75"/>
      <c r="AB17" s="76"/>
      <c r="AC17" s="76"/>
      <c r="AD17" s="76"/>
      <c r="AE17" s="75"/>
      <c r="AF17" s="76"/>
      <c r="AG17" s="76"/>
      <c r="AH17" s="76"/>
      <c r="AI17" s="75"/>
      <c r="AJ17" s="76"/>
      <c r="AK17" s="76"/>
      <c r="AL17" s="76"/>
      <c r="AM17" s="75"/>
      <c r="AN17" s="76"/>
      <c r="AO17" s="76"/>
      <c r="AP17" s="76"/>
      <c r="AQ17" s="75"/>
      <c r="AR17" s="76"/>
      <c r="AS17" s="76"/>
      <c r="AT17" s="76"/>
      <c r="AU17" s="75">
        <v>4406243</v>
      </c>
      <c r="AV17" s="76"/>
      <c r="AW17" s="76"/>
      <c r="AX17" s="75">
        <v>3934444</v>
      </c>
      <c r="AY17" s="76">
        <v>376046051</v>
      </c>
      <c r="AZ17" s="75">
        <v>4700311</v>
      </c>
      <c r="BA17" s="76">
        <v>407309869</v>
      </c>
      <c r="BB17" s="75">
        <v>3369526</v>
      </c>
      <c r="BC17" s="77">
        <v>371369724</v>
      </c>
    </row>
    <row r="18" spans="1:55" ht="15.75" customHeight="1">
      <c r="A18" s="70" t="s">
        <v>41</v>
      </c>
      <c r="B18" s="70" t="s">
        <v>41</v>
      </c>
      <c r="C18" s="75"/>
      <c r="D18" s="76"/>
      <c r="E18" s="76"/>
      <c r="F18" s="76"/>
      <c r="G18" s="75"/>
      <c r="H18" s="76"/>
      <c r="I18" s="76"/>
      <c r="J18" s="76"/>
      <c r="K18" s="75">
        <v>5141183</v>
      </c>
      <c r="L18" s="76">
        <v>12600000</v>
      </c>
      <c r="M18" s="76">
        <v>3754478469</v>
      </c>
      <c r="N18" s="76">
        <v>1600542766</v>
      </c>
      <c r="O18" s="75"/>
      <c r="P18" s="76">
        <v>2900000</v>
      </c>
      <c r="Q18" s="76"/>
      <c r="R18" s="76">
        <v>287200000</v>
      </c>
      <c r="S18" s="75"/>
      <c r="T18" s="76">
        <v>2600000</v>
      </c>
      <c r="U18" s="76"/>
      <c r="V18" s="76"/>
      <c r="W18" s="75"/>
      <c r="X18" s="76"/>
      <c r="Y18" s="76">
        <v>832560000</v>
      </c>
      <c r="Z18" s="76"/>
      <c r="AA18" s="75"/>
      <c r="AB18" s="76"/>
      <c r="AC18" s="76"/>
      <c r="AD18" s="76"/>
      <c r="AE18" s="75"/>
      <c r="AF18" s="76"/>
      <c r="AG18" s="76"/>
      <c r="AH18" s="76"/>
      <c r="AI18" s="75"/>
      <c r="AJ18" s="76"/>
      <c r="AK18" s="76"/>
      <c r="AL18" s="76"/>
      <c r="AM18" s="75"/>
      <c r="AN18" s="76"/>
      <c r="AO18" s="76"/>
      <c r="AP18" s="76"/>
      <c r="AQ18" s="75"/>
      <c r="AR18" s="76"/>
      <c r="AS18" s="76"/>
      <c r="AT18" s="76"/>
      <c r="AU18" s="75">
        <v>2800000</v>
      </c>
      <c r="AV18" s="76"/>
      <c r="AW18" s="76"/>
      <c r="AX18" s="75">
        <v>3053039</v>
      </c>
      <c r="AY18" s="76">
        <v>461253975</v>
      </c>
      <c r="AZ18" s="75">
        <v>3426462</v>
      </c>
      <c r="BA18" s="76">
        <v>533305798</v>
      </c>
      <c r="BB18" s="75">
        <v>2801810</v>
      </c>
      <c r="BC18" s="77">
        <v>367670976</v>
      </c>
    </row>
    <row r="19" spans="1:55" ht="15.75" customHeight="1">
      <c r="A19" s="68"/>
      <c r="B19" s="73" t="s">
        <v>43</v>
      </c>
      <c r="C19" s="78"/>
      <c r="D19" s="79"/>
      <c r="E19" s="79"/>
      <c r="F19" s="79"/>
      <c r="G19" s="78"/>
      <c r="H19" s="79"/>
      <c r="I19" s="79"/>
      <c r="J19" s="79"/>
      <c r="K19" s="78"/>
      <c r="L19" s="79"/>
      <c r="M19" s="79">
        <v>331200000</v>
      </c>
      <c r="N19" s="79">
        <v>70000000</v>
      </c>
      <c r="O19" s="78"/>
      <c r="P19" s="79"/>
      <c r="Q19" s="79"/>
      <c r="R19" s="79"/>
      <c r="S19" s="78"/>
      <c r="T19" s="79"/>
      <c r="U19" s="79"/>
      <c r="V19" s="79"/>
      <c r="W19" s="78"/>
      <c r="X19" s="79"/>
      <c r="Y19" s="79"/>
      <c r="Z19" s="79"/>
      <c r="AA19" s="78"/>
      <c r="AB19" s="79"/>
      <c r="AC19" s="79"/>
      <c r="AD19" s="79"/>
      <c r="AE19" s="78"/>
      <c r="AF19" s="79"/>
      <c r="AG19" s="79"/>
      <c r="AH19" s="79"/>
      <c r="AI19" s="78"/>
      <c r="AJ19" s="79"/>
      <c r="AK19" s="79"/>
      <c r="AL19" s="79"/>
      <c r="AM19" s="78"/>
      <c r="AN19" s="79"/>
      <c r="AO19" s="79"/>
      <c r="AP19" s="79"/>
      <c r="AQ19" s="78"/>
      <c r="AR19" s="79"/>
      <c r="AS19" s="79"/>
      <c r="AT19" s="79"/>
      <c r="AU19" s="78"/>
      <c r="AV19" s="79"/>
      <c r="AW19" s="79"/>
      <c r="AX19" s="78"/>
      <c r="AY19" s="79"/>
      <c r="AZ19" s="78"/>
      <c r="BA19" s="79"/>
      <c r="BB19" s="78"/>
      <c r="BC19" s="80"/>
    </row>
    <row r="20" spans="1:55" ht="15.75" customHeight="1">
      <c r="A20" s="68"/>
      <c r="B20" s="73" t="s">
        <v>40</v>
      </c>
      <c r="C20" s="78"/>
      <c r="D20" s="79"/>
      <c r="E20" s="79"/>
      <c r="F20" s="79"/>
      <c r="G20" s="78"/>
      <c r="H20" s="79"/>
      <c r="I20" s="79"/>
      <c r="J20" s="79"/>
      <c r="K20" s="78"/>
      <c r="L20" s="79">
        <v>1300000</v>
      </c>
      <c r="M20" s="79">
        <v>345700000</v>
      </c>
      <c r="N20" s="79">
        <v>80500000</v>
      </c>
      <c r="O20" s="78"/>
      <c r="P20" s="79"/>
      <c r="Q20" s="79"/>
      <c r="R20" s="79"/>
      <c r="S20" s="78"/>
      <c r="T20" s="79"/>
      <c r="U20" s="79"/>
      <c r="V20" s="79"/>
      <c r="W20" s="78"/>
      <c r="X20" s="79"/>
      <c r="Y20" s="79"/>
      <c r="Z20" s="79"/>
      <c r="AA20" s="78"/>
      <c r="AB20" s="79"/>
      <c r="AC20" s="79"/>
      <c r="AD20" s="79"/>
      <c r="AE20" s="78"/>
      <c r="AF20" s="79"/>
      <c r="AG20" s="79"/>
      <c r="AH20" s="79"/>
      <c r="AI20" s="78"/>
      <c r="AJ20" s="79"/>
      <c r="AK20" s="79"/>
      <c r="AL20" s="79"/>
      <c r="AM20" s="78"/>
      <c r="AN20" s="79"/>
      <c r="AO20" s="79"/>
      <c r="AP20" s="79"/>
      <c r="AQ20" s="78"/>
      <c r="AR20" s="79"/>
      <c r="AS20" s="79"/>
      <c r="AT20" s="79"/>
      <c r="AU20" s="78"/>
      <c r="AV20" s="79"/>
      <c r="AW20" s="79"/>
      <c r="AX20" s="78"/>
      <c r="AY20" s="79"/>
      <c r="AZ20" s="78"/>
      <c r="BA20" s="79"/>
      <c r="BB20" s="78"/>
      <c r="BC20" s="80"/>
    </row>
    <row r="21" spans="1:55" ht="15.75" customHeight="1">
      <c r="A21" s="70" t="s">
        <v>44</v>
      </c>
      <c r="B21" s="70" t="s">
        <v>44</v>
      </c>
      <c r="C21" s="75"/>
      <c r="D21" s="76"/>
      <c r="E21" s="76"/>
      <c r="F21" s="76"/>
      <c r="G21" s="75"/>
      <c r="H21" s="76"/>
      <c r="I21" s="76"/>
      <c r="J21" s="76"/>
      <c r="K21" s="75">
        <v>9472310</v>
      </c>
      <c r="L21" s="76">
        <v>17770000</v>
      </c>
      <c r="M21" s="76">
        <v>5501648920</v>
      </c>
      <c r="N21" s="76">
        <v>2464124868</v>
      </c>
      <c r="O21" s="75"/>
      <c r="P21" s="76"/>
      <c r="Q21" s="76"/>
      <c r="R21" s="76"/>
      <c r="S21" s="75"/>
      <c r="T21" s="76">
        <v>10700000</v>
      </c>
      <c r="U21" s="76"/>
      <c r="V21" s="76">
        <v>231900000</v>
      </c>
      <c r="W21" s="75"/>
      <c r="X21" s="76"/>
      <c r="Y21" s="76">
        <v>500000000</v>
      </c>
      <c r="Z21" s="76"/>
      <c r="AA21" s="75"/>
      <c r="AB21" s="76"/>
      <c r="AC21" s="76"/>
      <c r="AD21" s="76"/>
      <c r="AE21" s="75"/>
      <c r="AF21" s="76"/>
      <c r="AG21" s="76"/>
      <c r="AH21" s="76"/>
      <c r="AI21" s="75"/>
      <c r="AJ21" s="76"/>
      <c r="AK21" s="76"/>
      <c r="AL21" s="76"/>
      <c r="AM21" s="75"/>
      <c r="AN21" s="76"/>
      <c r="AO21" s="76"/>
      <c r="AP21" s="76"/>
      <c r="AQ21" s="75"/>
      <c r="AR21" s="76"/>
      <c r="AS21" s="76"/>
      <c r="AT21" s="76"/>
      <c r="AU21" s="75">
        <v>5496653</v>
      </c>
      <c r="AV21" s="76"/>
      <c r="AW21" s="76"/>
      <c r="AX21" s="75">
        <v>6149509</v>
      </c>
      <c r="AY21" s="76">
        <v>510909899</v>
      </c>
      <c r="AZ21" s="75">
        <v>7672650</v>
      </c>
      <c r="BA21" s="76">
        <v>920624766</v>
      </c>
      <c r="BB21" s="75">
        <v>5800000</v>
      </c>
      <c r="BC21" s="77">
        <v>1181400000</v>
      </c>
    </row>
    <row r="22" spans="1:55" ht="15.75" customHeight="1">
      <c r="A22" s="70" t="s">
        <v>80</v>
      </c>
      <c r="B22" s="70" t="s">
        <v>80</v>
      </c>
      <c r="C22" s="75"/>
      <c r="D22" s="76"/>
      <c r="E22" s="76"/>
      <c r="F22" s="76"/>
      <c r="G22" s="75"/>
      <c r="H22" s="76"/>
      <c r="I22" s="76"/>
      <c r="J22" s="76"/>
      <c r="K22" s="75"/>
      <c r="L22" s="76"/>
      <c r="M22" s="76"/>
      <c r="N22" s="76"/>
      <c r="O22" s="75"/>
      <c r="P22" s="76"/>
      <c r="Q22" s="76"/>
      <c r="R22" s="76"/>
      <c r="S22" s="75"/>
      <c r="T22" s="76">
        <v>10400000</v>
      </c>
      <c r="U22" s="76"/>
      <c r="V22" s="76"/>
      <c r="W22" s="75"/>
      <c r="X22" s="76"/>
      <c r="Y22" s="76"/>
      <c r="Z22" s="76"/>
      <c r="AA22" s="75"/>
      <c r="AB22" s="76"/>
      <c r="AC22" s="76">
        <v>300000000</v>
      </c>
      <c r="AD22" s="76"/>
      <c r="AE22" s="75"/>
      <c r="AF22" s="76"/>
      <c r="AG22" s="76"/>
      <c r="AH22" s="76"/>
      <c r="AI22" s="75"/>
      <c r="AJ22" s="76"/>
      <c r="AK22" s="76"/>
      <c r="AL22" s="76"/>
      <c r="AM22" s="75"/>
      <c r="AN22" s="76"/>
      <c r="AO22" s="76"/>
      <c r="AP22" s="76"/>
      <c r="AQ22" s="75"/>
      <c r="AR22" s="76"/>
      <c r="AS22" s="76"/>
      <c r="AT22" s="76"/>
      <c r="AU22" s="75">
        <v>6731041</v>
      </c>
      <c r="AV22" s="76"/>
      <c r="AW22" s="76"/>
      <c r="AX22" s="75">
        <v>7693945</v>
      </c>
      <c r="AY22" s="76">
        <v>282854048</v>
      </c>
      <c r="AZ22" s="75">
        <v>7711265</v>
      </c>
      <c r="BA22" s="76">
        <v>283317893</v>
      </c>
      <c r="BB22" s="75">
        <v>8307129</v>
      </c>
      <c r="BC22" s="77">
        <v>331990687</v>
      </c>
    </row>
    <row r="23" spans="1:55" ht="15.75" customHeight="1">
      <c r="A23" s="70" t="s">
        <v>48</v>
      </c>
      <c r="B23" s="70" t="s">
        <v>48</v>
      </c>
      <c r="C23" s="75"/>
      <c r="D23" s="76"/>
      <c r="E23" s="76"/>
      <c r="F23" s="76"/>
      <c r="G23" s="75"/>
      <c r="H23" s="76"/>
      <c r="I23" s="76"/>
      <c r="J23" s="76"/>
      <c r="K23" s="75"/>
      <c r="L23" s="76"/>
      <c r="M23" s="76"/>
      <c r="N23" s="76"/>
      <c r="O23" s="75">
        <v>1143502</v>
      </c>
      <c r="P23" s="76"/>
      <c r="Q23" s="76">
        <v>160691683</v>
      </c>
      <c r="R23" s="76">
        <v>101406953</v>
      </c>
      <c r="S23" s="75"/>
      <c r="T23" s="76"/>
      <c r="U23" s="76"/>
      <c r="V23" s="76"/>
      <c r="W23" s="75"/>
      <c r="X23" s="76"/>
      <c r="Y23" s="76"/>
      <c r="Z23" s="76"/>
      <c r="AA23" s="75"/>
      <c r="AB23" s="76"/>
      <c r="AC23" s="76"/>
      <c r="AD23" s="76"/>
      <c r="AE23" s="75"/>
      <c r="AF23" s="76"/>
      <c r="AG23" s="76"/>
      <c r="AH23" s="76"/>
      <c r="AI23" s="75"/>
      <c r="AJ23" s="76"/>
      <c r="AK23" s="76"/>
      <c r="AL23" s="76"/>
      <c r="AM23" s="75"/>
      <c r="AN23" s="76"/>
      <c r="AO23" s="76"/>
      <c r="AP23" s="76"/>
      <c r="AQ23" s="75"/>
      <c r="AR23" s="76"/>
      <c r="AS23" s="76"/>
      <c r="AT23" s="76"/>
      <c r="AU23" s="75"/>
      <c r="AV23" s="76"/>
      <c r="AW23" s="76"/>
      <c r="AX23" s="75"/>
      <c r="AY23" s="76"/>
      <c r="AZ23" s="75"/>
      <c r="BA23" s="76"/>
      <c r="BB23" s="75"/>
      <c r="BC23" s="77"/>
    </row>
    <row r="24" spans="1:55" ht="15.75" customHeight="1">
      <c r="A24" s="70" t="s">
        <v>50</v>
      </c>
      <c r="B24" s="70" t="s">
        <v>50</v>
      </c>
      <c r="C24" s="75"/>
      <c r="D24" s="76"/>
      <c r="E24" s="76"/>
      <c r="F24" s="76"/>
      <c r="G24" s="75"/>
      <c r="H24" s="76"/>
      <c r="I24" s="76"/>
      <c r="J24" s="76"/>
      <c r="K24" s="75"/>
      <c r="L24" s="76"/>
      <c r="M24" s="76"/>
      <c r="N24" s="76"/>
      <c r="O24" s="75"/>
      <c r="P24" s="76">
        <v>9485235</v>
      </c>
      <c r="Q24" s="76">
        <v>55600000</v>
      </c>
      <c r="R24" s="76">
        <v>10300000</v>
      </c>
      <c r="S24" s="75"/>
      <c r="T24" s="76"/>
      <c r="U24" s="76"/>
      <c r="V24" s="76"/>
      <c r="W24" s="75"/>
      <c r="X24" s="76"/>
      <c r="Y24" s="76"/>
      <c r="Z24" s="76"/>
      <c r="AA24" s="75"/>
      <c r="AB24" s="76"/>
      <c r="AC24" s="76"/>
      <c r="AD24" s="76"/>
      <c r="AE24" s="75"/>
      <c r="AF24" s="76"/>
      <c r="AG24" s="76"/>
      <c r="AH24" s="76"/>
      <c r="AI24" s="75"/>
      <c r="AJ24" s="76"/>
      <c r="AK24" s="76"/>
      <c r="AL24" s="76"/>
      <c r="AM24" s="75"/>
      <c r="AN24" s="76"/>
      <c r="AO24" s="76"/>
      <c r="AP24" s="76"/>
      <c r="AQ24" s="75"/>
      <c r="AR24" s="76"/>
      <c r="AS24" s="76"/>
      <c r="AT24" s="76"/>
      <c r="AU24" s="75"/>
      <c r="AV24" s="76"/>
      <c r="AW24" s="76"/>
      <c r="AX24" s="75">
        <v>1090000</v>
      </c>
      <c r="AY24" s="76">
        <v>41817107</v>
      </c>
      <c r="AZ24" s="75"/>
      <c r="BA24" s="76"/>
      <c r="BB24" s="75"/>
      <c r="BC24" s="77"/>
    </row>
    <row r="25" spans="1:55" ht="15.75" customHeight="1">
      <c r="A25" s="68"/>
      <c r="B25" s="73" t="s">
        <v>52</v>
      </c>
      <c r="C25" s="78"/>
      <c r="D25" s="79"/>
      <c r="E25" s="79"/>
      <c r="F25" s="79"/>
      <c r="G25" s="78"/>
      <c r="H25" s="79"/>
      <c r="I25" s="79"/>
      <c r="J25" s="79"/>
      <c r="K25" s="78"/>
      <c r="L25" s="79"/>
      <c r="M25" s="79"/>
      <c r="N25" s="79"/>
      <c r="O25" s="78"/>
      <c r="P25" s="79"/>
      <c r="Q25" s="79">
        <v>30392419</v>
      </c>
      <c r="R25" s="79">
        <v>12250508</v>
      </c>
      <c r="S25" s="78"/>
      <c r="T25" s="79"/>
      <c r="U25" s="79"/>
      <c r="V25" s="79"/>
      <c r="W25" s="78"/>
      <c r="X25" s="79"/>
      <c r="Y25" s="79"/>
      <c r="Z25" s="79"/>
      <c r="AA25" s="78"/>
      <c r="AB25" s="79"/>
      <c r="AC25" s="79"/>
      <c r="AD25" s="79"/>
      <c r="AE25" s="78"/>
      <c r="AF25" s="79"/>
      <c r="AG25" s="79"/>
      <c r="AH25" s="79"/>
      <c r="AI25" s="78"/>
      <c r="AJ25" s="79"/>
      <c r="AK25" s="79"/>
      <c r="AL25" s="79"/>
      <c r="AM25" s="78"/>
      <c r="AN25" s="79"/>
      <c r="AO25" s="79"/>
      <c r="AP25" s="79"/>
      <c r="AQ25" s="78"/>
      <c r="AR25" s="79"/>
      <c r="AS25" s="79"/>
      <c r="AT25" s="79"/>
      <c r="AU25" s="78"/>
      <c r="AV25" s="79"/>
      <c r="AW25" s="79"/>
      <c r="AX25" s="78"/>
      <c r="AY25" s="79"/>
      <c r="AZ25" s="78"/>
      <c r="BA25" s="79"/>
      <c r="BB25" s="78"/>
      <c r="BC25" s="80"/>
    </row>
    <row r="26" spans="1:55" ht="15.75" customHeight="1">
      <c r="A26" s="70" t="s">
        <v>53</v>
      </c>
      <c r="B26" s="70" t="s">
        <v>53</v>
      </c>
      <c r="C26" s="75"/>
      <c r="D26" s="76"/>
      <c r="E26" s="76"/>
      <c r="F26" s="76"/>
      <c r="G26" s="75"/>
      <c r="H26" s="76"/>
      <c r="I26" s="76"/>
      <c r="J26" s="76"/>
      <c r="K26" s="75"/>
      <c r="L26" s="76"/>
      <c r="M26" s="76"/>
      <c r="N26" s="76"/>
      <c r="O26" s="75"/>
      <c r="P26" s="76">
        <v>28300000</v>
      </c>
      <c r="Q26" s="76">
        <v>456000000</v>
      </c>
      <c r="R26" s="76">
        <v>79800000</v>
      </c>
      <c r="S26" s="75"/>
      <c r="T26" s="76"/>
      <c r="U26" s="76"/>
      <c r="V26" s="76">
        <v>32000000</v>
      </c>
      <c r="W26" s="75"/>
      <c r="X26" s="76">
        <v>21300000</v>
      </c>
      <c r="Y26" s="76"/>
      <c r="Z26" s="76"/>
      <c r="AA26" s="75"/>
      <c r="AB26" s="76"/>
      <c r="AC26" s="76">
        <v>107000000</v>
      </c>
      <c r="AD26" s="76"/>
      <c r="AE26" s="75"/>
      <c r="AF26" s="76"/>
      <c r="AG26" s="76"/>
      <c r="AH26" s="76"/>
      <c r="AI26" s="75"/>
      <c r="AJ26" s="76"/>
      <c r="AK26" s="76"/>
      <c r="AL26" s="76"/>
      <c r="AM26" s="75"/>
      <c r="AN26" s="76"/>
      <c r="AO26" s="76"/>
      <c r="AP26" s="76"/>
      <c r="AQ26" s="75"/>
      <c r="AR26" s="76"/>
      <c r="AS26" s="76"/>
      <c r="AT26" s="76"/>
      <c r="AU26" s="75"/>
      <c r="AV26" s="76"/>
      <c r="AW26" s="76"/>
      <c r="AX26" s="75"/>
      <c r="AY26" s="76"/>
      <c r="AZ26" s="75"/>
      <c r="BA26" s="76"/>
      <c r="BB26" s="75"/>
      <c r="BC26" s="77"/>
    </row>
    <row r="27" spans="1:55" ht="15.75" customHeight="1">
      <c r="A27" s="68"/>
      <c r="B27" s="73" t="s">
        <v>56</v>
      </c>
      <c r="C27" s="78"/>
      <c r="D27" s="79"/>
      <c r="E27" s="79"/>
      <c r="F27" s="79"/>
      <c r="G27" s="78"/>
      <c r="H27" s="79"/>
      <c r="I27" s="79"/>
      <c r="J27" s="79"/>
      <c r="K27" s="78"/>
      <c r="L27" s="79"/>
      <c r="M27" s="79"/>
      <c r="N27" s="79"/>
      <c r="O27" s="78"/>
      <c r="P27" s="79"/>
      <c r="Q27" s="79">
        <v>218740000</v>
      </c>
      <c r="R27" s="79">
        <v>73139091</v>
      </c>
      <c r="S27" s="78"/>
      <c r="T27" s="79"/>
      <c r="U27" s="79"/>
      <c r="V27" s="79"/>
      <c r="W27" s="78"/>
      <c r="X27" s="79"/>
      <c r="Y27" s="79"/>
      <c r="Z27" s="79"/>
      <c r="AA27" s="78"/>
      <c r="AB27" s="79"/>
      <c r="AC27" s="79"/>
      <c r="AD27" s="79"/>
      <c r="AE27" s="78"/>
      <c r="AF27" s="79"/>
      <c r="AG27" s="79"/>
      <c r="AH27" s="79"/>
      <c r="AI27" s="78"/>
      <c r="AJ27" s="79"/>
      <c r="AK27" s="79"/>
      <c r="AL27" s="79"/>
      <c r="AM27" s="78"/>
      <c r="AN27" s="79"/>
      <c r="AO27" s="79"/>
      <c r="AP27" s="79"/>
      <c r="AQ27" s="78"/>
      <c r="AR27" s="79"/>
      <c r="AS27" s="79"/>
      <c r="AT27" s="79"/>
      <c r="AU27" s="78"/>
      <c r="AV27" s="79"/>
      <c r="AW27" s="79"/>
      <c r="AX27" s="78"/>
      <c r="AY27" s="79"/>
      <c r="AZ27" s="78"/>
      <c r="BA27" s="79"/>
      <c r="BB27" s="78"/>
      <c r="BC27" s="80"/>
    </row>
    <row r="28" spans="1:55" ht="15.75" customHeight="1">
      <c r="A28" s="68"/>
      <c r="B28" s="73" t="s">
        <v>55</v>
      </c>
      <c r="C28" s="78"/>
      <c r="D28" s="79"/>
      <c r="E28" s="79"/>
      <c r="F28" s="79"/>
      <c r="G28" s="78"/>
      <c r="H28" s="79"/>
      <c r="I28" s="79"/>
      <c r="J28" s="79"/>
      <c r="K28" s="78"/>
      <c r="L28" s="79"/>
      <c r="M28" s="79"/>
      <c r="N28" s="79"/>
      <c r="O28" s="78"/>
      <c r="P28" s="79"/>
      <c r="Q28" s="79">
        <v>198066562</v>
      </c>
      <c r="R28" s="79">
        <v>103886477</v>
      </c>
      <c r="S28" s="78"/>
      <c r="T28" s="79"/>
      <c r="U28" s="79"/>
      <c r="V28" s="79"/>
      <c r="W28" s="78"/>
      <c r="X28" s="79"/>
      <c r="Y28" s="79"/>
      <c r="Z28" s="79"/>
      <c r="AA28" s="78"/>
      <c r="AB28" s="79"/>
      <c r="AC28" s="79"/>
      <c r="AD28" s="79"/>
      <c r="AE28" s="78"/>
      <c r="AF28" s="79"/>
      <c r="AG28" s="79"/>
      <c r="AH28" s="79"/>
      <c r="AI28" s="78"/>
      <c r="AJ28" s="79"/>
      <c r="AK28" s="79"/>
      <c r="AL28" s="79"/>
      <c r="AM28" s="78"/>
      <c r="AN28" s="79"/>
      <c r="AO28" s="79"/>
      <c r="AP28" s="79"/>
      <c r="AQ28" s="78"/>
      <c r="AR28" s="79"/>
      <c r="AS28" s="79"/>
      <c r="AT28" s="79"/>
      <c r="AU28" s="78"/>
      <c r="AV28" s="79"/>
      <c r="AW28" s="79"/>
      <c r="AX28" s="78"/>
      <c r="AY28" s="79"/>
      <c r="AZ28" s="78"/>
      <c r="BA28" s="79"/>
      <c r="BB28" s="78"/>
      <c r="BC28" s="80"/>
    </row>
    <row r="29" spans="1:55" ht="15.75" customHeight="1">
      <c r="A29" s="70" t="s">
        <v>157</v>
      </c>
      <c r="B29" s="70" t="s">
        <v>157</v>
      </c>
      <c r="C29" s="75"/>
      <c r="D29" s="76"/>
      <c r="E29" s="76"/>
      <c r="F29" s="76"/>
      <c r="G29" s="75"/>
      <c r="H29" s="76"/>
      <c r="I29" s="76"/>
      <c r="J29" s="76"/>
      <c r="K29" s="75"/>
      <c r="L29" s="76"/>
      <c r="M29" s="76"/>
      <c r="N29" s="76"/>
      <c r="O29" s="75"/>
      <c r="P29" s="76"/>
      <c r="Q29" s="76"/>
      <c r="R29" s="76"/>
      <c r="S29" s="75"/>
      <c r="T29" s="76"/>
      <c r="U29" s="76"/>
      <c r="V29" s="76"/>
      <c r="W29" s="75"/>
      <c r="X29" s="76"/>
      <c r="Y29" s="76"/>
      <c r="Z29" s="76"/>
      <c r="AA29" s="75"/>
      <c r="AB29" s="76"/>
      <c r="AC29" s="76"/>
      <c r="AD29" s="76"/>
      <c r="AE29" s="75"/>
      <c r="AF29" s="76"/>
      <c r="AG29" s="76">
        <v>544601391</v>
      </c>
      <c r="AH29" s="76"/>
      <c r="AI29" s="75"/>
      <c r="AJ29" s="76"/>
      <c r="AK29" s="76"/>
      <c r="AL29" s="76"/>
      <c r="AM29" s="75"/>
      <c r="AN29" s="76"/>
      <c r="AO29" s="76"/>
      <c r="AP29" s="76"/>
      <c r="AQ29" s="75"/>
      <c r="AR29" s="76"/>
      <c r="AS29" s="76"/>
      <c r="AT29" s="76"/>
      <c r="AU29" s="75">
        <v>19616782</v>
      </c>
      <c r="AV29" s="76"/>
      <c r="AW29" s="76"/>
      <c r="AX29" s="75"/>
      <c r="AY29" s="76"/>
      <c r="AZ29" s="75"/>
      <c r="BA29" s="76"/>
      <c r="BB29" s="75"/>
      <c r="BC29" s="77"/>
    </row>
    <row r="30" spans="1:55" ht="15.75" customHeight="1">
      <c r="A30" s="68"/>
      <c r="B30" s="73" t="s">
        <v>158</v>
      </c>
      <c r="C30" s="78"/>
      <c r="D30" s="79"/>
      <c r="E30" s="79"/>
      <c r="F30" s="79"/>
      <c r="G30" s="78"/>
      <c r="H30" s="79"/>
      <c r="I30" s="79"/>
      <c r="J30" s="79"/>
      <c r="K30" s="78"/>
      <c r="L30" s="79"/>
      <c r="M30" s="79"/>
      <c r="N30" s="79"/>
      <c r="O30" s="78"/>
      <c r="P30" s="79"/>
      <c r="Q30" s="79"/>
      <c r="R30" s="79"/>
      <c r="S30" s="78"/>
      <c r="T30" s="79"/>
      <c r="U30" s="79"/>
      <c r="V30" s="79"/>
      <c r="W30" s="78"/>
      <c r="X30" s="79"/>
      <c r="Y30" s="79"/>
      <c r="Z30" s="79"/>
      <c r="AA30" s="78"/>
      <c r="AB30" s="79"/>
      <c r="AC30" s="79"/>
      <c r="AD30" s="79"/>
      <c r="AE30" s="78"/>
      <c r="AF30" s="79"/>
      <c r="AG30" s="79"/>
      <c r="AH30" s="79"/>
      <c r="AI30" s="78"/>
      <c r="AJ30" s="79"/>
      <c r="AK30" s="79"/>
      <c r="AL30" s="79"/>
      <c r="AM30" s="78"/>
      <c r="AN30" s="79"/>
      <c r="AO30" s="79"/>
      <c r="AP30" s="79"/>
      <c r="AQ30" s="78"/>
      <c r="AR30" s="79"/>
      <c r="AS30" s="79"/>
      <c r="AT30" s="79"/>
      <c r="AU30" s="78">
        <v>1951385</v>
      </c>
      <c r="AV30" s="79"/>
      <c r="AW30" s="79"/>
      <c r="AX30" s="78"/>
      <c r="AY30" s="79"/>
      <c r="AZ30" s="78"/>
      <c r="BA30" s="79"/>
      <c r="BB30" s="78"/>
      <c r="BC30" s="80"/>
    </row>
    <row r="31" spans="1:55" ht="15.75" customHeight="1">
      <c r="A31" s="70" t="s">
        <v>57</v>
      </c>
      <c r="B31" s="70" t="s">
        <v>57</v>
      </c>
      <c r="C31" s="75"/>
      <c r="D31" s="76"/>
      <c r="E31" s="76"/>
      <c r="F31" s="76"/>
      <c r="G31" s="75"/>
      <c r="H31" s="76"/>
      <c r="I31" s="76"/>
      <c r="J31" s="76"/>
      <c r="K31" s="75"/>
      <c r="L31" s="76"/>
      <c r="M31" s="76"/>
      <c r="N31" s="76"/>
      <c r="O31" s="75">
        <v>27510000</v>
      </c>
      <c r="P31" s="76">
        <v>42500000</v>
      </c>
      <c r="Q31" s="76">
        <v>8868291624</v>
      </c>
      <c r="R31" s="76">
        <v>3997440425</v>
      </c>
      <c r="S31" s="75"/>
      <c r="T31" s="76"/>
      <c r="U31" s="76">
        <v>735754098</v>
      </c>
      <c r="V31" s="76">
        <v>488391703</v>
      </c>
      <c r="W31" s="75"/>
      <c r="X31" s="76">
        <v>38400000</v>
      </c>
      <c r="Y31" s="76"/>
      <c r="Z31" s="76">
        <v>680900000</v>
      </c>
      <c r="AA31" s="75"/>
      <c r="AB31" s="76"/>
      <c r="AC31" s="76"/>
      <c r="AD31" s="76"/>
      <c r="AE31" s="75"/>
      <c r="AF31" s="76"/>
      <c r="AG31" s="76">
        <v>1820000000</v>
      </c>
      <c r="AH31" s="76"/>
      <c r="AI31" s="75"/>
      <c r="AJ31" s="76"/>
      <c r="AK31" s="76"/>
      <c r="AL31" s="76"/>
      <c r="AM31" s="75"/>
      <c r="AN31" s="76"/>
      <c r="AO31" s="76"/>
      <c r="AP31" s="76"/>
      <c r="AQ31" s="75"/>
      <c r="AR31" s="76"/>
      <c r="AS31" s="76"/>
      <c r="AT31" s="76"/>
      <c r="AU31" s="75"/>
      <c r="AV31" s="76"/>
      <c r="AW31" s="76"/>
      <c r="AX31" s="75">
        <v>28243244</v>
      </c>
      <c r="AY31" s="76">
        <v>2478405994</v>
      </c>
      <c r="AZ31" s="75">
        <v>27797509</v>
      </c>
      <c r="BA31" s="76">
        <v>2802088848</v>
      </c>
      <c r="BB31" s="75">
        <v>27256000</v>
      </c>
      <c r="BC31" s="77">
        <v>3210427746</v>
      </c>
    </row>
    <row r="32" spans="1:55" ht="15.75" customHeight="1">
      <c r="A32" s="68"/>
      <c r="B32" s="73" t="s">
        <v>71</v>
      </c>
      <c r="C32" s="78"/>
      <c r="D32" s="79"/>
      <c r="E32" s="79"/>
      <c r="F32" s="79"/>
      <c r="G32" s="78"/>
      <c r="H32" s="79"/>
      <c r="I32" s="79"/>
      <c r="J32" s="79"/>
      <c r="K32" s="78"/>
      <c r="L32" s="79"/>
      <c r="M32" s="79"/>
      <c r="N32" s="79"/>
      <c r="O32" s="78"/>
      <c r="P32" s="79"/>
      <c r="Q32" s="79"/>
      <c r="R32" s="79"/>
      <c r="S32" s="78"/>
      <c r="T32" s="79">
        <v>941000</v>
      </c>
      <c r="U32" s="79">
        <v>1223800000</v>
      </c>
      <c r="V32" s="79">
        <v>164100000</v>
      </c>
      <c r="W32" s="78"/>
      <c r="X32" s="79">
        <v>727000</v>
      </c>
      <c r="Y32" s="79"/>
      <c r="Z32" s="79">
        <v>146900000</v>
      </c>
      <c r="AA32" s="78"/>
      <c r="AB32" s="79"/>
      <c r="AC32" s="79"/>
      <c r="AD32" s="79"/>
      <c r="AE32" s="78"/>
      <c r="AF32" s="79"/>
      <c r="AG32" s="79">
        <v>604600000</v>
      </c>
      <c r="AH32" s="79"/>
      <c r="AI32" s="78"/>
      <c r="AJ32" s="79"/>
      <c r="AK32" s="79"/>
      <c r="AL32" s="79"/>
      <c r="AM32" s="78"/>
      <c r="AN32" s="79"/>
      <c r="AO32" s="79"/>
      <c r="AP32" s="79"/>
      <c r="AQ32" s="78"/>
      <c r="AR32" s="79"/>
      <c r="AS32" s="79"/>
      <c r="AT32" s="79"/>
      <c r="AU32" s="78"/>
      <c r="AV32" s="79"/>
      <c r="AW32" s="79"/>
      <c r="AX32" s="78"/>
      <c r="AY32" s="79"/>
      <c r="AZ32" s="78"/>
      <c r="BA32" s="79"/>
      <c r="BB32" s="78"/>
      <c r="BC32" s="80"/>
    </row>
    <row r="33" spans="1:55" ht="15.75" customHeight="1">
      <c r="A33" s="68"/>
      <c r="B33" s="73" t="s">
        <v>122</v>
      </c>
      <c r="C33" s="78"/>
      <c r="D33" s="79"/>
      <c r="E33" s="79"/>
      <c r="F33" s="79"/>
      <c r="G33" s="78"/>
      <c r="H33" s="79"/>
      <c r="I33" s="79"/>
      <c r="J33" s="79"/>
      <c r="K33" s="78"/>
      <c r="L33" s="79"/>
      <c r="M33" s="79"/>
      <c r="N33" s="79"/>
      <c r="O33" s="78"/>
      <c r="P33" s="79"/>
      <c r="Q33" s="79"/>
      <c r="R33" s="79"/>
      <c r="S33" s="78"/>
      <c r="T33" s="79"/>
      <c r="U33" s="79"/>
      <c r="V33" s="79"/>
      <c r="W33" s="78"/>
      <c r="X33" s="79">
        <v>741000</v>
      </c>
      <c r="Y33" s="79"/>
      <c r="Z33" s="79"/>
      <c r="AA33" s="78"/>
      <c r="AB33" s="79"/>
      <c r="AC33" s="79"/>
      <c r="AD33" s="79"/>
      <c r="AE33" s="78"/>
      <c r="AF33" s="79"/>
      <c r="AG33" s="79"/>
      <c r="AH33" s="79"/>
      <c r="AI33" s="78"/>
      <c r="AJ33" s="79"/>
      <c r="AK33" s="79"/>
      <c r="AL33" s="79"/>
      <c r="AM33" s="78"/>
      <c r="AN33" s="79"/>
      <c r="AO33" s="79"/>
      <c r="AP33" s="79"/>
      <c r="AQ33" s="78"/>
      <c r="AR33" s="79"/>
      <c r="AS33" s="79"/>
      <c r="AT33" s="79"/>
      <c r="AU33" s="78"/>
      <c r="AV33" s="79"/>
      <c r="AW33" s="79"/>
      <c r="AX33" s="78"/>
      <c r="AY33" s="79"/>
      <c r="AZ33" s="78"/>
      <c r="BA33" s="79"/>
      <c r="BB33" s="78"/>
      <c r="BC33" s="80"/>
    </row>
    <row r="34" spans="1:55" ht="15.75" customHeight="1">
      <c r="A34" s="70" t="s">
        <v>74</v>
      </c>
      <c r="B34" s="70" t="s">
        <v>74</v>
      </c>
      <c r="C34" s="75"/>
      <c r="D34" s="76"/>
      <c r="E34" s="76"/>
      <c r="F34" s="76"/>
      <c r="G34" s="75"/>
      <c r="H34" s="76"/>
      <c r="I34" s="76"/>
      <c r="J34" s="76"/>
      <c r="K34" s="75"/>
      <c r="L34" s="76"/>
      <c r="M34" s="76"/>
      <c r="N34" s="76"/>
      <c r="O34" s="75"/>
      <c r="P34" s="76"/>
      <c r="Q34" s="76"/>
      <c r="R34" s="76"/>
      <c r="S34" s="75"/>
      <c r="T34" s="76"/>
      <c r="U34" s="76"/>
      <c r="V34" s="76"/>
      <c r="W34" s="75"/>
      <c r="X34" s="76"/>
      <c r="Y34" s="76"/>
      <c r="Z34" s="76"/>
      <c r="AA34" s="75"/>
      <c r="AB34" s="76"/>
      <c r="AC34" s="76"/>
      <c r="AD34" s="76"/>
      <c r="AE34" s="75"/>
      <c r="AF34" s="76"/>
      <c r="AG34" s="76"/>
      <c r="AH34" s="76"/>
      <c r="AI34" s="75"/>
      <c r="AJ34" s="76"/>
      <c r="AK34" s="76"/>
      <c r="AL34" s="76"/>
      <c r="AM34" s="75"/>
      <c r="AN34" s="76"/>
      <c r="AO34" s="76"/>
      <c r="AP34" s="76"/>
      <c r="AQ34" s="75">
        <v>300000</v>
      </c>
      <c r="AR34" s="76">
        <v>1171417</v>
      </c>
      <c r="AS34" s="76">
        <v>343882984</v>
      </c>
      <c r="AT34" s="76">
        <v>100453575</v>
      </c>
      <c r="AU34" s="75"/>
      <c r="AV34" s="76"/>
      <c r="AW34" s="76"/>
      <c r="AX34" s="75"/>
      <c r="AY34" s="76"/>
      <c r="AZ34" s="75"/>
      <c r="BA34" s="76"/>
      <c r="BB34" s="75"/>
      <c r="BC34" s="77"/>
    </row>
    <row r="35" spans="1:55" ht="15.75" customHeight="1">
      <c r="A35" s="68"/>
      <c r="B35" s="73" t="s">
        <v>125</v>
      </c>
      <c r="C35" s="78"/>
      <c r="D35" s="79"/>
      <c r="E35" s="79"/>
      <c r="F35" s="79"/>
      <c r="G35" s="78"/>
      <c r="H35" s="79"/>
      <c r="I35" s="79"/>
      <c r="J35" s="79"/>
      <c r="K35" s="78"/>
      <c r="L35" s="79"/>
      <c r="M35" s="79"/>
      <c r="N35" s="79"/>
      <c r="O35" s="78"/>
      <c r="P35" s="79"/>
      <c r="Q35" s="79"/>
      <c r="R35" s="79"/>
      <c r="S35" s="78"/>
      <c r="T35" s="79"/>
      <c r="U35" s="79"/>
      <c r="V35" s="79"/>
      <c r="W35" s="78"/>
      <c r="X35" s="79">
        <v>1150000</v>
      </c>
      <c r="Y35" s="79"/>
      <c r="Z35" s="79"/>
      <c r="AA35" s="78"/>
      <c r="AB35" s="79"/>
      <c r="AC35" s="79"/>
      <c r="AD35" s="79"/>
      <c r="AE35" s="78"/>
      <c r="AF35" s="79"/>
      <c r="AG35" s="79"/>
      <c r="AH35" s="79"/>
      <c r="AI35" s="78"/>
      <c r="AJ35" s="79"/>
      <c r="AK35" s="79"/>
      <c r="AL35" s="79"/>
      <c r="AM35" s="78"/>
      <c r="AN35" s="79"/>
      <c r="AO35" s="79"/>
      <c r="AP35" s="79"/>
      <c r="AQ35" s="78"/>
      <c r="AR35" s="79"/>
      <c r="AS35" s="79"/>
      <c r="AT35" s="79"/>
      <c r="AU35" s="78"/>
      <c r="AV35" s="79"/>
      <c r="AW35" s="79"/>
      <c r="AX35" s="78"/>
      <c r="AY35" s="79"/>
      <c r="AZ35" s="78"/>
      <c r="BA35" s="79"/>
      <c r="BB35" s="78"/>
      <c r="BC35" s="80"/>
    </row>
    <row r="36" spans="1:55" ht="15.75" customHeight="1">
      <c r="A36" s="68"/>
      <c r="B36" s="73" t="s">
        <v>76</v>
      </c>
      <c r="C36" s="78"/>
      <c r="D36" s="79"/>
      <c r="E36" s="79"/>
      <c r="F36" s="79"/>
      <c r="G36" s="78"/>
      <c r="H36" s="79"/>
      <c r="I36" s="79"/>
      <c r="J36" s="79"/>
      <c r="K36" s="78"/>
      <c r="L36" s="79"/>
      <c r="M36" s="79"/>
      <c r="N36" s="79"/>
      <c r="O36" s="78"/>
      <c r="P36" s="79"/>
      <c r="Q36" s="79"/>
      <c r="R36" s="79"/>
      <c r="S36" s="78"/>
      <c r="T36" s="79"/>
      <c r="U36" s="79"/>
      <c r="V36" s="79"/>
      <c r="W36" s="78"/>
      <c r="X36" s="79"/>
      <c r="Y36" s="79"/>
      <c r="Z36" s="79"/>
      <c r="AA36" s="78"/>
      <c r="AB36" s="79"/>
      <c r="AC36" s="79"/>
      <c r="AD36" s="79"/>
      <c r="AE36" s="78"/>
      <c r="AF36" s="79"/>
      <c r="AG36" s="79"/>
      <c r="AH36" s="79"/>
      <c r="AI36" s="78"/>
      <c r="AJ36" s="79"/>
      <c r="AK36" s="79"/>
      <c r="AL36" s="79"/>
      <c r="AM36" s="78"/>
      <c r="AN36" s="79"/>
      <c r="AO36" s="79"/>
      <c r="AP36" s="79"/>
      <c r="AQ36" s="78">
        <v>206000</v>
      </c>
      <c r="AR36" s="79"/>
      <c r="AS36" s="79">
        <v>79310556</v>
      </c>
      <c r="AT36" s="79">
        <v>40222828</v>
      </c>
      <c r="AU36" s="78"/>
      <c r="AV36" s="79"/>
      <c r="AW36" s="79"/>
      <c r="AX36" s="78"/>
      <c r="AY36" s="79"/>
      <c r="AZ36" s="78"/>
      <c r="BA36" s="79"/>
      <c r="BB36" s="78"/>
      <c r="BC36" s="80"/>
    </row>
    <row r="37" spans="1:55" ht="15.75" customHeight="1">
      <c r="A37" s="68"/>
      <c r="B37" s="73" t="s">
        <v>77</v>
      </c>
      <c r="C37" s="78"/>
      <c r="D37" s="79"/>
      <c r="E37" s="79"/>
      <c r="F37" s="79"/>
      <c r="G37" s="78"/>
      <c r="H37" s="79"/>
      <c r="I37" s="79"/>
      <c r="J37" s="79"/>
      <c r="K37" s="78"/>
      <c r="L37" s="79"/>
      <c r="M37" s="79"/>
      <c r="N37" s="79"/>
      <c r="O37" s="78"/>
      <c r="P37" s="79"/>
      <c r="Q37" s="79"/>
      <c r="R37" s="79"/>
      <c r="S37" s="78"/>
      <c r="T37" s="79"/>
      <c r="U37" s="79"/>
      <c r="V37" s="79"/>
      <c r="W37" s="78"/>
      <c r="X37" s="79"/>
      <c r="Y37" s="79"/>
      <c r="Z37" s="79"/>
      <c r="AA37" s="78"/>
      <c r="AB37" s="79"/>
      <c r="AC37" s="79"/>
      <c r="AD37" s="79"/>
      <c r="AE37" s="78"/>
      <c r="AF37" s="79"/>
      <c r="AG37" s="79"/>
      <c r="AH37" s="79"/>
      <c r="AI37" s="78"/>
      <c r="AJ37" s="79"/>
      <c r="AK37" s="79"/>
      <c r="AL37" s="79"/>
      <c r="AM37" s="78"/>
      <c r="AN37" s="79"/>
      <c r="AO37" s="79"/>
      <c r="AP37" s="79"/>
      <c r="AQ37" s="78">
        <v>120000</v>
      </c>
      <c r="AR37" s="79"/>
      <c r="AS37" s="79">
        <v>33264338</v>
      </c>
      <c r="AT37" s="79">
        <v>19370114</v>
      </c>
      <c r="AU37" s="78"/>
      <c r="AV37" s="79"/>
      <c r="AW37" s="79"/>
      <c r="AX37" s="78"/>
      <c r="AY37" s="79"/>
      <c r="AZ37" s="78"/>
      <c r="BA37" s="79"/>
      <c r="BB37" s="78"/>
      <c r="BC37" s="80"/>
    </row>
    <row r="38" spans="1:55" ht="15.75" customHeight="1">
      <c r="A38" s="68"/>
      <c r="B38" s="73" t="s">
        <v>131</v>
      </c>
      <c r="C38" s="78"/>
      <c r="D38" s="79"/>
      <c r="E38" s="79"/>
      <c r="F38" s="79"/>
      <c r="G38" s="78"/>
      <c r="H38" s="79"/>
      <c r="I38" s="79"/>
      <c r="J38" s="79"/>
      <c r="K38" s="78"/>
      <c r="L38" s="79"/>
      <c r="M38" s="79"/>
      <c r="N38" s="79"/>
      <c r="O38" s="78"/>
      <c r="P38" s="79"/>
      <c r="Q38" s="79"/>
      <c r="R38" s="79"/>
      <c r="S38" s="78"/>
      <c r="T38" s="79"/>
      <c r="U38" s="79"/>
      <c r="V38" s="79"/>
      <c r="W38" s="78"/>
      <c r="X38" s="79"/>
      <c r="Y38" s="79"/>
      <c r="Z38" s="79"/>
      <c r="AA38" s="78"/>
      <c r="AB38" s="79">
        <v>150000</v>
      </c>
      <c r="AC38" s="79"/>
      <c r="AD38" s="79"/>
      <c r="AE38" s="78"/>
      <c r="AF38" s="79"/>
      <c r="AG38" s="79"/>
      <c r="AH38" s="79"/>
      <c r="AI38" s="78"/>
      <c r="AJ38" s="79"/>
      <c r="AK38" s="79"/>
      <c r="AL38" s="79"/>
      <c r="AM38" s="78"/>
      <c r="AN38" s="79"/>
      <c r="AO38" s="79"/>
      <c r="AP38" s="79"/>
      <c r="AQ38" s="78"/>
      <c r="AR38" s="79"/>
      <c r="AS38" s="79"/>
      <c r="AT38" s="79"/>
      <c r="AU38" s="78"/>
      <c r="AV38" s="79"/>
      <c r="AW38" s="79"/>
      <c r="AX38" s="78"/>
      <c r="AY38" s="79"/>
      <c r="AZ38" s="78"/>
      <c r="BA38" s="79"/>
      <c r="BB38" s="78"/>
      <c r="BC38" s="80"/>
    </row>
    <row r="39" spans="1:55" ht="15.75" customHeight="1">
      <c r="A39" s="70" t="s">
        <v>60</v>
      </c>
      <c r="B39" s="70" t="s">
        <v>59</v>
      </c>
      <c r="C39" s="75"/>
      <c r="D39" s="76"/>
      <c r="E39" s="76"/>
      <c r="F39" s="76"/>
      <c r="G39" s="75"/>
      <c r="H39" s="76"/>
      <c r="I39" s="76"/>
      <c r="J39" s="76"/>
      <c r="K39" s="75"/>
      <c r="L39" s="76"/>
      <c r="M39" s="76"/>
      <c r="N39" s="76"/>
      <c r="O39" s="75"/>
      <c r="P39" s="76"/>
      <c r="Q39" s="76">
        <v>31100000</v>
      </c>
      <c r="R39" s="76">
        <v>15100000</v>
      </c>
      <c r="S39" s="75"/>
      <c r="T39" s="76"/>
      <c r="U39" s="76"/>
      <c r="V39" s="76"/>
      <c r="W39" s="75"/>
      <c r="X39" s="76"/>
      <c r="Y39" s="76"/>
      <c r="Z39" s="76"/>
      <c r="AA39" s="75"/>
      <c r="AB39" s="76"/>
      <c r="AC39" s="76"/>
      <c r="AD39" s="76"/>
      <c r="AE39" s="75"/>
      <c r="AF39" s="76"/>
      <c r="AG39" s="76"/>
      <c r="AH39" s="76"/>
      <c r="AI39" s="75"/>
      <c r="AJ39" s="76"/>
      <c r="AK39" s="76"/>
      <c r="AL39" s="76"/>
      <c r="AM39" s="75"/>
      <c r="AN39" s="76"/>
      <c r="AO39" s="76"/>
      <c r="AP39" s="76"/>
      <c r="AQ39" s="75"/>
      <c r="AR39" s="76"/>
      <c r="AS39" s="76"/>
      <c r="AT39" s="76"/>
      <c r="AU39" s="75"/>
      <c r="AV39" s="76"/>
      <c r="AW39" s="76"/>
      <c r="AX39" s="75"/>
      <c r="AY39" s="76"/>
      <c r="AZ39" s="75"/>
      <c r="BA39" s="76"/>
      <c r="BB39" s="75"/>
      <c r="BC39" s="77"/>
    </row>
    <row r="40" spans="1:55" ht="15.75" customHeight="1">
      <c r="A40" s="70" t="s">
        <v>134</v>
      </c>
      <c r="B40" s="70" t="s">
        <v>133</v>
      </c>
      <c r="C40" s="75"/>
      <c r="D40" s="76"/>
      <c r="E40" s="76"/>
      <c r="F40" s="76"/>
      <c r="G40" s="75"/>
      <c r="H40" s="76"/>
      <c r="I40" s="76"/>
      <c r="J40" s="76"/>
      <c r="K40" s="75"/>
      <c r="L40" s="76"/>
      <c r="M40" s="76"/>
      <c r="N40" s="76"/>
      <c r="O40" s="75"/>
      <c r="P40" s="76"/>
      <c r="Q40" s="76"/>
      <c r="R40" s="76"/>
      <c r="S40" s="75"/>
      <c r="T40" s="76"/>
      <c r="U40" s="76"/>
      <c r="V40" s="76"/>
      <c r="W40" s="75"/>
      <c r="X40" s="76"/>
      <c r="Y40" s="76"/>
      <c r="Z40" s="76"/>
      <c r="AA40" s="75"/>
      <c r="AB40" s="76">
        <v>9000000</v>
      </c>
      <c r="AC40" s="76"/>
      <c r="AD40" s="76"/>
      <c r="AE40" s="75"/>
      <c r="AF40" s="76"/>
      <c r="AG40" s="76"/>
      <c r="AH40" s="76"/>
      <c r="AI40" s="75"/>
      <c r="AJ40" s="76"/>
      <c r="AK40" s="76"/>
      <c r="AL40" s="76"/>
      <c r="AM40" s="75"/>
      <c r="AN40" s="76"/>
      <c r="AO40" s="76"/>
      <c r="AP40" s="76"/>
      <c r="AQ40" s="75"/>
      <c r="AR40" s="76"/>
      <c r="AS40" s="76"/>
      <c r="AT40" s="76"/>
      <c r="AU40" s="75"/>
      <c r="AV40" s="76"/>
      <c r="AW40" s="76"/>
      <c r="AX40" s="75"/>
      <c r="AY40" s="76"/>
      <c r="AZ40" s="75"/>
      <c r="BA40" s="76"/>
      <c r="BB40" s="75"/>
      <c r="BC40" s="77"/>
    </row>
    <row r="41" spans="1:55" ht="15.75" customHeight="1">
      <c r="A41" s="70" t="s">
        <v>153</v>
      </c>
      <c r="B41" s="70" t="s">
        <v>153</v>
      </c>
      <c r="C41" s="75"/>
      <c r="D41" s="76"/>
      <c r="E41" s="76"/>
      <c r="F41" s="76"/>
      <c r="G41" s="75"/>
      <c r="H41" s="76"/>
      <c r="I41" s="76"/>
      <c r="J41" s="76"/>
      <c r="K41" s="75"/>
      <c r="L41" s="76"/>
      <c r="M41" s="76"/>
      <c r="N41" s="76"/>
      <c r="O41" s="75"/>
      <c r="P41" s="76"/>
      <c r="Q41" s="76"/>
      <c r="R41" s="76"/>
      <c r="S41" s="75"/>
      <c r="T41" s="76"/>
      <c r="U41" s="76"/>
      <c r="V41" s="76"/>
      <c r="W41" s="75"/>
      <c r="X41" s="76"/>
      <c r="Y41" s="76"/>
      <c r="Z41" s="76"/>
      <c r="AA41" s="75"/>
      <c r="AB41" s="76"/>
      <c r="AC41" s="76"/>
      <c r="AD41" s="76"/>
      <c r="AE41" s="75"/>
      <c r="AF41" s="76"/>
      <c r="AG41" s="76"/>
      <c r="AH41" s="76"/>
      <c r="AI41" s="75"/>
      <c r="AJ41" s="76"/>
      <c r="AK41" s="76"/>
      <c r="AL41" s="76"/>
      <c r="AM41" s="75"/>
      <c r="AN41" s="76"/>
      <c r="AO41" s="76"/>
      <c r="AP41" s="76"/>
      <c r="AQ41" s="75"/>
      <c r="AR41" s="76"/>
      <c r="AS41" s="76"/>
      <c r="AT41" s="76"/>
      <c r="AU41" s="75"/>
      <c r="AV41" s="76"/>
      <c r="AW41" s="76"/>
      <c r="AX41" s="75">
        <v>1700000</v>
      </c>
      <c r="AY41" s="76">
        <v>114317607</v>
      </c>
      <c r="AZ41" s="75">
        <v>1115122</v>
      </c>
      <c r="BA41" s="76">
        <v>98416155</v>
      </c>
      <c r="BB41" s="75">
        <v>1100000</v>
      </c>
      <c r="BC41" s="77">
        <v>87000000</v>
      </c>
    </row>
    <row r="42" spans="1:55" ht="15.75" customHeight="1">
      <c r="A42" s="68"/>
      <c r="B42" s="73" t="s">
        <v>152</v>
      </c>
      <c r="C42" s="78"/>
      <c r="D42" s="79"/>
      <c r="E42" s="79"/>
      <c r="F42" s="79"/>
      <c r="G42" s="78"/>
      <c r="H42" s="79"/>
      <c r="I42" s="79"/>
      <c r="J42" s="79"/>
      <c r="K42" s="78"/>
      <c r="L42" s="79"/>
      <c r="M42" s="79"/>
      <c r="N42" s="79"/>
      <c r="O42" s="78"/>
      <c r="P42" s="79"/>
      <c r="Q42" s="79"/>
      <c r="R42" s="79"/>
      <c r="S42" s="78"/>
      <c r="T42" s="79"/>
      <c r="U42" s="79"/>
      <c r="V42" s="79"/>
      <c r="W42" s="78"/>
      <c r="X42" s="79"/>
      <c r="Y42" s="79"/>
      <c r="Z42" s="79"/>
      <c r="AA42" s="78"/>
      <c r="AB42" s="79"/>
      <c r="AC42" s="79"/>
      <c r="AD42" s="79">
        <v>5981608</v>
      </c>
      <c r="AE42" s="78"/>
      <c r="AF42" s="79"/>
      <c r="AG42" s="79"/>
      <c r="AH42" s="79"/>
      <c r="AI42" s="78"/>
      <c r="AJ42" s="79"/>
      <c r="AK42" s="79"/>
      <c r="AL42" s="79"/>
      <c r="AM42" s="78"/>
      <c r="AN42" s="79"/>
      <c r="AO42" s="79"/>
      <c r="AP42" s="79"/>
      <c r="AQ42" s="78"/>
      <c r="AR42" s="79"/>
      <c r="AS42" s="79">
        <v>14781209</v>
      </c>
      <c r="AT42" s="79"/>
      <c r="AU42" s="78"/>
      <c r="AV42" s="79"/>
      <c r="AW42" s="79"/>
      <c r="AX42" s="78"/>
      <c r="AY42" s="79"/>
      <c r="AZ42" s="78"/>
      <c r="BA42" s="79"/>
      <c r="BB42" s="78"/>
      <c r="BC42" s="80"/>
    </row>
    <row r="43" spans="1:55" ht="15.75" customHeight="1">
      <c r="A43" s="68"/>
      <c r="B43" s="73" t="s">
        <v>267</v>
      </c>
      <c r="C43" s="78"/>
      <c r="D43" s="79"/>
      <c r="E43" s="79"/>
      <c r="F43" s="79"/>
      <c r="G43" s="78"/>
      <c r="H43" s="79"/>
      <c r="I43" s="79"/>
      <c r="J43" s="79"/>
      <c r="K43" s="78"/>
      <c r="L43" s="79"/>
      <c r="M43" s="79"/>
      <c r="N43" s="79"/>
      <c r="O43" s="78"/>
      <c r="P43" s="79"/>
      <c r="Q43" s="79"/>
      <c r="R43" s="79"/>
      <c r="S43" s="78"/>
      <c r="T43" s="79"/>
      <c r="U43" s="79"/>
      <c r="V43" s="79"/>
      <c r="W43" s="78"/>
      <c r="X43" s="79"/>
      <c r="Y43" s="79"/>
      <c r="Z43" s="79"/>
      <c r="AA43" s="78"/>
      <c r="AB43" s="79"/>
      <c r="AC43" s="79"/>
      <c r="AD43" s="79"/>
      <c r="AE43" s="78"/>
      <c r="AF43" s="79"/>
      <c r="AG43" s="79"/>
      <c r="AH43" s="79"/>
      <c r="AI43" s="78"/>
      <c r="AJ43" s="79"/>
      <c r="AK43" s="79"/>
      <c r="AL43" s="79"/>
      <c r="AM43" s="78"/>
      <c r="AN43" s="79"/>
      <c r="AO43" s="79"/>
      <c r="AP43" s="79"/>
      <c r="AQ43" s="78"/>
      <c r="AR43" s="79"/>
      <c r="AS43" s="79"/>
      <c r="AT43" s="79"/>
      <c r="AU43" s="78">
        <v>1700000</v>
      </c>
      <c r="AV43" s="79"/>
      <c r="AW43" s="79"/>
      <c r="AX43" s="78"/>
      <c r="AY43" s="79"/>
      <c r="AZ43" s="78"/>
      <c r="BA43" s="79"/>
      <c r="BB43" s="78"/>
      <c r="BC43" s="80"/>
    </row>
    <row r="44" spans="1:55" ht="15.75" customHeight="1">
      <c r="A44" s="70" t="s">
        <v>78</v>
      </c>
      <c r="B44" s="70" t="s">
        <v>78</v>
      </c>
      <c r="C44" s="75"/>
      <c r="D44" s="76"/>
      <c r="E44" s="76"/>
      <c r="F44" s="76"/>
      <c r="G44" s="75"/>
      <c r="H44" s="76"/>
      <c r="I44" s="76"/>
      <c r="J44" s="76"/>
      <c r="K44" s="75"/>
      <c r="L44" s="76"/>
      <c r="M44" s="76"/>
      <c r="N44" s="76"/>
      <c r="O44" s="75"/>
      <c r="P44" s="76"/>
      <c r="Q44" s="76"/>
      <c r="R44" s="76"/>
      <c r="S44" s="75"/>
      <c r="T44" s="76">
        <v>29500000</v>
      </c>
      <c r="U44" s="76">
        <v>4971500000</v>
      </c>
      <c r="V44" s="76">
        <v>2246300000</v>
      </c>
      <c r="W44" s="75"/>
      <c r="X44" s="76"/>
      <c r="Y44" s="76"/>
      <c r="Z44" s="76"/>
      <c r="AA44" s="75"/>
      <c r="AB44" s="76">
        <v>28100000</v>
      </c>
      <c r="AC44" s="76"/>
      <c r="AD44" s="76">
        <v>646600000</v>
      </c>
      <c r="AE44" s="75"/>
      <c r="AF44" s="76"/>
      <c r="AG44" s="76"/>
      <c r="AH44" s="76"/>
      <c r="AI44" s="75"/>
      <c r="AJ44" s="76"/>
      <c r="AK44" s="76">
        <v>973000000</v>
      </c>
      <c r="AL44" s="76"/>
      <c r="AM44" s="75"/>
      <c r="AN44" s="76"/>
      <c r="AO44" s="76">
        <v>1502100145</v>
      </c>
      <c r="AP44" s="76"/>
      <c r="AQ44" s="75"/>
      <c r="AR44" s="76"/>
      <c r="AS44" s="76"/>
      <c r="AT44" s="76"/>
      <c r="AU44" s="75"/>
      <c r="AV44" s="76"/>
      <c r="AW44" s="76"/>
      <c r="AX44" s="75">
        <v>20000000</v>
      </c>
      <c r="AY44" s="76">
        <v>3335002211</v>
      </c>
      <c r="AZ44" s="75">
        <v>28600000</v>
      </c>
      <c r="BA44" s="76">
        <v>3994813508</v>
      </c>
      <c r="BB44" s="75">
        <v>21360484</v>
      </c>
      <c r="BC44" s="77">
        <v>3235782784</v>
      </c>
    </row>
    <row r="45" spans="1:55" ht="15.75" customHeight="1">
      <c r="A45" s="70" t="s">
        <v>62</v>
      </c>
      <c r="B45" s="70" t="s">
        <v>62</v>
      </c>
      <c r="C45" s="75"/>
      <c r="D45" s="76"/>
      <c r="E45" s="76"/>
      <c r="F45" s="76"/>
      <c r="G45" s="75"/>
      <c r="H45" s="76"/>
      <c r="I45" s="76"/>
      <c r="J45" s="76"/>
      <c r="K45" s="75"/>
      <c r="L45" s="76"/>
      <c r="M45" s="76"/>
      <c r="N45" s="76"/>
      <c r="O45" s="75"/>
      <c r="P45" s="76">
        <v>1037961</v>
      </c>
      <c r="Q45" s="76">
        <v>53500000</v>
      </c>
      <c r="R45" s="76">
        <v>5940200</v>
      </c>
      <c r="S45" s="75"/>
      <c r="T45" s="76"/>
      <c r="U45" s="76"/>
      <c r="V45" s="76"/>
      <c r="W45" s="75"/>
      <c r="X45" s="76"/>
      <c r="Y45" s="76"/>
      <c r="Z45" s="76"/>
      <c r="AA45" s="75"/>
      <c r="AB45" s="76"/>
      <c r="AC45" s="76"/>
      <c r="AD45" s="76"/>
      <c r="AE45" s="75"/>
      <c r="AF45" s="76"/>
      <c r="AG45" s="76"/>
      <c r="AH45" s="76"/>
      <c r="AI45" s="75"/>
      <c r="AJ45" s="76"/>
      <c r="AK45" s="76"/>
      <c r="AL45" s="76"/>
      <c r="AM45" s="75"/>
      <c r="AN45" s="76"/>
      <c r="AO45" s="76"/>
      <c r="AP45" s="76"/>
      <c r="AQ45" s="75"/>
      <c r="AR45" s="76"/>
      <c r="AS45" s="76"/>
      <c r="AT45" s="76"/>
      <c r="AU45" s="75"/>
      <c r="AV45" s="76"/>
      <c r="AW45" s="76"/>
      <c r="AX45" s="75"/>
      <c r="AY45" s="76"/>
      <c r="AZ45" s="75"/>
      <c r="BA45" s="76"/>
      <c r="BB45" s="75"/>
      <c r="BC45" s="77"/>
    </row>
    <row r="46" spans="1:55" ht="15.75" customHeight="1">
      <c r="A46" s="70" t="s">
        <v>64</v>
      </c>
      <c r="B46" s="70" t="s">
        <v>64</v>
      </c>
      <c r="C46" s="75"/>
      <c r="D46" s="76"/>
      <c r="E46" s="76"/>
      <c r="F46" s="76"/>
      <c r="G46" s="75"/>
      <c r="H46" s="76"/>
      <c r="I46" s="76"/>
      <c r="J46" s="76"/>
      <c r="K46" s="75"/>
      <c r="L46" s="76"/>
      <c r="M46" s="76"/>
      <c r="N46" s="76"/>
      <c r="O46" s="75"/>
      <c r="P46" s="76"/>
      <c r="Q46" s="76">
        <v>80500000</v>
      </c>
      <c r="R46" s="76">
        <v>26000000</v>
      </c>
      <c r="S46" s="75"/>
      <c r="T46" s="76">
        <v>1500000</v>
      </c>
      <c r="U46" s="76"/>
      <c r="V46" s="76"/>
      <c r="W46" s="75"/>
      <c r="X46" s="76"/>
      <c r="Y46" s="76"/>
      <c r="Z46" s="76"/>
      <c r="AA46" s="75"/>
      <c r="AB46" s="76"/>
      <c r="AC46" s="76"/>
      <c r="AD46" s="76"/>
      <c r="AE46" s="75"/>
      <c r="AF46" s="76"/>
      <c r="AG46" s="76"/>
      <c r="AH46" s="76"/>
      <c r="AI46" s="75"/>
      <c r="AJ46" s="76"/>
      <c r="AK46" s="76"/>
      <c r="AL46" s="76"/>
      <c r="AM46" s="75"/>
      <c r="AN46" s="76"/>
      <c r="AO46" s="76"/>
      <c r="AP46" s="76"/>
      <c r="AQ46" s="75"/>
      <c r="AR46" s="76"/>
      <c r="AS46" s="76"/>
      <c r="AT46" s="76"/>
      <c r="AU46" s="75"/>
      <c r="AV46" s="76"/>
      <c r="AW46" s="76"/>
      <c r="AX46" s="75">
        <v>3800000</v>
      </c>
      <c r="AY46" s="76">
        <v>153531304</v>
      </c>
      <c r="AZ46" s="75">
        <v>5000000</v>
      </c>
      <c r="BA46" s="76">
        <v>126145348</v>
      </c>
      <c r="BB46" s="75">
        <v>5300000</v>
      </c>
      <c r="BC46" s="77">
        <v>125401425</v>
      </c>
    </row>
    <row r="47" spans="1:55" ht="15.75" customHeight="1">
      <c r="A47" s="68"/>
      <c r="B47" s="73" t="s">
        <v>66</v>
      </c>
      <c r="C47" s="78"/>
      <c r="D47" s="79"/>
      <c r="E47" s="79"/>
      <c r="F47" s="79"/>
      <c r="G47" s="78"/>
      <c r="H47" s="79"/>
      <c r="I47" s="79"/>
      <c r="J47" s="79"/>
      <c r="K47" s="78"/>
      <c r="L47" s="79"/>
      <c r="M47" s="79"/>
      <c r="N47" s="79"/>
      <c r="O47" s="78"/>
      <c r="P47" s="79"/>
      <c r="Q47" s="79"/>
      <c r="R47" s="79"/>
      <c r="S47" s="78"/>
      <c r="T47" s="79"/>
      <c r="U47" s="79">
        <v>16701505</v>
      </c>
      <c r="V47" s="79">
        <v>8103006</v>
      </c>
      <c r="W47" s="78"/>
      <c r="X47" s="79"/>
      <c r="Y47" s="79"/>
      <c r="Z47" s="79"/>
      <c r="AA47" s="78"/>
      <c r="AB47" s="79"/>
      <c r="AC47" s="79"/>
      <c r="AD47" s="79"/>
      <c r="AE47" s="78"/>
      <c r="AF47" s="79"/>
      <c r="AG47" s="79"/>
      <c r="AH47" s="79"/>
      <c r="AI47" s="78"/>
      <c r="AJ47" s="79"/>
      <c r="AK47" s="79"/>
      <c r="AL47" s="79"/>
      <c r="AM47" s="78"/>
      <c r="AN47" s="79"/>
      <c r="AO47" s="79"/>
      <c r="AP47" s="79"/>
      <c r="AQ47" s="78"/>
      <c r="AR47" s="79"/>
      <c r="AS47" s="79"/>
      <c r="AT47" s="79"/>
      <c r="AU47" s="78"/>
      <c r="AV47" s="79"/>
      <c r="AW47" s="79"/>
      <c r="AX47" s="78"/>
      <c r="AY47" s="79"/>
      <c r="AZ47" s="78"/>
      <c r="BA47" s="79"/>
      <c r="BB47" s="78"/>
      <c r="BC47" s="80"/>
    </row>
    <row r="48" spans="1:55" ht="15.75" customHeight="1">
      <c r="A48" s="68"/>
      <c r="B48" s="73" t="s">
        <v>68</v>
      </c>
      <c r="C48" s="78"/>
      <c r="D48" s="79"/>
      <c r="E48" s="79"/>
      <c r="F48" s="79"/>
      <c r="G48" s="78"/>
      <c r="H48" s="79"/>
      <c r="I48" s="79"/>
      <c r="J48" s="79"/>
      <c r="K48" s="78"/>
      <c r="L48" s="79"/>
      <c r="M48" s="79"/>
      <c r="N48" s="79"/>
      <c r="O48" s="78"/>
      <c r="P48" s="79"/>
      <c r="Q48" s="79"/>
      <c r="R48" s="79"/>
      <c r="S48" s="78"/>
      <c r="T48" s="79"/>
      <c r="U48" s="79">
        <v>34193050</v>
      </c>
      <c r="V48" s="79">
        <v>8238535</v>
      </c>
      <c r="W48" s="78"/>
      <c r="X48" s="79"/>
      <c r="Y48" s="79"/>
      <c r="Z48" s="79"/>
      <c r="AA48" s="78"/>
      <c r="AB48" s="79"/>
      <c r="AC48" s="79"/>
      <c r="AD48" s="79"/>
      <c r="AE48" s="78"/>
      <c r="AF48" s="79"/>
      <c r="AG48" s="79"/>
      <c r="AH48" s="79"/>
      <c r="AI48" s="78"/>
      <c r="AJ48" s="79"/>
      <c r="AK48" s="79"/>
      <c r="AL48" s="79"/>
      <c r="AM48" s="78"/>
      <c r="AN48" s="79"/>
      <c r="AO48" s="79"/>
      <c r="AP48" s="79"/>
      <c r="AQ48" s="78"/>
      <c r="AR48" s="79"/>
      <c r="AS48" s="79"/>
      <c r="AT48" s="79"/>
      <c r="AU48" s="78"/>
      <c r="AV48" s="79"/>
      <c r="AW48" s="79"/>
      <c r="AX48" s="78"/>
      <c r="AY48" s="79"/>
      <c r="AZ48" s="78"/>
      <c r="BA48" s="79"/>
      <c r="BB48" s="78"/>
      <c r="BC48" s="80"/>
    </row>
    <row r="49" spans="1:55" ht="15.75" customHeight="1">
      <c r="A49" s="68"/>
      <c r="B49" s="73" t="s">
        <v>267</v>
      </c>
      <c r="C49" s="78"/>
      <c r="D49" s="79"/>
      <c r="E49" s="79"/>
      <c r="F49" s="79"/>
      <c r="G49" s="78"/>
      <c r="H49" s="79"/>
      <c r="I49" s="79"/>
      <c r="J49" s="79"/>
      <c r="K49" s="78"/>
      <c r="L49" s="79"/>
      <c r="M49" s="79"/>
      <c r="N49" s="79"/>
      <c r="O49" s="78"/>
      <c r="P49" s="79"/>
      <c r="Q49" s="79"/>
      <c r="R49" s="79"/>
      <c r="S49" s="78"/>
      <c r="T49" s="79"/>
      <c r="U49" s="79"/>
      <c r="V49" s="79"/>
      <c r="W49" s="78"/>
      <c r="X49" s="79"/>
      <c r="Y49" s="79"/>
      <c r="Z49" s="79"/>
      <c r="AA49" s="78"/>
      <c r="AB49" s="79"/>
      <c r="AC49" s="79"/>
      <c r="AD49" s="79"/>
      <c r="AE49" s="78"/>
      <c r="AF49" s="79"/>
      <c r="AG49" s="79"/>
      <c r="AH49" s="79"/>
      <c r="AI49" s="78"/>
      <c r="AJ49" s="79"/>
      <c r="AK49" s="79"/>
      <c r="AL49" s="79"/>
      <c r="AM49" s="78"/>
      <c r="AN49" s="79"/>
      <c r="AO49" s="79"/>
      <c r="AP49" s="79"/>
      <c r="AQ49" s="78"/>
      <c r="AR49" s="79"/>
      <c r="AS49" s="79"/>
      <c r="AT49" s="79"/>
      <c r="AU49" s="78">
        <v>3800000</v>
      </c>
      <c r="AV49" s="79"/>
      <c r="AW49" s="79"/>
      <c r="AX49" s="78"/>
      <c r="AY49" s="79"/>
      <c r="AZ49" s="78"/>
      <c r="BA49" s="79"/>
      <c r="BB49" s="78"/>
      <c r="BC49" s="80"/>
    </row>
    <row r="50" spans="1:55" ht="15.75" customHeight="1">
      <c r="A50" s="70" t="s">
        <v>82</v>
      </c>
      <c r="B50" s="70" t="s">
        <v>82</v>
      </c>
      <c r="C50" s="75"/>
      <c r="D50" s="76"/>
      <c r="E50" s="76"/>
      <c r="F50" s="76"/>
      <c r="G50" s="75"/>
      <c r="H50" s="76"/>
      <c r="I50" s="76"/>
      <c r="J50" s="76"/>
      <c r="K50" s="75"/>
      <c r="L50" s="76"/>
      <c r="M50" s="76"/>
      <c r="N50" s="76"/>
      <c r="O50" s="75"/>
      <c r="P50" s="76"/>
      <c r="Q50" s="76"/>
      <c r="R50" s="76"/>
      <c r="S50" s="75">
        <v>3288000</v>
      </c>
      <c r="T50" s="76">
        <v>7917000</v>
      </c>
      <c r="U50" s="76">
        <v>1072980810</v>
      </c>
      <c r="V50" s="76">
        <v>321811344</v>
      </c>
      <c r="W50" s="75"/>
      <c r="X50" s="76"/>
      <c r="Y50" s="76">
        <v>407890619</v>
      </c>
      <c r="Z50" s="76">
        <v>227120927</v>
      </c>
      <c r="AA50" s="75"/>
      <c r="AB50" s="76">
        <v>13500000</v>
      </c>
      <c r="AC50" s="76"/>
      <c r="AD50" s="76">
        <v>36100000</v>
      </c>
      <c r="AE50" s="75"/>
      <c r="AF50" s="76"/>
      <c r="AG50" s="76"/>
      <c r="AH50" s="76"/>
      <c r="AI50" s="75"/>
      <c r="AJ50" s="76"/>
      <c r="AK50" s="76"/>
      <c r="AL50" s="76"/>
      <c r="AM50" s="75"/>
      <c r="AN50" s="76"/>
      <c r="AO50" s="76">
        <v>488100000</v>
      </c>
      <c r="AP50" s="76"/>
      <c r="AQ50" s="75"/>
      <c r="AR50" s="76"/>
      <c r="AS50" s="76"/>
      <c r="AT50" s="76"/>
      <c r="AU50" s="75">
        <v>4400000</v>
      </c>
      <c r="AV50" s="76"/>
      <c r="AW50" s="76"/>
      <c r="AX50" s="75">
        <v>6496979</v>
      </c>
      <c r="AY50" s="76">
        <v>518765968</v>
      </c>
      <c r="AZ50" s="75">
        <v>5200000</v>
      </c>
      <c r="BA50" s="76">
        <v>719857713</v>
      </c>
      <c r="BB50" s="75">
        <v>5500000</v>
      </c>
      <c r="BC50" s="77">
        <v>673767352</v>
      </c>
    </row>
    <row r="51" spans="1:55" ht="15.75" customHeight="1">
      <c r="A51" s="68"/>
      <c r="B51" s="73" t="s">
        <v>84</v>
      </c>
      <c r="C51" s="78"/>
      <c r="D51" s="79"/>
      <c r="E51" s="79"/>
      <c r="F51" s="79"/>
      <c r="G51" s="78"/>
      <c r="H51" s="79"/>
      <c r="I51" s="79"/>
      <c r="J51" s="79"/>
      <c r="K51" s="78"/>
      <c r="L51" s="79"/>
      <c r="M51" s="79"/>
      <c r="N51" s="79"/>
      <c r="O51" s="78"/>
      <c r="P51" s="79"/>
      <c r="Q51" s="79"/>
      <c r="R51" s="79"/>
      <c r="S51" s="78"/>
      <c r="T51" s="79"/>
      <c r="U51" s="79">
        <v>139000000</v>
      </c>
      <c r="V51" s="79">
        <v>64300000</v>
      </c>
      <c r="W51" s="78"/>
      <c r="X51" s="79"/>
      <c r="Y51" s="79"/>
      <c r="Z51" s="79"/>
      <c r="AA51" s="78"/>
      <c r="AB51" s="79"/>
      <c r="AC51" s="79"/>
      <c r="AD51" s="79"/>
      <c r="AE51" s="78"/>
      <c r="AF51" s="79"/>
      <c r="AG51" s="79"/>
      <c r="AH51" s="79"/>
      <c r="AI51" s="78"/>
      <c r="AJ51" s="79"/>
      <c r="AK51" s="79"/>
      <c r="AL51" s="79"/>
      <c r="AM51" s="78"/>
      <c r="AN51" s="79"/>
      <c r="AO51" s="79"/>
      <c r="AP51" s="79"/>
      <c r="AQ51" s="78"/>
      <c r="AR51" s="79"/>
      <c r="AS51" s="79"/>
      <c r="AT51" s="79"/>
      <c r="AU51" s="78"/>
      <c r="AV51" s="79"/>
      <c r="AW51" s="79"/>
      <c r="AX51" s="78"/>
      <c r="AY51" s="79"/>
      <c r="AZ51" s="78"/>
      <c r="BA51" s="79"/>
      <c r="BB51" s="78"/>
      <c r="BC51" s="80"/>
    </row>
    <row r="52" spans="1:55" ht="15.75" customHeight="1">
      <c r="A52" s="68"/>
      <c r="B52" s="73" t="s">
        <v>85</v>
      </c>
      <c r="C52" s="78"/>
      <c r="D52" s="79"/>
      <c r="E52" s="79"/>
      <c r="F52" s="79"/>
      <c r="G52" s="78"/>
      <c r="H52" s="79"/>
      <c r="I52" s="79"/>
      <c r="J52" s="79"/>
      <c r="K52" s="78"/>
      <c r="L52" s="79"/>
      <c r="M52" s="79"/>
      <c r="N52" s="79"/>
      <c r="O52" s="78"/>
      <c r="P52" s="79"/>
      <c r="Q52" s="79"/>
      <c r="R52" s="79"/>
      <c r="S52" s="78"/>
      <c r="T52" s="79"/>
      <c r="U52" s="79"/>
      <c r="V52" s="79">
        <v>72771635</v>
      </c>
      <c r="W52" s="78">
        <v>900000</v>
      </c>
      <c r="X52" s="79"/>
      <c r="Y52" s="79">
        <v>152343810</v>
      </c>
      <c r="Z52" s="79"/>
      <c r="AA52" s="78"/>
      <c r="AB52" s="79"/>
      <c r="AC52" s="79"/>
      <c r="AD52" s="79"/>
      <c r="AE52" s="78"/>
      <c r="AF52" s="79"/>
      <c r="AG52" s="79"/>
      <c r="AH52" s="79"/>
      <c r="AI52" s="78"/>
      <c r="AJ52" s="79"/>
      <c r="AK52" s="79"/>
      <c r="AL52" s="79"/>
      <c r="AM52" s="78"/>
      <c r="AN52" s="79"/>
      <c r="AO52" s="79"/>
      <c r="AP52" s="79"/>
      <c r="AQ52" s="78"/>
      <c r="AR52" s="79"/>
      <c r="AS52" s="79"/>
      <c r="AT52" s="79"/>
      <c r="AU52" s="78"/>
      <c r="AV52" s="79"/>
      <c r="AW52" s="79"/>
      <c r="AX52" s="78"/>
      <c r="AY52" s="79"/>
      <c r="AZ52" s="78"/>
      <c r="BA52" s="79"/>
      <c r="BB52" s="78"/>
      <c r="BC52" s="80"/>
    </row>
    <row r="53" spans="1:55" ht="15.75" customHeight="1">
      <c r="A53" s="68"/>
      <c r="B53" s="73" t="s">
        <v>91</v>
      </c>
      <c r="C53" s="78"/>
      <c r="D53" s="79"/>
      <c r="E53" s="79"/>
      <c r="F53" s="79"/>
      <c r="G53" s="78"/>
      <c r="H53" s="79"/>
      <c r="I53" s="79"/>
      <c r="J53" s="79"/>
      <c r="K53" s="78"/>
      <c r="L53" s="79"/>
      <c r="M53" s="79"/>
      <c r="N53" s="79"/>
      <c r="O53" s="78"/>
      <c r="P53" s="79"/>
      <c r="Q53" s="79"/>
      <c r="R53" s="79"/>
      <c r="S53" s="78"/>
      <c r="T53" s="79"/>
      <c r="U53" s="79"/>
      <c r="V53" s="79"/>
      <c r="W53" s="78"/>
      <c r="X53" s="79"/>
      <c r="Y53" s="79">
        <v>1502221330</v>
      </c>
      <c r="Z53" s="79">
        <v>1108519732</v>
      </c>
      <c r="AA53" s="78"/>
      <c r="AB53" s="79"/>
      <c r="AC53" s="79"/>
      <c r="AD53" s="79"/>
      <c r="AE53" s="78"/>
      <c r="AF53" s="79"/>
      <c r="AG53" s="79"/>
      <c r="AH53" s="79"/>
      <c r="AI53" s="78"/>
      <c r="AJ53" s="79"/>
      <c r="AK53" s="79"/>
      <c r="AL53" s="79"/>
      <c r="AM53" s="78"/>
      <c r="AN53" s="79"/>
      <c r="AO53" s="79"/>
      <c r="AP53" s="79"/>
      <c r="AQ53" s="78"/>
      <c r="AR53" s="79"/>
      <c r="AS53" s="79"/>
      <c r="AT53" s="79"/>
      <c r="AU53" s="78"/>
      <c r="AV53" s="79"/>
      <c r="AW53" s="79"/>
      <c r="AX53" s="78"/>
      <c r="AY53" s="79"/>
      <c r="AZ53" s="78"/>
      <c r="BA53" s="79"/>
      <c r="BB53" s="78"/>
      <c r="BC53" s="80"/>
    </row>
    <row r="54" spans="1:55" ht="15.75" customHeight="1">
      <c r="A54" s="70" t="s">
        <v>69</v>
      </c>
      <c r="B54" s="70" t="s">
        <v>69</v>
      </c>
      <c r="C54" s="75"/>
      <c r="D54" s="76"/>
      <c r="E54" s="76"/>
      <c r="F54" s="76"/>
      <c r="G54" s="75"/>
      <c r="H54" s="76"/>
      <c r="I54" s="76"/>
      <c r="J54" s="76"/>
      <c r="K54" s="75"/>
      <c r="L54" s="76"/>
      <c r="M54" s="76"/>
      <c r="N54" s="76"/>
      <c r="O54" s="75"/>
      <c r="P54" s="76"/>
      <c r="Q54" s="76"/>
      <c r="R54" s="76"/>
      <c r="S54" s="75"/>
      <c r="T54" s="76">
        <v>1400000</v>
      </c>
      <c r="U54" s="76">
        <v>57400000</v>
      </c>
      <c r="V54" s="76">
        <v>12400000</v>
      </c>
      <c r="W54" s="75"/>
      <c r="X54" s="76"/>
      <c r="Y54" s="76"/>
      <c r="Z54" s="76"/>
      <c r="AA54" s="75"/>
      <c r="AB54" s="76"/>
      <c r="AC54" s="76"/>
      <c r="AD54" s="76"/>
      <c r="AE54" s="75"/>
      <c r="AF54" s="76"/>
      <c r="AG54" s="76"/>
      <c r="AH54" s="76"/>
      <c r="AI54" s="75"/>
      <c r="AJ54" s="76"/>
      <c r="AK54" s="76"/>
      <c r="AL54" s="76"/>
      <c r="AM54" s="75"/>
      <c r="AN54" s="76"/>
      <c r="AO54" s="76"/>
      <c r="AP54" s="76"/>
      <c r="AQ54" s="75"/>
      <c r="AR54" s="76"/>
      <c r="AS54" s="76"/>
      <c r="AT54" s="76"/>
      <c r="AU54" s="75"/>
      <c r="AV54" s="76"/>
      <c r="AW54" s="76"/>
      <c r="AX54" s="75">
        <v>2800000</v>
      </c>
      <c r="AY54" s="76">
        <v>155296363</v>
      </c>
      <c r="AZ54" s="75">
        <v>3200000</v>
      </c>
      <c r="BA54" s="76">
        <v>280360869</v>
      </c>
      <c r="BB54" s="75">
        <v>2800000</v>
      </c>
      <c r="BC54" s="77">
        <v>203159869</v>
      </c>
    </row>
    <row r="55" spans="1:55" ht="15.75" customHeight="1">
      <c r="A55" s="68"/>
      <c r="B55" s="73" t="s">
        <v>261</v>
      </c>
      <c r="C55" s="78"/>
      <c r="D55" s="79"/>
      <c r="E55" s="79"/>
      <c r="F55" s="79"/>
      <c r="G55" s="78"/>
      <c r="H55" s="79"/>
      <c r="I55" s="79"/>
      <c r="J55" s="79"/>
      <c r="K55" s="78"/>
      <c r="L55" s="79"/>
      <c r="M55" s="79"/>
      <c r="N55" s="79"/>
      <c r="O55" s="78"/>
      <c r="P55" s="79"/>
      <c r="Q55" s="79"/>
      <c r="R55" s="79"/>
      <c r="S55" s="78"/>
      <c r="T55" s="79"/>
      <c r="U55" s="79"/>
      <c r="V55" s="79"/>
      <c r="W55" s="78"/>
      <c r="X55" s="79"/>
      <c r="Y55" s="79"/>
      <c r="Z55" s="79"/>
      <c r="AA55" s="78"/>
      <c r="AB55" s="79"/>
      <c r="AC55" s="79"/>
      <c r="AD55" s="79"/>
      <c r="AE55" s="78"/>
      <c r="AF55" s="79"/>
      <c r="AG55" s="79"/>
      <c r="AH55" s="79"/>
      <c r="AI55" s="78"/>
      <c r="AJ55" s="79"/>
      <c r="AK55" s="79"/>
      <c r="AL55" s="79"/>
      <c r="AM55" s="78"/>
      <c r="AN55" s="79"/>
      <c r="AO55" s="79"/>
      <c r="AP55" s="79"/>
      <c r="AQ55" s="78"/>
      <c r="AR55" s="79"/>
      <c r="AS55" s="79"/>
      <c r="AT55" s="79"/>
      <c r="AU55" s="78">
        <v>2300000</v>
      </c>
      <c r="AV55" s="79"/>
      <c r="AW55" s="79"/>
      <c r="AX55" s="78"/>
      <c r="AY55" s="79"/>
      <c r="AZ55" s="78"/>
      <c r="BA55" s="79"/>
      <c r="BB55" s="78"/>
      <c r="BC55" s="80"/>
    </row>
    <row r="56" spans="1:55" ht="15.75" customHeight="1">
      <c r="A56" s="68"/>
      <c r="B56" s="73" t="s">
        <v>267</v>
      </c>
      <c r="C56" s="78"/>
      <c r="D56" s="79"/>
      <c r="E56" s="79"/>
      <c r="F56" s="79"/>
      <c r="G56" s="78"/>
      <c r="H56" s="79"/>
      <c r="I56" s="79"/>
      <c r="J56" s="79"/>
      <c r="K56" s="78"/>
      <c r="L56" s="79"/>
      <c r="M56" s="79"/>
      <c r="N56" s="79"/>
      <c r="O56" s="78"/>
      <c r="P56" s="79"/>
      <c r="Q56" s="79"/>
      <c r="R56" s="79"/>
      <c r="S56" s="78"/>
      <c r="T56" s="79"/>
      <c r="U56" s="79"/>
      <c r="V56" s="79"/>
      <c r="W56" s="78"/>
      <c r="X56" s="79"/>
      <c r="Y56" s="79"/>
      <c r="Z56" s="79"/>
      <c r="AA56" s="78"/>
      <c r="AB56" s="79"/>
      <c r="AC56" s="79"/>
      <c r="AD56" s="79"/>
      <c r="AE56" s="78"/>
      <c r="AF56" s="79"/>
      <c r="AG56" s="79"/>
      <c r="AH56" s="79"/>
      <c r="AI56" s="78"/>
      <c r="AJ56" s="79"/>
      <c r="AK56" s="79"/>
      <c r="AL56" s="79"/>
      <c r="AM56" s="78"/>
      <c r="AN56" s="79"/>
      <c r="AO56" s="79"/>
      <c r="AP56" s="79"/>
      <c r="AQ56" s="78"/>
      <c r="AR56" s="79"/>
      <c r="AS56" s="79"/>
      <c r="AT56" s="79"/>
      <c r="AU56" s="78">
        <v>2800000</v>
      </c>
      <c r="AV56" s="79"/>
      <c r="AW56" s="79"/>
      <c r="AX56" s="78"/>
      <c r="AY56" s="79"/>
      <c r="AZ56" s="78"/>
      <c r="BA56" s="79"/>
      <c r="BB56" s="78"/>
      <c r="BC56" s="80"/>
    </row>
    <row r="57" spans="1:55" ht="15.75" customHeight="1">
      <c r="A57" s="70" t="s">
        <v>92</v>
      </c>
      <c r="B57" s="70" t="s">
        <v>92</v>
      </c>
      <c r="C57" s="75"/>
      <c r="D57" s="76"/>
      <c r="E57" s="76"/>
      <c r="F57" s="76"/>
      <c r="G57" s="75"/>
      <c r="H57" s="76"/>
      <c r="I57" s="76"/>
      <c r="J57" s="76"/>
      <c r="K57" s="75"/>
      <c r="L57" s="76"/>
      <c r="M57" s="76"/>
      <c r="N57" s="76"/>
      <c r="O57" s="75"/>
      <c r="P57" s="76"/>
      <c r="Q57" s="76"/>
      <c r="R57" s="76"/>
      <c r="S57" s="75"/>
      <c r="T57" s="76"/>
      <c r="U57" s="76"/>
      <c r="V57" s="76"/>
      <c r="W57" s="75"/>
      <c r="X57" s="76">
        <v>1500000</v>
      </c>
      <c r="Y57" s="76">
        <v>50500000</v>
      </c>
      <c r="Z57" s="76">
        <v>16700000</v>
      </c>
      <c r="AA57" s="75"/>
      <c r="AB57" s="76"/>
      <c r="AC57" s="76"/>
      <c r="AD57" s="76"/>
      <c r="AE57" s="75"/>
      <c r="AF57" s="76"/>
      <c r="AG57" s="76"/>
      <c r="AH57" s="76"/>
      <c r="AI57" s="75"/>
      <c r="AJ57" s="76"/>
      <c r="AK57" s="76"/>
      <c r="AL57" s="76"/>
      <c r="AM57" s="75"/>
      <c r="AN57" s="76"/>
      <c r="AO57" s="76"/>
      <c r="AP57" s="76"/>
      <c r="AQ57" s="75"/>
      <c r="AR57" s="76"/>
      <c r="AS57" s="76"/>
      <c r="AT57" s="76"/>
      <c r="AU57" s="75"/>
      <c r="AV57" s="76"/>
      <c r="AW57" s="76"/>
      <c r="AX57" s="75"/>
      <c r="AY57" s="76"/>
      <c r="AZ57" s="75"/>
      <c r="BA57" s="76"/>
      <c r="BB57" s="75"/>
      <c r="BC57" s="77"/>
    </row>
    <row r="58" spans="1:55" ht="15.75" customHeight="1">
      <c r="A58" s="70" t="s">
        <v>94</v>
      </c>
      <c r="B58" s="70" t="s">
        <v>94</v>
      </c>
      <c r="C58" s="75"/>
      <c r="D58" s="76"/>
      <c r="E58" s="76"/>
      <c r="F58" s="76"/>
      <c r="G58" s="75"/>
      <c r="H58" s="76"/>
      <c r="I58" s="76"/>
      <c r="J58" s="76"/>
      <c r="K58" s="75"/>
      <c r="L58" s="76"/>
      <c r="M58" s="76"/>
      <c r="N58" s="76"/>
      <c r="O58" s="75"/>
      <c r="P58" s="76"/>
      <c r="Q58" s="76"/>
      <c r="R58" s="76"/>
      <c r="S58" s="75"/>
      <c r="T58" s="76"/>
      <c r="U58" s="76"/>
      <c r="V58" s="76"/>
      <c r="W58" s="75"/>
      <c r="X58" s="76"/>
      <c r="Y58" s="76">
        <v>25000000</v>
      </c>
      <c r="Z58" s="76"/>
      <c r="AA58" s="75"/>
      <c r="AB58" s="76"/>
      <c r="AC58" s="76"/>
      <c r="AD58" s="76"/>
      <c r="AE58" s="75"/>
      <c r="AF58" s="76">
        <v>2000000</v>
      </c>
      <c r="AG58" s="76"/>
      <c r="AH58" s="76">
        <v>9600000</v>
      </c>
      <c r="AI58" s="75"/>
      <c r="AJ58" s="76">
        <v>40100000</v>
      </c>
      <c r="AK58" s="76"/>
      <c r="AL58" s="76"/>
      <c r="AM58" s="75"/>
      <c r="AN58" s="76"/>
      <c r="AO58" s="76"/>
      <c r="AP58" s="76"/>
      <c r="AQ58" s="75"/>
      <c r="AR58" s="76"/>
      <c r="AS58" s="76"/>
      <c r="AT58" s="76"/>
      <c r="AU58" s="75"/>
      <c r="AV58" s="76"/>
      <c r="AW58" s="76"/>
      <c r="AX58" s="75"/>
      <c r="AY58" s="76"/>
      <c r="AZ58" s="75"/>
      <c r="BA58" s="76"/>
      <c r="BB58" s="75"/>
      <c r="BC58" s="77"/>
    </row>
    <row r="59" spans="1:55" ht="15.75" customHeight="1">
      <c r="A59" s="70" t="s">
        <v>96</v>
      </c>
      <c r="B59" s="70" t="s">
        <v>96</v>
      </c>
      <c r="C59" s="75"/>
      <c r="D59" s="76"/>
      <c r="E59" s="76"/>
      <c r="F59" s="76"/>
      <c r="G59" s="75"/>
      <c r="H59" s="76"/>
      <c r="I59" s="76"/>
      <c r="J59" s="76"/>
      <c r="K59" s="75"/>
      <c r="L59" s="76"/>
      <c r="M59" s="76"/>
      <c r="N59" s="76"/>
      <c r="O59" s="75"/>
      <c r="P59" s="76"/>
      <c r="Q59" s="76"/>
      <c r="R59" s="76"/>
      <c r="S59" s="75"/>
      <c r="T59" s="76"/>
      <c r="U59" s="76"/>
      <c r="V59" s="76"/>
      <c r="W59" s="75"/>
      <c r="X59" s="76">
        <v>44100000</v>
      </c>
      <c r="Y59" s="76">
        <v>4932600000</v>
      </c>
      <c r="Z59" s="76">
        <v>3186700000</v>
      </c>
      <c r="AA59" s="75"/>
      <c r="AB59" s="76"/>
      <c r="AC59" s="76"/>
      <c r="AD59" s="76"/>
      <c r="AE59" s="75"/>
      <c r="AF59" s="76"/>
      <c r="AG59" s="76"/>
      <c r="AH59" s="76"/>
      <c r="AI59" s="75"/>
      <c r="AJ59" s="76">
        <v>10800000</v>
      </c>
      <c r="AK59" s="76"/>
      <c r="AL59" s="76">
        <v>611700000</v>
      </c>
      <c r="AM59" s="75"/>
      <c r="AN59" s="76"/>
      <c r="AO59" s="76"/>
      <c r="AP59" s="76"/>
      <c r="AQ59" s="75"/>
      <c r="AR59" s="76"/>
      <c r="AS59" s="76">
        <v>520000000</v>
      </c>
      <c r="AT59" s="76"/>
      <c r="AU59" s="75">
        <v>4100000</v>
      </c>
      <c r="AV59" s="76"/>
      <c r="AW59" s="76"/>
      <c r="AX59" s="75">
        <v>2454198</v>
      </c>
      <c r="AY59" s="76">
        <v>400004347</v>
      </c>
      <c r="AZ59" s="75"/>
      <c r="BA59" s="76"/>
      <c r="BB59" s="75"/>
      <c r="BC59" s="77"/>
    </row>
    <row r="60" spans="1:55" ht="15.75" customHeight="1">
      <c r="A60" s="68"/>
      <c r="B60" s="73" t="s">
        <v>109</v>
      </c>
      <c r="C60" s="78"/>
      <c r="D60" s="79"/>
      <c r="E60" s="79"/>
      <c r="F60" s="79"/>
      <c r="G60" s="78"/>
      <c r="H60" s="79"/>
      <c r="I60" s="79"/>
      <c r="J60" s="79"/>
      <c r="K60" s="78"/>
      <c r="L60" s="79"/>
      <c r="M60" s="79"/>
      <c r="N60" s="79"/>
      <c r="O60" s="78"/>
      <c r="P60" s="79"/>
      <c r="Q60" s="79"/>
      <c r="R60" s="79"/>
      <c r="S60" s="78"/>
      <c r="T60" s="79"/>
      <c r="U60" s="79"/>
      <c r="V60" s="79"/>
      <c r="W60" s="78"/>
      <c r="X60" s="79"/>
      <c r="Y60" s="79">
        <v>187725113</v>
      </c>
      <c r="Z60" s="79">
        <v>51113653</v>
      </c>
      <c r="AA60" s="78"/>
      <c r="AB60" s="79"/>
      <c r="AC60" s="79"/>
      <c r="AD60" s="79"/>
      <c r="AE60" s="78"/>
      <c r="AF60" s="79"/>
      <c r="AG60" s="79"/>
      <c r="AH60" s="79"/>
      <c r="AI60" s="78"/>
      <c r="AJ60" s="79"/>
      <c r="AK60" s="79"/>
      <c r="AL60" s="79"/>
      <c r="AM60" s="78"/>
      <c r="AN60" s="79"/>
      <c r="AO60" s="79"/>
      <c r="AP60" s="79"/>
      <c r="AQ60" s="78"/>
      <c r="AR60" s="79"/>
      <c r="AS60" s="79"/>
      <c r="AT60" s="79"/>
      <c r="AU60" s="78"/>
      <c r="AV60" s="79"/>
      <c r="AW60" s="79"/>
      <c r="AX60" s="78"/>
      <c r="AY60" s="79"/>
      <c r="AZ60" s="78"/>
      <c r="BA60" s="79"/>
      <c r="BB60" s="78"/>
      <c r="BC60" s="80"/>
    </row>
    <row r="61" spans="1:55" ht="15.75" customHeight="1">
      <c r="A61" s="68"/>
      <c r="B61" s="73" t="s">
        <v>110</v>
      </c>
      <c r="C61" s="78"/>
      <c r="D61" s="79"/>
      <c r="E61" s="79"/>
      <c r="F61" s="79"/>
      <c r="G61" s="78"/>
      <c r="H61" s="79"/>
      <c r="I61" s="79"/>
      <c r="J61" s="79"/>
      <c r="K61" s="78"/>
      <c r="L61" s="79"/>
      <c r="M61" s="79"/>
      <c r="N61" s="79"/>
      <c r="O61" s="78"/>
      <c r="P61" s="79"/>
      <c r="Q61" s="79"/>
      <c r="R61" s="79"/>
      <c r="S61" s="78"/>
      <c r="T61" s="79"/>
      <c r="U61" s="79"/>
      <c r="V61" s="79"/>
      <c r="W61" s="78"/>
      <c r="X61" s="79"/>
      <c r="Y61" s="79">
        <v>283700000</v>
      </c>
      <c r="Z61" s="79">
        <v>232700000</v>
      </c>
      <c r="AA61" s="78"/>
      <c r="AB61" s="79"/>
      <c r="AC61" s="79"/>
      <c r="AD61" s="79"/>
      <c r="AE61" s="78"/>
      <c r="AF61" s="79"/>
      <c r="AG61" s="79"/>
      <c r="AH61" s="79"/>
      <c r="AI61" s="78"/>
      <c r="AJ61" s="79"/>
      <c r="AK61" s="79"/>
      <c r="AL61" s="79"/>
      <c r="AM61" s="78"/>
      <c r="AN61" s="79"/>
      <c r="AO61" s="79"/>
      <c r="AP61" s="79"/>
      <c r="AQ61" s="78"/>
      <c r="AR61" s="79"/>
      <c r="AS61" s="79"/>
      <c r="AT61" s="79"/>
      <c r="AU61" s="78"/>
      <c r="AV61" s="79"/>
      <c r="AW61" s="79"/>
      <c r="AX61" s="78"/>
      <c r="AY61" s="79"/>
      <c r="AZ61" s="78"/>
      <c r="BA61" s="79"/>
      <c r="BB61" s="78"/>
      <c r="BC61" s="80"/>
    </row>
    <row r="62" spans="1:55" ht="15.75" customHeight="1">
      <c r="A62" s="70" t="s">
        <v>191</v>
      </c>
      <c r="B62" s="70" t="s">
        <v>190</v>
      </c>
      <c r="C62" s="75"/>
      <c r="D62" s="76"/>
      <c r="E62" s="76"/>
      <c r="F62" s="76"/>
      <c r="G62" s="75"/>
      <c r="H62" s="76"/>
      <c r="I62" s="76"/>
      <c r="J62" s="76"/>
      <c r="K62" s="75"/>
      <c r="L62" s="76"/>
      <c r="M62" s="76"/>
      <c r="N62" s="76"/>
      <c r="O62" s="75"/>
      <c r="P62" s="76"/>
      <c r="Q62" s="76"/>
      <c r="R62" s="76"/>
      <c r="S62" s="75"/>
      <c r="T62" s="76"/>
      <c r="U62" s="76"/>
      <c r="V62" s="76"/>
      <c r="W62" s="75"/>
      <c r="X62" s="76"/>
      <c r="Y62" s="76"/>
      <c r="Z62" s="76"/>
      <c r="AA62" s="75"/>
      <c r="AB62" s="76"/>
      <c r="AC62" s="76"/>
      <c r="AD62" s="76"/>
      <c r="AE62" s="75"/>
      <c r="AF62" s="76"/>
      <c r="AG62" s="76"/>
      <c r="AH62" s="76"/>
      <c r="AI62" s="75"/>
      <c r="AJ62" s="76">
        <v>1400000</v>
      </c>
      <c r="AK62" s="76"/>
      <c r="AL62" s="76"/>
      <c r="AM62" s="75"/>
      <c r="AN62" s="76"/>
      <c r="AO62" s="76"/>
      <c r="AP62" s="76"/>
      <c r="AQ62" s="75"/>
      <c r="AR62" s="76"/>
      <c r="AS62" s="76"/>
      <c r="AT62" s="76"/>
      <c r="AU62" s="75"/>
      <c r="AV62" s="76"/>
      <c r="AW62" s="76"/>
      <c r="AX62" s="75"/>
      <c r="AY62" s="76"/>
      <c r="AZ62" s="75"/>
      <c r="BA62" s="76"/>
      <c r="BB62" s="75"/>
      <c r="BC62" s="77"/>
    </row>
    <row r="63" spans="1:55" ht="15.75" customHeight="1">
      <c r="A63" s="70" t="s">
        <v>112</v>
      </c>
      <c r="B63" s="70" t="s">
        <v>112</v>
      </c>
      <c r="C63" s="75"/>
      <c r="D63" s="76"/>
      <c r="E63" s="76"/>
      <c r="F63" s="76"/>
      <c r="G63" s="75"/>
      <c r="H63" s="76"/>
      <c r="I63" s="76"/>
      <c r="J63" s="76"/>
      <c r="K63" s="75"/>
      <c r="L63" s="76"/>
      <c r="M63" s="76"/>
      <c r="N63" s="76"/>
      <c r="O63" s="75"/>
      <c r="P63" s="76"/>
      <c r="Q63" s="76"/>
      <c r="R63" s="76"/>
      <c r="S63" s="75"/>
      <c r="T63" s="76"/>
      <c r="U63" s="76"/>
      <c r="V63" s="76"/>
      <c r="W63" s="75"/>
      <c r="X63" s="76"/>
      <c r="Y63" s="76"/>
      <c r="Z63" s="76"/>
      <c r="AA63" s="75"/>
      <c r="AB63" s="76"/>
      <c r="AC63" s="76"/>
      <c r="AD63" s="76"/>
      <c r="AE63" s="75"/>
      <c r="AF63" s="76"/>
      <c r="AG63" s="76"/>
      <c r="AH63" s="76"/>
      <c r="AI63" s="75"/>
      <c r="AJ63" s="76"/>
      <c r="AK63" s="76"/>
      <c r="AL63" s="76"/>
      <c r="AM63" s="75"/>
      <c r="AN63" s="76"/>
      <c r="AO63" s="76"/>
      <c r="AP63" s="76"/>
      <c r="AQ63" s="75"/>
      <c r="AR63" s="76"/>
      <c r="AS63" s="76"/>
      <c r="AT63" s="76"/>
      <c r="AU63" s="75"/>
      <c r="AV63" s="76"/>
      <c r="AW63" s="76"/>
      <c r="AX63" s="75">
        <v>4460065</v>
      </c>
      <c r="AY63" s="76">
        <v>289641587</v>
      </c>
      <c r="AZ63" s="75">
        <v>6446835</v>
      </c>
      <c r="BA63" s="76">
        <v>451825224</v>
      </c>
      <c r="BB63" s="75"/>
      <c r="BC63" s="77"/>
    </row>
    <row r="64" spans="1:55" ht="15.75" customHeight="1">
      <c r="A64" s="68"/>
      <c r="B64" s="73" t="s">
        <v>193</v>
      </c>
      <c r="C64" s="78"/>
      <c r="D64" s="79"/>
      <c r="E64" s="79"/>
      <c r="F64" s="79"/>
      <c r="G64" s="78"/>
      <c r="H64" s="79"/>
      <c r="I64" s="79"/>
      <c r="J64" s="79"/>
      <c r="K64" s="78"/>
      <c r="L64" s="79"/>
      <c r="M64" s="79"/>
      <c r="N64" s="79"/>
      <c r="O64" s="78"/>
      <c r="P64" s="79"/>
      <c r="Q64" s="79"/>
      <c r="R64" s="79"/>
      <c r="S64" s="78"/>
      <c r="T64" s="79"/>
      <c r="U64" s="79"/>
      <c r="V64" s="79"/>
      <c r="W64" s="78"/>
      <c r="X64" s="79"/>
      <c r="Y64" s="79"/>
      <c r="Z64" s="79"/>
      <c r="AA64" s="78"/>
      <c r="AB64" s="79"/>
      <c r="AC64" s="79"/>
      <c r="AD64" s="79"/>
      <c r="AE64" s="78"/>
      <c r="AF64" s="79"/>
      <c r="AG64" s="79"/>
      <c r="AH64" s="79"/>
      <c r="AI64" s="78"/>
      <c r="AJ64" s="79">
        <v>13840000</v>
      </c>
      <c r="AK64" s="79"/>
      <c r="AL64" s="79"/>
      <c r="AM64" s="78"/>
      <c r="AN64" s="79"/>
      <c r="AO64" s="79"/>
      <c r="AP64" s="79"/>
      <c r="AQ64" s="78"/>
      <c r="AR64" s="79"/>
      <c r="AS64" s="79"/>
      <c r="AT64" s="79"/>
      <c r="AU64" s="78"/>
      <c r="AV64" s="79"/>
      <c r="AW64" s="79"/>
      <c r="AX64" s="78"/>
      <c r="AY64" s="79"/>
      <c r="AZ64" s="78"/>
      <c r="BA64" s="79"/>
      <c r="BB64" s="78"/>
      <c r="BC64" s="80"/>
    </row>
    <row r="65" spans="1:55" ht="15.75" customHeight="1">
      <c r="A65" s="68"/>
      <c r="B65" s="73" t="s">
        <v>111</v>
      </c>
      <c r="C65" s="78"/>
      <c r="D65" s="79"/>
      <c r="E65" s="79"/>
      <c r="F65" s="79"/>
      <c r="G65" s="78"/>
      <c r="H65" s="79"/>
      <c r="I65" s="79"/>
      <c r="J65" s="79"/>
      <c r="K65" s="78"/>
      <c r="L65" s="79"/>
      <c r="M65" s="79"/>
      <c r="N65" s="79"/>
      <c r="O65" s="78"/>
      <c r="P65" s="79"/>
      <c r="Q65" s="79"/>
      <c r="R65" s="79"/>
      <c r="S65" s="78"/>
      <c r="T65" s="79"/>
      <c r="U65" s="79"/>
      <c r="V65" s="79"/>
      <c r="W65" s="78">
        <v>6081500</v>
      </c>
      <c r="X65" s="79"/>
      <c r="Y65" s="79">
        <v>2805482125</v>
      </c>
      <c r="Z65" s="79">
        <v>1849213359</v>
      </c>
      <c r="AA65" s="78"/>
      <c r="AB65" s="79"/>
      <c r="AC65" s="79"/>
      <c r="AD65" s="79"/>
      <c r="AE65" s="78"/>
      <c r="AF65" s="79"/>
      <c r="AG65" s="79"/>
      <c r="AH65" s="79"/>
      <c r="AI65" s="78"/>
      <c r="AJ65" s="79"/>
      <c r="AK65" s="79"/>
      <c r="AL65" s="79"/>
      <c r="AM65" s="78"/>
      <c r="AN65" s="79"/>
      <c r="AO65" s="79"/>
      <c r="AP65" s="79"/>
      <c r="AQ65" s="78"/>
      <c r="AR65" s="79"/>
      <c r="AS65" s="79"/>
      <c r="AT65" s="79"/>
      <c r="AU65" s="78"/>
      <c r="AV65" s="79"/>
      <c r="AW65" s="79"/>
      <c r="AX65" s="78"/>
      <c r="AY65" s="79"/>
      <c r="AZ65" s="78"/>
      <c r="BA65" s="79"/>
      <c r="BB65" s="78"/>
      <c r="BC65" s="80"/>
    </row>
    <row r="66" spans="1:55" ht="15.75" customHeight="1">
      <c r="A66" s="68"/>
      <c r="B66" s="73" t="s">
        <v>114</v>
      </c>
      <c r="C66" s="78"/>
      <c r="D66" s="79"/>
      <c r="E66" s="79"/>
      <c r="F66" s="79"/>
      <c r="G66" s="78"/>
      <c r="H66" s="79"/>
      <c r="I66" s="79"/>
      <c r="J66" s="79"/>
      <c r="K66" s="78"/>
      <c r="L66" s="79"/>
      <c r="M66" s="79"/>
      <c r="N66" s="79"/>
      <c r="O66" s="78"/>
      <c r="P66" s="79"/>
      <c r="Q66" s="79"/>
      <c r="R66" s="79"/>
      <c r="S66" s="78"/>
      <c r="T66" s="79"/>
      <c r="U66" s="79"/>
      <c r="V66" s="79"/>
      <c r="W66" s="78"/>
      <c r="X66" s="79"/>
      <c r="Y66" s="79">
        <v>119900000</v>
      </c>
      <c r="Z66" s="79">
        <v>85800000</v>
      </c>
      <c r="AA66" s="78"/>
      <c r="AB66" s="79"/>
      <c r="AC66" s="79"/>
      <c r="AD66" s="79"/>
      <c r="AE66" s="78"/>
      <c r="AF66" s="79"/>
      <c r="AG66" s="79"/>
      <c r="AH66" s="79"/>
      <c r="AI66" s="78"/>
      <c r="AJ66" s="79"/>
      <c r="AK66" s="79"/>
      <c r="AL66" s="79"/>
      <c r="AM66" s="78"/>
      <c r="AN66" s="79"/>
      <c r="AO66" s="79"/>
      <c r="AP66" s="79"/>
      <c r="AQ66" s="78"/>
      <c r="AR66" s="79"/>
      <c r="AS66" s="79"/>
      <c r="AT66" s="79"/>
      <c r="AU66" s="78"/>
      <c r="AV66" s="79"/>
      <c r="AW66" s="79"/>
      <c r="AX66" s="78"/>
      <c r="AY66" s="79"/>
      <c r="AZ66" s="78"/>
      <c r="BA66" s="79"/>
      <c r="BB66" s="78"/>
      <c r="BC66" s="80"/>
    </row>
    <row r="67" spans="1:55" ht="15.75" customHeight="1">
      <c r="A67" s="70" t="s">
        <v>87</v>
      </c>
      <c r="B67" s="70" t="s">
        <v>86</v>
      </c>
      <c r="C67" s="75"/>
      <c r="D67" s="76"/>
      <c r="E67" s="76"/>
      <c r="F67" s="76"/>
      <c r="G67" s="75"/>
      <c r="H67" s="76"/>
      <c r="I67" s="76"/>
      <c r="J67" s="76"/>
      <c r="K67" s="75"/>
      <c r="L67" s="76"/>
      <c r="M67" s="76"/>
      <c r="N67" s="76"/>
      <c r="O67" s="75"/>
      <c r="P67" s="76"/>
      <c r="Q67" s="76"/>
      <c r="R67" s="76"/>
      <c r="S67" s="75"/>
      <c r="T67" s="76"/>
      <c r="U67" s="76">
        <v>94231852</v>
      </c>
      <c r="V67" s="76">
        <v>68617608</v>
      </c>
      <c r="W67" s="75"/>
      <c r="X67" s="76"/>
      <c r="Y67" s="76"/>
      <c r="Z67" s="76"/>
      <c r="AA67" s="75"/>
      <c r="AB67" s="76"/>
      <c r="AC67" s="76"/>
      <c r="AD67" s="76"/>
      <c r="AE67" s="75"/>
      <c r="AF67" s="76"/>
      <c r="AG67" s="76"/>
      <c r="AH67" s="76"/>
      <c r="AI67" s="75"/>
      <c r="AJ67" s="76"/>
      <c r="AK67" s="76"/>
      <c r="AL67" s="76"/>
      <c r="AM67" s="75"/>
      <c r="AN67" s="76"/>
      <c r="AO67" s="76"/>
      <c r="AP67" s="76"/>
      <c r="AQ67" s="75"/>
      <c r="AR67" s="76"/>
      <c r="AS67" s="76"/>
      <c r="AT67" s="76"/>
      <c r="AU67" s="75"/>
      <c r="AV67" s="76"/>
      <c r="AW67" s="76"/>
      <c r="AX67" s="75"/>
      <c r="AY67" s="76"/>
      <c r="AZ67" s="75"/>
      <c r="BA67" s="76"/>
      <c r="BB67" s="75"/>
      <c r="BC67" s="77"/>
    </row>
    <row r="68" spans="1:55" ht="15.75" customHeight="1">
      <c r="A68" s="70" t="s">
        <v>194</v>
      </c>
      <c r="B68" s="70" t="s">
        <v>194</v>
      </c>
      <c r="C68" s="75"/>
      <c r="D68" s="76"/>
      <c r="E68" s="76"/>
      <c r="F68" s="76"/>
      <c r="G68" s="75"/>
      <c r="H68" s="76"/>
      <c r="I68" s="76"/>
      <c r="J68" s="76"/>
      <c r="K68" s="75"/>
      <c r="L68" s="76"/>
      <c r="M68" s="76"/>
      <c r="N68" s="76"/>
      <c r="O68" s="75"/>
      <c r="P68" s="76"/>
      <c r="Q68" s="76"/>
      <c r="R68" s="76"/>
      <c r="S68" s="75"/>
      <c r="T68" s="76"/>
      <c r="U68" s="76"/>
      <c r="V68" s="76"/>
      <c r="W68" s="75"/>
      <c r="X68" s="76"/>
      <c r="Y68" s="76"/>
      <c r="Z68" s="76"/>
      <c r="AA68" s="75"/>
      <c r="AB68" s="76"/>
      <c r="AC68" s="76"/>
      <c r="AD68" s="76"/>
      <c r="AE68" s="75"/>
      <c r="AF68" s="76"/>
      <c r="AG68" s="76"/>
      <c r="AH68" s="76"/>
      <c r="AI68" s="75"/>
      <c r="AJ68" s="76">
        <v>6000000</v>
      </c>
      <c r="AK68" s="76"/>
      <c r="AL68" s="76"/>
      <c r="AM68" s="75"/>
      <c r="AN68" s="76"/>
      <c r="AO68" s="76"/>
      <c r="AP68" s="76"/>
      <c r="AQ68" s="75"/>
      <c r="AR68" s="76"/>
      <c r="AS68" s="76"/>
      <c r="AT68" s="76"/>
      <c r="AU68" s="75"/>
      <c r="AV68" s="76"/>
      <c r="AW68" s="76"/>
      <c r="AX68" s="75"/>
      <c r="AY68" s="76"/>
      <c r="AZ68" s="75"/>
      <c r="BA68" s="76"/>
      <c r="BB68" s="75"/>
      <c r="BC68" s="77"/>
    </row>
    <row r="69" spans="1:55" ht="15.75" customHeight="1">
      <c r="A69" s="68"/>
      <c r="B69" s="73" t="s">
        <v>278</v>
      </c>
      <c r="C69" s="78"/>
      <c r="D69" s="79"/>
      <c r="E69" s="79"/>
      <c r="F69" s="79"/>
      <c r="G69" s="78"/>
      <c r="H69" s="79"/>
      <c r="I69" s="79"/>
      <c r="J69" s="79"/>
      <c r="K69" s="78"/>
      <c r="L69" s="79"/>
      <c r="M69" s="79"/>
      <c r="N69" s="79"/>
      <c r="O69" s="78"/>
      <c r="P69" s="79"/>
      <c r="Q69" s="79"/>
      <c r="R69" s="79"/>
      <c r="S69" s="78"/>
      <c r="T69" s="79"/>
      <c r="U69" s="79"/>
      <c r="V69" s="79"/>
      <c r="W69" s="78"/>
      <c r="X69" s="79"/>
      <c r="Y69" s="79"/>
      <c r="Z69" s="79"/>
      <c r="AA69" s="78"/>
      <c r="AB69" s="79"/>
      <c r="AC69" s="79"/>
      <c r="AD69" s="79"/>
      <c r="AE69" s="78"/>
      <c r="AF69" s="79"/>
      <c r="AG69" s="79"/>
      <c r="AH69" s="79"/>
      <c r="AI69" s="78"/>
      <c r="AJ69" s="79"/>
      <c r="AK69" s="79"/>
      <c r="AL69" s="79"/>
      <c r="AM69" s="78"/>
      <c r="AN69" s="79"/>
      <c r="AO69" s="79"/>
      <c r="AP69" s="79"/>
      <c r="AQ69" s="78"/>
      <c r="AR69" s="79"/>
      <c r="AS69" s="79"/>
      <c r="AT69" s="79"/>
      <c r="AU69" s="78"/>
      <c r="AV69" s="79"/>
      <c r="AW69" s="79"/>
      <c r="AX69" s="78">
        <v>2500000</v>
      </c>
      <c r="AY69" s="79">
        <v>378175867</v>
      </c>
      <c r="AZ69" s="78"/>
      <c r="BA69" s="79"/>
      <c r="BB69" s="78"/>
      <c r="BC69" s="80"/>
    </row>
    <row r="70" spans="1:55" ht="15.75" customHeight="1">
      <c r="A70" s="68"/>
      <c r="B70" s="73" t="s">
        <v>196</v>
      </c>
      <c r="C70" s="78"/>
      <c r="D70" s="79"/>
      <c r="E70" s="79"/>
      <c r="F70" s="79"/>
      <c r="G70" s="78"/>
      <c r="H70" s="79"/>
      <c r="I70" s="79"/>
      <c r="J70" s="79"/>
      <c r="K70" s="78"/>
      <c r="L70" s="79"/>
      <c r="M70" s="79"/>
      <c r="N70" s="79"/>
      <c r="O70" s="78"/>
      <c r="P70" s="79"/>
      <c r="Q70" s="79"/>
      <c r="R70" s="79"/>
      <c r="S70" s="78"/>
      <c r="T70" s="79"/>
      <c r="U70" s="79"/>
      <c r="V70" s="79"/>
      <c r="W70" s="78"/>
      <c r="X70" s="79"/>
      <c r="Y70" s="79"/>
      <c r="Z70" s="79"/>
      <c r="AA70" s="78"/>
      <c r="AB70" s="79"/>
      <c r="AC70" s="79"/>
      <c r="AD70" s="79"/>
      <c r="AE70" s="78"/>
      <c r="AF70" s="79"/>
      <c r="AG70" s="79"/>
      <c r="AH70" s="79"/>
      <c r="AI70" s="78"/>
      <c r="AJ70" s="79">
        <v>1000000</v>
      </c>
      <c r="AK70" s="79"/>
      <c r="AL70" s="79"/>
      <c r="AM70" s="78"/>
      <c r="AN70" s="79"/>
      <c r="AO70" s="79"/>
      <c r="AP70" s="79"/>
      <c r="AQ70" s="78"/>
      <c r="AR70" s="79"/>
      <c r="AS70" s="79"/>
      <c r="AT70" s="79"/>
      <c r="AU70" s="78"/>
      <c r="AV70" s="79"/>
      <c r="AW70" s="79"/>
      <c r="AX70" s="78"/>
      <c r="AY70" s="79"/>
      <c r="AZ70" s="78"/>
      <c r="BA70" s="79"/>
      <c r="BB70" s="78"/>
      <c r="BC70" s="80"/>
    </row>
    <row r="71" spans="1:55" ht="15.75" customHeight="1">
      <c r="A71" s="70" t="s">
        <v>284</v>
      </c>
      <c r="B71" s="70" t="s">
        <v>278</v>
      </c>
      <c r="C71" s="75"/>
      <c r="D71" s="76"/>
      <c r="E71" s="76"/>
      <c r="F71" s="76"/>
      <c r="G71" s="75"/>
      <c r="H71" s="76"/>
      <c r="I71" s="76"/>
      <c r="J71" s="76"/>
      <c r="K71" s="75"/>
      <c r="L71" s="76"/>
      <c r="M71" s="76"/>
      <c r="N71" s="76"/>
      <c r="O71" s="75"/>
      <c r="P71" s="76"/>
      <c r="Q71" s="76"/>
      <c r="R71" s="76"/>
      <c r="S71" s="75"/>
      <c r="T71" s="76"/>
      <c r="U71" s="76"/>
      <c r="V71" s="76"/>
      <c r="W71" s="75"/>
      <c r="X71" s="76"/>
      <c r="Y71" s="76"/>
      <c r="Z71" s="76"/>
      <c r="AA71" s="75"/>
      <c r="AB71" s="76"/>
      <c r="AC71" s="76"/>
      <c r="AD71" s="76"/>
      <c r="AE71" s="75"/>
      <c r="AF71" s="76"/>
      <c r="AG71" s="76"/>
      <c r="AH71" s="76"/>
      <c r="AI71" s="75"/>
      <c r="AJ71" s="76"/>
      <c r="AK71" s="76"/>
      <c r="AL71" s="76"/>
      <c r="AM71" s="75"/>
      <c r="AN71" s="76"/>
      <c r="AO71" s="76"/>
      <c r="AP71" s="76"/>
      <c r="AQ71" s="75"/>
      <c r="AR71" s="76"/>
      <c r="AS71" s="76"/>
      <c r="AT71" s="76"/>
      <c r="AU71" s="75"/>
      <c r="AV71" s="76"/>
      <c r="AW71" s="76"/>
      <c r="AX71" s="75"/>
      <c r="AY71" s="76"/>
      <c r="AZ71" s="75">
        <v>3909222</v>
      </c>
      <c r="BA71" s="76">
        <v>200203540</v>
      </c>
      <c r="BB71" s="75"/>
      <c r="BC71" s="77"/>
    </row>
    <row r="72" spans="1:55" ht="15.75" customHeight="1">
      <c r="A72" s="70" t="s">
        <v>103</v>
      </c>
      <c r="B72" s="70" t="s">
        <v>199</v>
      </c>
      <c r="C72" s="75"/>
      <c r="D72" s="76"/>
      <c r="E72" s="76"/>
      <c r="F72" s="76"/>
      <c r="G72" s="75"/>
      <c r="H72" s="76"/>
      <c r="I72" s="76"/>
      <c r="J72" s="76"/>
      <c r="K72" s="75"/>
      <c r="L72" s="76"/>
      <c r="M72" s="76"/>
      <c r="N72" s="76"/>
      <c r="O72" s="75"/>
      <c r="P72" s="76"/>
      <c r="Q72" s="76"/>
      <c r="R72" s="76"/>
      <c r="S72" s="75"/>
      <c r="T72" s="76"/>
      <c r="U72" s="76"/>
      <c r="V72" s="76"/>
      <c r="W72" s="75"/>
      <c r="X72" s="76"/>
      <c r="Y72" s="76"/>
      <c r="Z72" s="76"/>
      <c r="AA72" s="75"/>
      <c r="AB72" s="76"/>
      <c r="AC72" s="76"/>
      <c r="AD72" s="76"/>
      <c r="AE72" s="75"/>
      <c r="AF72" s="76"/>
      <c r="AG72" s="76"/>
      <c r="AH72" s="76"/>
      <c r="AI72" s="75"/>
      <c r="AJ72" s="76">
        <v>500000</v>
      </c>
      <c r="AK72" s="76"/>
      <c r="AL72" s="76"/>
      <c r="AM72" s="75"/>
      <c r="AN72" s="76"/>
      <c r="AO72" s="76"/>
      <c r="AP72" s="76"/>
      <c r="AQ72" s="75"/>
      <c r="AR72" s="76"/>
      <c r="AS72" s="76"/>
      <c r="AT72" s="76"/>
      <c r="AU72" s="75"/>
      <c r="AV72" s="76"/>
      <c r="AW72" s="76"/>
      <c r="AX72" s="75"/>
      <c r="AY72" s="76"/>
      <c r="AZ72" s="75"/>
      <c r="BA72" s="76"/>
      <c r="BB72" s="75"/>
      <c r="BC72" s="77"/>
    </row>
    <row r="73" spans="1:55" ht="15.75" customHeight="1">
      <c r="A73" s="68"/>
      <c r="B73" s="73" t="s">
        <v>102</v>
      </c>
      <c r="C73" s="78"/>
      <c r="D73" s="79"/>
      <c r="E73" s="79"/>
      <c r="F73" s="79"/>
      <c r="G73" s="78"/>
      <c r="H73" s="79"/>
      <c r="I73" s="79"/>
      <c r="J73" s="79"/>
      <c r="K73" s="78"/>
      <c r="L73" s="79"/>
      <c r="M73" s="79"/>
      <c r="N73" s="79"/>
      <c r="O73" s="78"/>
      <c r="P73" s="79"/>
      <c r="Q73" s="79"/>
      <c r="R73" s="79"/>
      <c r="S73" s="78"/>
      <c r="T73" s="79"/>
      <c r="U73" s="79"/>
      <c r="V73" s="79"/>
      <c r="W73" s="78"/>
      <c r="X73" s="79"/>
      <c r="Y73" s="79">
        <v>38458738</v>
      </c>
      <c r="Z73" s="79">
        <v>23805699</v>
      </c>
      <c r="AA73" s="78"/>
      <c r="AB73" s="79"/>
      <c r="AC73" s="79"/>
      <c r="AD73" s="79"/>
      <c r="AE73" s="78"/>
      <c r="AF73" s="79"/>
      <c r="AG73" s="79"/>
      <c r="AH73" s="79"/>
      <c r="AI73" s="78"/>
      <c r="AJ73" s="79"/>
      <c r="AK73" s="79"/>
      <c r="AL73" s="79"/>
      <c r="AM73" s="78"/>
      <c r="AN73" s="79"/>
      <c r="AO73" s="79"/>
      <c r="AP73" s="79"/>
      <c r="AQ73" s="78"/>
      <c r="AR73" s="79"/>
      <c r="AS73" s="79"/>
      <c r="AT73" s="79"/>
      <c r="AU73" s="78"/>
      <c r="AV73" s="79"/>
      <c r="AW73" s="79"/>
      <c r="AX73" s="78"/>
      <c r="AY73" s="79"/>
      <c r="AZ73" s="78"/>
      <c r="BA73" s="79"/>
      <c r="BB73" s="78"/>
      <c r="BC73" s="80"/>
    </row>
    <row r="74" spans="1:55" ht="15.75" customHeight="1">
      <c r="A74" s="70" t="s">
        <v>89</v>
      </c>
      <c r="B74" s="70" t="s">
        <v>89</v>
      </c>
      <c r="C74" s="75"/>
      <c r="D74" s="76"/>
      <c r="E74" s="76"/>
      <c r="F74" s="76"/>
      <c r="G74" s="75"/>
      <c r="H74" s="76"/>
      <c r="I74" s="76"/>
      <c r="J74" s="76"/>
      <c r="K74" s="75"/>
      <c r="L74" s="76"/>
      <c r="M74" s="76"/>
      <c r="N74" s="76"/>
      <c r="O74" s="75"/>
      <c r="P74" s="76"/>
      <c r="Q74" s="76"/>
      <c r="R74" s="76"/>
      <c r="S74" s="75"/>
      <c r="T74" s="76"/>
      <c r="U74" s="76"/>
      <c r="V74" s="76"/>
      <c r="W74" s="75">
        <v>200245</v>
      </c>
      <c r="X74" s="76"/>
      <c r="Y74" s="76">
        <v>97912181</v>
      </c>
      <c r="Z74" s="76">
        <v>37229017</v>
      </c>
      <c r="AA74" s="75"/>
      <c r="AB74" s="76"/>
      <c r="AC74" s="76"/>
      <c r="AD74" s="76"/>
      <c r="AE74" s="75"/>
      <c r="AF74" s="76"/>
      <c r="AG74" s="76"/>
      <c r="AH74" s="76"/>
      <c r="AI74" s="75"/>
      <c r="AJ74" s="76">
        <v>4440000</v>
      </c>
      <c r="AK74" s="76"/>
      <c r="AL74" s="76"/>
      <c r="AM74" s="75"/>
      <c r="AN74" s="76"/>
      <c r="AO74" s="76"/>
      <c r="AP74" s="76"/>
      <c r="AQ74" s="75"/>
      <c r="AR74" s="76"/>
      <c r="AS74" s="76"/>
      <c r="AT74" s="76"/>
      <c r="AU74" s="75"/>
      <c r="AV74" s="76"/>
      <c r="AW74" s="76"/>
      <c r="AX74" s="75"/>
      <c r="AY74" s="76"/>
      <c r="AZ74" s="75"/>
      <c r="BA74" s="76"/>
      <c r="BB74" s="75"/>
      <c r="BC74" s="77"/>
    </row>
    <row r="75" spans="1:55" ht="15.75" customHeight="1">
      <c r="A75" s="70" t="s">
        <v>115</v>
      </c>
      <c r="B75" s="70" t="s">
        <v>115</v>
      </c>
      <c r="C75" s="75"/>
      <c r="D75" s="76"/>
      <c r="E75" s="76"/>
      <c r="F75" s="76"/>
      <c r="G75" s="75"/>
      <c r="H75" s="76"/>
      <c r="I75" s="76"/>
      <c r="J75" s="76"/>
      <c r="K75" s="75"/>
      <c r="L75" s="76"/>
      <c r="M75" s="76"/>
      <c r="N75" s="76"/>
      <c r="O75" s="75"/>
      <c r="P75" s="76"/>
      <c r="Q75" s="76"/>
      <c r="R75" s="76"/>
      <c r="S75" s="75"/>
      <c r="T75" s="76"/>
      <c r="U75" s="76"/>
      <c r="V75" s="76"/>
      <c r="W75" s="75"/>
      <c r="X75" s="76">
        <v>5131302</v>
      </c>
      <c r="Y75" s="76">
        <v>873500000</v>
      </c>
      <c r="Z75" s="76">
        <v>225000000</v>
      </c>
      <c r="AA75" s="75"/>
      <c r="AB75" s="76"/>
      <c r="AC75" s="76"/>
      <c r="AD75" s="76"/>
      <c r="AE75" s="75"/>
      <c r="AF75" s="76"/>
      <c r="AG75" s="76"/>
      <c r="AH75" s="76"/>
      <c r="AI75" s="75"/>
      <c r="AJ75" s="76">
        <v>1823000</v>
      </c>
      <c r="AK75" s="76"/>
      <c r="AL75" s="76">
        <v>97800000</v>
      </c>
      <c r="AM75" s="75"/>
      <c r="AN75" s="76"/>
      <c r="AO75" s="76"/>
      <c r="AP75" s="76"/>
      <c r="AQ75" s="75"/>
      <c r="AR75" s="76"/>
      <c r="AS75" s="76">
        <v>110000000</v>
      </c>
      <c r="AT75" s="76"/>
      <c r="AU75" s="75">
        <v>1250662</v>
      </c>
      <c r="AV75" s="76"/>
      <c r="AW75" s="76"/>
      <c r="AX75" s="75">
        <v>803587</v>
      </c>
      <c r="AY75" s="76">
        <v>113799273</v>
      </c>
      <c r="AZ75" s="75">
        <v>883937</v>
      </c>
      <c r="BA75" s="76">
        <v>37731860</v>
      </c>
      <c r="BB75" s="75">
        <v>250000</v>
      </c>
      <c r="BC75" s="77">
        <v>33667840</v>
      </c>
    </row>
    <row r="76" spans="1:55" ht="15.75" customHeight="1">
      <c r="A76" s="68"/>
      <c r="B76" s="73" t="s">
        <v>117</v>
      </c>
      <c r="C76" s="78"/>
      <c r="D76" s="79"/>
      <c r="E76" s="79"/>
      <c r="F76" s="79"/>
      <c r="G76" s="78"/>
      <c r="H76" s="79"/>
      <c r="I76" s="79"/>
      <c r="J76" s="79"/>
      <c r="K76" s="78"/>
      <c r="L76" s="79"/>
      <c r="M76" s="79"/>
      <c r="N76" s="79"/>
      <c r="O76" s="78"/>
      <c r="P76" s="79"/>
      <c r="Q76" s="79"/>
      <c r="R76" s="79"/>
      <c r="S76" s="78"/>
      <c r="T76" s="79"/>
      <c r="U76" s="79"/>
      <c r="V76" s="79"/>
      <c r="W76" s="78"/>
      <c r="X76" s="79"/>
      <c r="Y76" s="79">
        <v>10700000</v>
      </c>
      <c r="Z76" s="79">
        <v>499000</v>
      </c>
      <c r="AA76" s="78"/>
      <c r="AB76" s="79"/>
      <c r="AC76" s="79"/>
      <c r="AD76" s="79"/>
      <c r="AE76" s="78"/>
      <c r="AF76" s="79"/>
      <c r="AG76" s="79"/>
      <c r="AH76" s="79"/>
      <c r="AI76" s="78"/>
      <c r="AJ76" s="79"/>
      <c r="AK76" s="79"/>
      <c r="AL76" s="79"/>
      <c r="AM76" s="78"/>
      <c r="AN76" s="79"/>
      <c r="AO76" s="79"/>
      <c r="AP76" s="79"/>
      <c r="AQ76" s="78"/>
      <c r="AR76" s="79"/>
      <c r="AS76" s="79"/>
      <c r="AT76" s="79"/>
      <c r="AU76" s="78"/>
      <c r="AV76" s="79"/>
      <c r="AW76" s="79"/>
      <c r="AX76" s="78"/>
      <c r="AY76" s="79"/>
      <c r="AZ76" s="78"/>
      <c r="BA76" s="79"/>
      <c r="BB76" s="78"/>
      <c r="BC76" s="80"/>
    </row>
    <row r="77" spans="1:55" ht="15.75" customHeight="1">
      <c r="A77" s="68"/>
      <c r="B77" s="73" t="s">
        <v>118</v>
      </c>
      <c r="C77" s="78"/>
      <c r="D77" s="79"/>
      <c r="E77" s="79"/>
      <c r="F77" s="79"/>
      <c r="G77" s="78"/>
      <c r="H77" s="79"/>
      <c r="I77" s="79"/>
      <c r="J77" s="79"/>
      <c r="K77" s="78"/>
      <c r="L77" s="79"/>
      <c r="M77" s="79"/>
      <c r="N77" s="79"/>
      <c r="O77" s="78"/>
      <c r="P77" s="79"/>
      <c r="Q77" s="79"/>
      <c r="R77" s="79"/>
      <c r="S77" s="78"/>
      <c r="T77" s="79"/>
      <c r="U77" s="79"/>
      <c r="V77" s="79"/>
      <c r="W77" s="78"/>
      <c r="X77" s="79"/>
      <c r="Y77" s="79">
        <v>336182831</v>
      </c>
      <c r="Z77" s="79">
        <v>279208324</v>
      </c>
      <c r="AA77" s="78"/>
      <c r="AB77" s="79"/>
      <c r="AC77" s="79"/>
      <c r="AD77" s="79"/>
      <c r="AE77" s="78"/>
      <c r="AF77" s="79"/>
      <c r="AG77" s="79"/>
      <c r="AH77" s="79"/>
      <c r="AI77" s="78"/>
      <c r="AJ77" s="79"/>
      <c r="AK77" s="79"/>
      <c r="AL77" s="79"/>
      <c r="AM77" s="78"/>
      <c r="AN77" s="79"/>
      <c r="AO77" s="79"/>
      <c r="AP77" s="79"/>
      <c r="AQ77" s="78"/>
      <c r="AR77" s="79"/>
      <c r="AS77" s="79"/>
      <c r="AT77" s="79"/>
      <c r="AU77" s="78"/>
      <c r="AV77" s="79"/>
      <c r="AW77" s="79"/>
      <c r="AX77" s="78"/>
      <c r="AY77" s="79"/>
      <c r="AZ77" s="78"/>
      <c r="BA77" s="79"/>
      <c r="BB77" s="78"/>
      <c r="BC77" s="80"/>
    </row>
    <row r="78" spans="1:55" ht="15.75" customHeight="1">
      <c r="A78" s="70" t="s">
        <v>105</v>
      </c>
      <c r="B78" s="70" t="s">
        <v>105</v>
      </c>
      <c r="C78" s="75"/>
      <c r="D78" s="76"/>
      <c r="E78" s="76"/>
      <c r="F78" s="76"/>
      <c r="G78" s="75"/>
      <c r="H78" s="76"/>
      <c r="I78" s="76"/>
      <c r="J78" s="76"/>
      <c r="K78" s="75"/>
      <c r="L78" s="76"/>
      <c r="M78" s="76"/>
      <c r="N78" s="76"/>
      <c r="O78" s="75"/>
      <c r="P78" s="76"/>
      <c r="Q78" s="76"/>
      <c r="R78" s="76"/>
      <c r="S78" s="75"/>
      <c r="T78" s="76"/>
      <c r="U78" s="76"/>
      <c r="V78" s="76"/>
      <c r="W78" s="75"/>
      <c r="X78" s="76"/>
      <c r="Y78" s="76">
        <v>32400000</v>
      </c>
      <c r="Z78" s="76"/>
      <c r="AA78" s="75"/>
      <c r="AB78" s="76"/>
      <c r="AC78" s="76"/>
      <c r="AD78" s="76"/>
      <c r="AE78" s="75"/>
      <c r="AF78" s="76"/>
      <c r="AG78" s="76"/>
      <c r="AH78" s="76"/>
      <c r="AI78" s="75"/>
      <c r="AJ78" s="76"/>
      <c r="AK78" s="76"/>
      <c r="AL78" s="76"/>
      <c r="AM78" s="75"/>
      <c r="AN78" s="76">
        <v>890000</v>
      </c>
      <c r="AO78" s="76"/>
      <c r="AP78" s="76">
        <v>29200000</v>
      </c>
      <c r="AQ78" s="75"/>
      <c r="AR78" s="76"/>
      <c r="AS78" s="76"/>
      <c r="AT78" s="76"/>
      <c r="AU78" s="75"/>
      <c r="AV78" s="76"/>
      <c r="AW78" s="76"/>
      <c r="AX78" s="75">
        <v>3300000</v>
      </c>
      <c r="AY78" s="76">
        <v>219267779</v>
      </c>
      <c r="AZ78" s="75">
        <v>3897188</v>
      </c>
      <c r="BA78" s="76">
        <v>214681354</v>
      </c>
      <c r="BB78" s="75">
        <v>2295813</v>
      </c>
      <c r="BC78" s="77">
        <v>162217808</v>
      </c>
    </row>
    <row r="79" spans="1:55" ht="15.75" customHeight="1">
      <c r="A79" s="68"/>
      <c r="B79" s="73" t="s">
        <v>108</v>
      </c>
      <c r="C79" s="78"/>
      <c r="D79" s="79"/>
      <c r="E79" s="79"/>
      <c r="F79" s="79"/>
      <c r="G79" s="78"/>
      <c r="H79" s="79"/>
      <c r="I79" s="79"/>
      <c r="J79" s="79"/>
      <c r="K79" s="78"/>
      <c r="L79" s="79"/>
      <c r="M79" s="79"/>
      <c r="N79" s="79"/>
      <c r="O79" s="78"/>
      <c r="P79" s="79"/>
      <c r="Q79" s="79"/>
      <c r="R79" s="79"/>
      <c r="S79" s="78"/>
      <c r="T79" s="79"/>
      <c r="U79" s="79"/>
      <c r="V79" s="79"/>
      <c r="W79" s="78"/>
      <c r="X79" s="79"/>
      <c r="Y79" s="79">
        <v>20100000</v>
      </c>
      <c r="Z79" s="79">
        <v>13300000</v>
      </c>
      <c r="AA79" s="78"/>
      <c r="AB79" s="79"/>
      <c r="AC79" s="79"/>
      <c r="AD79" s="79"/>
      <c r="AE79" s="78"/>
      <c r="AF79" s="79"/>
      <c r="AG79" s="79"/>
      <c r="AH79" s="79"/>
      <c r="AI79" s="78"/>
      <c r="AJ79" s="79"/>
      <c r="AK79" s="79"/>
      <c r="AL79" s="79"/>
      <c r="AM79" s="78"/>
      <c r="AN79" s="79"/>
      <c r="AO79" s="79"/>
      <c r="AP79" s="79"/>
      <c r="AQ79" s="78"/>
      <c r="AR79" s="79"/>
      <c r="AS79" s="79"/>
      <c r="AT79" s="79"/>
      <c r="AU79" s="78">
        <v>1590000</v>
      </c>
      <c r="AV79" s="79"/>
      <c r="AW79" s="79"/>
      <c r="AX79" s="78"/>
      <c r="AY79" s="79"/>
      <c r="AZ79" s="78"/>
      <c r="BA79" s="79"/>
      <c r="BB79" s="78"/>
      <c r="BC79" s="80"/>
    </row>
    <row r="80" spans="1:55" ht="15.75" customHeight="1">
      <c r="A80" s="70" t="s">
        <v>273</v>
      </c>
      <c r="B80" s="70" t="s">
        <v>273</v>
      </c>
      <c r="C80" s="75"/>
      <c r="D80" s="76"/>
      <c r="E80" s="76"/>
      <c r="F80" s="76"/>
      <c r="G80" s="75"/>
      <c r="H80" s="76"/>
      <c r="I80" s="76"/>
      <c r="J80" s="76"/>
      <c r="K80" s="75"/>
      <c r="L80" s="76"/>
      <c r="M80" s="76"/>
      <c r="N80" s="76"/>
      <c r="O80" s="75"/>
      <c r="P80" s="76"/>
      <c r="Q80" s="76"/>
      <c r="R80" s="76"/>
      <c r="S80" s="75"/>
      <c r="T80" s="76"/>
      <c r="U80" s="76"/>
      <c r="V80" s="76"/>
      <c r="W80" s="75"/>
      <c r="X80" s="76"/>
      <c r="Y80" s="76"/>
      <c r="Z80" s="76"/>
      <c r="AA80" s="75"/>
      <c r="AB80" s="76"/>
      <c r="AC80" s="76"/>
      <c r="AD80" s="76"/>
      <c r="AE80" s="75"/>
      <c r="AF80" s="76"/>
      <c r="AG80" s="76"/>
      <c r="AH80" s="76"/>
      <c r="AI80" s="75"/>
      <c r="AJ80" s="76"/>
      <c r="AK80" s="76"/>
      <c r="AL80" s="76"/>
      <c r="AM80" s="75"/>
      <c r="AN80" s="76"/>
      <c r="AO80" s="76"/>
      <c r="AP80" s="76"/>
      <c r="AQ80" s="75"/>
      <c r="AR80" s="76"/>
      <c r="AS80" s="76"/>
      <c r="AT80" s="76"/>
      <c r="AU80" s="75"/>
      <c r="AV80" s="76"/>
      <c r="AW80" s="76"/>
      <c r="AX80" s="75">
        <v>679919</v>
      </c>
      <c r="AY80" s="76">
        <v>29450000</v>
      </c>
      <c r="AZ80" s="75">
        <v>5858113</v>
      </c>
      <c r="BA80" s="76">
        <v>115945732</v>
      </c>
      <c r="BB80" s="75"/>
      <c r="BC80" s="77"/>
    </row>
    <row r="81" spans="1:55" ht="15.75" customHeight="1">
      <c r="A81" s="70" t="s">
        <v>129</v>
      </c>
      <c r="B81" s="70" t="s">
        <v>129</v>
      </c>
      <c r="C81" s="75"/>
      <c r="D81" s="76"/>
      <c r="E81" s="76"/>
      <c r="F81" s="76"/>
      <c r="G81" s="75"/>
      <c r="H81" s="76"/>
      <c r="I81" s="76"/>
      <c r="J81" s="76"/>
      <c r="K81" s="75"/>
      <c r="L81" s="76"/>
      <c r="M81" s="76"/>
      <c r="N81" s="76"/>
      <c r="O81" s="75"/>
      <c r="P81" s="76"/>
      <c r="Q81" s="76"/>
      <c r="R81" s="76"/>
      <c r="S81" s="75"/>
      <c r="T81" s="76"/>
      <c r="U81" s="76"/>
      <c r="V81" s="76"/>
      <c r="W81" s="75"/>
      <c r="X81" s="76"/>
      <c r="Y81" s="76"/>
      <c r="Z81" s="76"/>
      <c r="AA81" s="75">
        <v>10803226</v>
      </c>
      <c r="AB81" s="76">
        <v>14400000</v>
      </c>
      <c r="AC81" s="76">
        <v>2862288888</v>
      </c>
      <c r="AD81" s="76">
        <v>1217824782</v>
      </c>
      <c r="AE81" s="75"/>
      <c r="AF81" s="76"/>
      <c r="AG81" s="76"/>
      <c r="AH81" s="76"/>
      <c r="AI81" s="75"/>
      <c r="AJ81" s="76"/>
      <c r="AK81" s="76"/>
      <c r="AL81" s="76"/>
      <c r="AM81" s="75"/>
      <c r="AN81" s="76">
        <v>10000000</v>
      </c>
      <c r="AO81" s="76"/>
      <c r="AP81" s="76">
        <v>160000000</v>
      </c>
      <c r="AQ81" s="75"/>
      <c r="AR81" s="76"/>
      <c r="AS81" s="76">
        <v>863600000</v>
      </c>
      <c r="AT81" s="76"/>
      <c r="AU81" s="75">
        <v>5917269</v>
      </c>
      <c r="AV81" s="76"/>
      <c r="AW81" s="76"/>
      <c r="AX81" s="75">
        <v>7522833</v>
      </c>
      <c r="AY81" s="76">
        <v>685734819</v>
      </c>
      <c r="AZ81" s="75">
        <v>8782254</v>
      </c>
      <c r="BA81" s="76">
        <v>751470941</v>
      </c>
      <c r="BB81" s="75">
        <v>7107194</v>
      </c>
      <c r="BC81" s="77">
        <v>701569941</v>
      </c>
    </row>
    <row r="82" spans="1:55" ht="15.75" customHeight="1">
      <c r="A82" s="70" t="s">
        <v>127</v>
      </c>
      <c r="B82" s="70" t="s">
        <v>127</v>
      </c>
      <c r="C82" s="75"/>
      <c r="D82" s="76"/>
      <c r="E82" s="76"/>
      <c r="F82" s="76"/>
      <c r="G82" s="75"/>
      <c r="H82" s="76"/>
      <c r="I82" s="76"/>
      <c r="J82" s="76"/>
      <c r="K82" s="75"/>
      <c r="L82" s="76"/>
      <c r="M82" s="76"/>
      <c r="N82" s="76"/>
      <c r="O82" s="75"/>
      <c r="P82" s="76"/>
      <c r="Q82" s="76"/>
      <c r="R82" s="76"/>
      <c r="S82" s="75"/>
      <c r="T82" s="76"/>
      <c r="U82" s="76"/>
      <c r="V82" s="76"/>
      <c r="W82" s="75">
        <v>1248472</v>
      </c>
      <c r="X82" s="76"/>
      <c r="Y82" s="76">
        <v>290056089</v>
      </c>
      <c r="Z82" s="76">
        <v>183553694</v>
      </c>
      <c r="AA82" s="75"/>
      <c r="AB82" s="76">
        <v>2692000</v>
      </c>
      <c r="AC82" s="76">
        <v>374300000</v>
      </c>
      <c r="AD82" s="76">
        <v>167900000</v>
      </c>
      <c r="AE82" s="75"/>
      <c r="AF82" s="76"/>
      <c r="AG82" s="76"/>
      <c r="AH82" s="76"/>
      <c r="AI82" s="75"/>
      <c r="AJ82" s="76"/>
      <c r="AK82" s="76"/>
      <c r="AL82" s="76"/>
      <c r="AM82" s="75"/>
      <c r="AN82" s="76"/>
      <c r="AO82" s="76"/>
      <c r="AP82" s="76"/>
      <c r="AQ82" s="75"/>
      <c r="AR82" s="76"/>
      <c r="AS82" s="76"/>
      <c r="AT82" s="76"/>
      <c r="AU82" s="75"/>
      <c r="AV82" s="76"/>
      <c r="AW82" s="76"/>
      <c r="AX82" s="75"/>
      <c r="AY82" s="76"/>
      <c r="AZ82" s="75"/>
      <c r="BA82" s="76"/>
      <c r="BB82" s="75"/>
      <c r="BC82" s="77"/>
    </row>
    <row r="83" spans="1:55" ht="15.75" customHeight="1">
      <c r="A83" s="70" t="s">
        <v>120</v>
      </c>
      <c r="B83" s="70" t="s">
        <v>120</v>
      </c>
      <c r="C83" s="75"/>
      <c r="D83" s="76"/>
      <c r="E83" s="76"/>
      <c r="F83" s="76"/>
      <c r="G83" s="75"/>
      <c r="H83" s="76"/>
      <c r="I83" s="76"/>
      <c r="J83" s="76"/>
      <c r="K83" s="75"/>
      <c r="L83" s="76"/>
      <c r="M83" s="76"/>
      <c r="N83" s="76"/>
      <c r="O83" s="75"/>
      <c r="P83" s="76"/>
      <c r="Q83" s="76"/>
      <c r="R83" s="76"/>
      <c r="S83" s="75"/>
      <c r="T83" s="76"/>
      <c r="U83" s="76"/>
      <c r="V83" s="76"/>
      <c r="W83" s="75"/>
      <c r="X83" s="76"/>
      <c r="Y83" s="76"/>
      <c r="Z83" s="76"/>
      <c r="AA83" s="75"/>
      <c r="AB83" s="76"/>
      <c r="AC83" s="76"/>
      <c r="AD83" s="76"/>
      <c r="AE83" s="75"/>
      <c r="AF83" s="76"/>
      <c r="AG83" s="76"/>
      <c r="AH83" s="76"/>
      <c r="AI83" s="75"/>
      <c r="AJ83" s="76"/>
      <c r="AK83" s="76"/>
      <c r="AL83" s="76"/>
      <c r="AM83" s="75"/>
      <c r="AN83" s="76"/>
      <c r="AO83" s="76"/>
      <c r="AP83" s="76"/>
      <c r="AQ83" s="75"/>
      <c r="AR83" s="76"/>
      <c r="AS83" s="76"/>
      <c r="AT83" s="76"/>
      <c r="AU83" s="75"/>
      <c r="AV83" s="76"/>
      <c r="AW83" s="76"/>
      <c r="AX83" s="75"/>
      <c r="AY83" s="76"/>
      <c r="AZ83" s="75">
        <v>213000</v>
      </c>
      <c r="BA83" s="76">
        <v>5154000</v>
      </c>
      <c r="BB83" s="75"/>
      <c r="BC83" s="77"/>
    </row>
    <row r="84" spans="1:55" ht="15.75" customHeight="1">
      <c r="A84" s="68"/>
      <c r="B84" s="73" t="s">
        <v>119</v>
      </c>
      <c r="C84" s="78"/>
      <c r="D84" s="79"/>
      <c r="E84" s="79"/>
      <c r="F84" s="79"/>
      <c r="G84" s="78"/>
      <c r="H84" s="79"/>
      <c r="I84" s="79"/>
      <c r="J84" s="79"/>
      <c r="K84" s="78"/>
      <c r="L84" s="79"/>
      <c r="M84" s="79"/>
      <c r="N84" s="79"/>
      <c r="O84" s="78"/>
      <c r="P84" s="79"/>
      <c r="Q84" s="79"/>
      <c r="R84" s="79"/>
      <c r="S84" s="78"/>
      <c r="T84" s="79"/>
      <c r="U84" s="79"/>
      <c r="V84" s="79"/>
      <c r="W84" s="78"/>
      <c r="X84" s="79"/>
      <c r="Y84" s="79">
        <v>18150794</v>
      </c>
      <c r="Z84" s="79">
        <v>3379194</v>
      </c>
      <c r="AA84" s="78"/>
      <c r="AB84" s="79"/>
      <c r="AC84" s="79"/>
      <c r="AD84" s="79"/>
      <c r="AE84" s="78"/>
      <c r="AF84" s="79"/>
      <c r="AG84" s="79"/>
      <c r="AH84" s="79"/>
      <c r="AI84" s="78"/>
      <c r="AJ84" s="79"/>
      <c r="AK84" s="79"/>
      <c r="AL84" s="79"/>
      <c r="AM84" s="78"/>
      <c r="AN84" s="79"/>
      <c r="AO84" s="79"/>
      <c r="AP84" s="79"/>
      <c r="AQ84" s="78"/>
      <c r="AR84" s="79"/>
      <c r="AS84" s="79"/>
      <c r="AT84" s="79"/>
      <c r="AU84" s="78"/>
      <c r="AV84" s="79"/>
      <c r="AW84" s="79"/>
      <c r="AX84" s="78"/>
      <c r="AY84" s="79"/>
      <c r="AZ84" s="78"/>
      <c r="BA84" s="79"/>
      <c r="BB84" s="78"/>
      <c r="BC84" s="80"/>
    </row>
    <row r="85" spans="1:55" ht="15.75" customHeight="1">
      <c r="A85" s="70" t="s">
        <v>123</v>
      </c>
      <c r="B85" s="70" t="s">
        <v>123</v>
      </c>
      <c r="C85" s="75"/>
      <c r="D85" s="76"/>
      <c r="E85" s="76"/>
      <c r="F85" s="76"/>
      <c r="G85" s="75"/>
      <c r="H85" s="76"/>
      <c r="I85" s="76"/>
      <c r="J85" s="76"/>
      <c r="K85" s="75"/>
      <c r="L85" s="76"/>
      <c r="M85" s="76"/>
      <c r="N85" s="76"/>
      <c r="O85" s="75"/>
      <c r="P85" s="76"/>
      <c r="Q85" s="76"/>
      <c r="R85" s="76"/>
      <c r="S85" s="75"/>
      <c r="T85" s="76"/>
      <c r="U85" s="76"/>
      <c r="V85" s="76"/>
      <c r="W85" s="75"/>
      <c r="X85" s="76"/>
      <c r="Y85" s="76">
        <v>620500000</v>
      </c>
      <c r="Z85" s="76"/>
      <c r="AA85" s="75"/>
      <c r="AB85" s="76"/>
      <c r="AC85" s="76"/>
      <c r="AD85" s="76"/>
      <c r="AE85" s="75"/>
      <c r="AF85" s="76"/>
      <c r="AG85" s="76"/>
      <c r="AH85" s="76"/>
      <c r="AI85" s="75"/>
      <c r="AJ85" s="76"/>
      <c r="AK85" s="76"/>
      <c r="AL85" s="76"/>
      <c r="AM85" s="75"/>
      <c r="AN85" s="76">
        <v>2600000</v>
      </c>
      <c r="AO85" s="76"/>
      <c r="AP85" s="76">
        <v>291600000</v>
      </c>
      <c r="AQ85" s="75"/>
      <c r="AR85" s="76"/>
      <c r="AS85" s="76">
        <v>254400000</v>
      </c>
      <c r="AT85" s="76"/>
      <c r="AU85" s="75">
        <v>1326777</v>
      </c>
      <c r="AV85" s="76"/>
      <c r="AW85" s="76"/>
      <c r="AX85" s="75">
        <v>2133310</v>
      </c>
      <c r="AY85" s="76">
        <v>436573657</v>
      </c>
      <c r="AZ85" s="75">
        <v>2986482</v>
      </c>
      <c r="BA85" s="76">
        <v>650921855</v>
      </c>
      <c r="BB85" s="75">
        <v>2252973</v>
      </c>
      <c r="BC85" s="77">
        <v>413420177</v>
      </c>
    </row>
    <row r="86" spans="1:55" ht="15.75" customHeight="1">
      <c r="A86" s="68"/>
      <c r="B86" s="73" t="s">
        <v>126</v>
      </c>
      <c r="C86" s="78"/>
      <c r="D86" s="79"/>
      <c r="E86" s="79"/>
      <c r="F86" s="79"/>
      <c r="G86" s="78"/>
      <c r="H86" s="79"/>
      <c r="I86" s="79"/>
      <c r="J86" s="79"/>
      <c r="K86" s="78"/>
      <c r="L86" s="79"/>
      <c r="M86" s="79"/>
      <c r="N86" s="79"/>
      <c r="O86" s="78"/>
      <c r="P86" s="79"/>
      <c r="Q86" s="79"/>
      <c r="R86" s="79"/>
      <c r="S86" s="78"/>
      <c r="T86" s="79"/>
      <c r="U86" s="79"/>
      <c r="V86" s="79"/>
      <c r="W86" s="78"/>
      <c r="X86" s="79"/>
      <c r="Y86" s="79">
        <v>10200000</v>
      </c>
      <c r="Z86" s="79">
        <v>4600000</v>
      </c>
      <c r="AA86" s="78"/>
      <c r="AB86" s="79"/>
      <c r="AC86" s="79"/>
      <c r="AD86" s="79"/>
      <c r="AE86" s="78"/>
      <c r="AF86" s="79"/>
      <c r="AG86" s="79"/>
      <c r="AH86" s="79"/>
      <c r="AI86" s="78"/>
      <c r="AJ86" s="79"/>
      <c r="AK86" s="79"/>
      <c r="AL86" s="79"/>
      <c r="AM86" s="78"/>
      <c r="AN86" s="79">
        <v>7800000</v>
      </c>
      <c r="AO86" s="79"/>
      <c r="AP86" s="79"/>
      <c r="AQ86" s="78"/>
      <c r="AR86" s="79"/>
      <c r="AS86" s="79"/>
      <c r="AT86" s="79"/>
      <c r="AU86" s="78"/>
      <c r="AV86" s="79"/>
      <c r="AW86" s="79"/>
      <c r="AX86" s="78"/>
      <c r="AY86" s="79"/>
      <c r="AZ86" s="78"/>
      <c r="BA86" s="79"/>
      <c r="BB86" s="78"/>
      <c r="BC86" s="80"/>
    </row>
    <row r="87" spans="1:55" ht="15.75" customHeight="1">
      <c r="A87" s="70" t="s">
        <v>232</v>
      </c>
      <c r="B87" s="70" t="s">
        <v>231</v>
      </c>
      <c r="C87" s="75"/>
      <c r="D87" s="76"/>
      <c r="E87" s="76"/>
      <c r="F87" s="76"/>
      <c r="G87" s="75"/>
      <c r="H87" s="76"/>
      <c r="I87" s="76"/>
      <c r="J87" s="76"/>
      <c r="K87" s="75"/>
      <c r="L87" s="76"/>
      <c r="M87" s="76"/>
      <c r="N87" s="76"/>
      <c r="O87" s="75"/>
      <c r="P87" s="76"/>
      <c r="Q87" s="76"/>
      <c r="R87" s="76"/>
      <c r="S87" s="75"/>
      <c r="T87" s="76"/>
      <c r="U87" s="76"/>
      <c r="V87" s="76"/>
      <c r="W87" s="75"/>
      <c r="X87" s="76"/>
      <c r="Y87" s="76"/>
      <c r="Z87" s="76"/>
      <c r="AA87" s="75"/>
      <c r="AB87" s="76"/>
      <c r="AC87" s="76"/>
      <c r="AD87" s="76"/>
      <c r="AE87" s="75"/>
      <c r="AF87" s="76"/>
      <c r="AG87" s="76"/>
      <c r="AH87" s="76"/>
      <c r="AI87" s="75"/>
      <c r="AJ87" s="76"/>
      <c r="AK87" s="76"/>
      <c r="AL87" s="76"/>
      <c r="AM87" s="75"/>
      <c r="AN87" s="76"/>
      <c r="AO87" s="76">
        <v>27100000</v>
      </c>
      <c r="AP87" s="76">
        <v>4500000</v>
      </c>
      <c r="AQ87" s="75"/>
      <c r="AR87" s="76"/>
      <c r="AS87" s="76"/>
      <c r="AT87" s="76"/>
      <c r="AU87" s="75"/>
      <c r="AV87" s="76"/>
      <c r="AW87" s="76"/>
      <c r="AX87" s="75"/>
      <c r="AY87" s="76"/>
      <c r="AZ87" s="75"/>
      <c r="BA87" s="76"/>
      <c r="BB87" s="75"/>
      <c r="BC87" s="77"/>
    </row>
    <row r="88" spans="1:55" ht="15.75" customHeight="1">
      <c r="A88" s="70" t="s">
        <v>234</v>
      </c>
      <c r="B88" s="70" t="s">
        <v>235</v>
      </c>
      <c r="C88" s="75"/>
      <c r="D88" s="76"/>
      <c r="E88" s="76"/>
      <c r="F88" s="76"/>
      <c r="G88" s="75"/>
      <c r="H88" s="76"/>
      <c r="I88" s="76"/>
      <c r="J88" s="76"/>
      <c r="K88" s="75"/>
      <c r="L88" s="76"/>
      <c r="M88" s="76"/>
      <c r="N88" s="76"/>
      <c r="O88" s="75"/>
      <c r="P88" s="76"/>
      <c r="Q88" s="76"/>
      <c r="R88" s="76"/>
      <c r="S88" s="75"/>
      <c r="T88" s="76"/>
      <c r="U88" s="76"/>
      <c r="V88" s="76"/>
      <c r="W88" s="75"/>
      <c r="X88" s="76"/>
      <c r="Y88" s="76"/>
      <c r="Z88" s="76"/>
      <c r="AA88" s="75"/>
      <c r="AB88" s="76"/>
      <c r="AC88" s="76"/>
      <c r="AD88" s="76"/>
      <c r="AE88" s="75"/>
      <c r="AF88" s="76"/>
      <c r="AG88" s="76"/>
      <c r="AH88" s="76"/>
      <c r="AI88" s="75"/>
      <c r="AJ88" s="76"/>
      <c r="AK88" s="76"/>
      <c r="AL88" s="76"/>
      <c r="AM88" s="75"/>
      <c r="AN88" s="76">
        <v>40600000</v>
      </c>
      <c r="AO88" s="76">
        <v>65000000</v>
      </c>
      <c r="AP88" s="76">
        <v>26100000</v>
      </c>
      <c r="AQ88" s="75"/>
      <c r="AR88" s="76"/>
      <c r="AS88" s="76"/>
      <c r="AT88" s="76"/>
      <c r="AU88" s="75"/>
      <c r="AV88" s="76"/>
      <c r="AW88" s="76"/>
      <c r="AX88" s="75"/>
      <c r="AY88" s="76"/>
      <c r="AZ88" s="75"/>
      <c r="BA88" s="76"/>
      <c r="BB88" s="75"/>
      <c r="BC88" s="77"/>
    </row>
    <row r="89" spans="1:55" ht="15.75" customHeight="1">
      <c r="A89" s="70" t="s">
        <v>136</v>
      </c>
      <c r="B89" s="70" t="s">
        <v>136</v>
      </c>
      <c r="C89" s="75"/>
      <c r="D89" s="76"/>
      <c r="E89" s="76"/>
      <c r="F89" s="76"/>
      <c r="G89" s="75"/>
      <c r="H89" s="76"/>
      <c r="I89" s="76"/>
      <c r="J89" s="76"/>
      <c r="K89" s="75"/>
      <c r="L89" s="76"/>
      <c r="M89" s="76"/>
      <c r="N89" s="76"/>
      <c r="O89" s="75"/>
      <c r="P89" s="76"/>
      <c r="Q89" s="76"/>
      <c r="R89" s="76"/>
      <c r="S89" s="75"/>
      <c r="T89" s="76"/>
      <c r="U89" s="76"/>
      <c r="V89" s="76"/>
      <c r="W89" s="75"/>
      <c r="X89" s="76"/>
      <c r="Y89" s="76"/>
      <c r="Z89" s="76"/>
      <c r="AA89" s="75"/>
      <c r="AB89" s="76">
        <v>3400700</v>
      </c>
      <c r="AC89" s="76">
        <v>1194600000</v>
      </c>
      <c r="AD89" s="76">
        <v>574600000</v>
      </c>
      <c r="AE89" s="75"/>
      <c r="AF89" s="76"/>
      <c r="AG89" s="76"/>
      <c r="AH89" s="76"/>
      <c r="AI89" s="75"/>
      <c r="AJ89" s="76"/>
      <c r="AK89" s="76"/>
      <c r="AL89" s="76"/>
      <c r="AM89" s="75"/>
      <c r="AN89" s="76">
        <v>1901000</v>
      </c>
      <c r="AO89" s="76"/>
      <c r="AP89" s="76">
        <v>172300000</v>
      </c>
      <c r="AQ89" s="75"/>
      <c r="AR89" s="76"/>
      <c r="AS89" s="76">
        <v>491455940</v>
      </c>
      <c r="AT89" s="76"/>
      <c r="AU89" s="75">
        <v>1035782</v>
      </c>
      <c r="AV89" s="76"/>
      <c r="AW89" s="76"/>
      <c r="AX89" s="75">
        <v>14369336</v>
      </c>
      <c r="AY89" s="76">
        <v>825698032</v>
      </c>
      <c r="AZ89" s="75">
        <v>17619805</v>
      </c>
      <c r="BA89" s="76">
        <v>886738899</v>
      </c>
      <c r="BB89" s="75">
        <v>18590021</v>
      </c>
      <c r="BC89" s="77">
        <v>993548103</v>
      </c>
    </row>
    <row r="90" spans="1:55" ht="15.75" customHeight="1">
      <c r="A90" s="68"/>
      <c r="B90" s="73" t="s">
        <v>138</v>
      </c>
      <c r="C90" s="78"/>
      <c r="D90" s="79"/>
      <c r="E90" s="79"/>
      <c r="F90" s="79"/>
      <c r="G90" s="78"/>
      <c r="H90" s="79"/>
      <c r="I90" s="79"/>
      <c r="J90" s="79"/>
      <c r="K90" s="78"/>
      <c r="L90" s="79"/>
      <c r="M90" s="79"/>
      <c r="N90" s="79"/>
      <c r="O90" s="78"/>
      <c r="P90" s="79"/>
      <c r="Q90" s="79"/>
      <c r="R90" s="79"/>
      <c r="S90" s="78"/>
      <c r="T90" s="79"/>
      <c r="U90" s="79"/>
      <c r="V90" s="79"/>
      <c r="W90" s="78"/>
      <c r="X90" s="79"/>
      <c r="Y90" s="79"/>
      <c r="Z90" s="79"/>
      <c r="AA90" s="78"/>
      <c r="AB90" s="79"/>
      <c r="AC90" s="79">
        <v>51297000</v>
      </c>
      <c r="AD90" s="79">
        <v>26977971</v>
      </c>
      <c r="AE90" s="78"/>
      <c r="AF90" s="79"/>
      <c r="AG90" s="79"/>
      <c r="AH90" s="79"/>
      <c r="AI90" s="78"/>
      <c r="AJ90" s="79"/>
      <c r="AK90" s="79"/>
      <c r="AL90" s="79"/>
      <c r="AM90" s="78"/>
      <c r="AN90" s="79"/>
      <c r="AO90" s="79"/>
      <c r="AP90" s="79"/>
      <c r="AQ90" s="78"/>
      <c r="AR90" s="79"/>
      <c r="AS90" s="79"/>
      <c r="AT90" s="79"/>
      <c r="AU90" s="78"/>
      <c r="AV90" s="79"/>
      <c r="AW90" s="79"/>
      <c r="AX90" s="78"/>
      <c r="AY90" s="79"/>
      <c r="AZ90" s="78"/>
      <c r="BA90" s="79"/>
      <c r="BB90" s="78"/>
      <c r="BC90" s="80"/>
    </row>
    <row r="91" spans="1:55" ht="15.75" customHeight="1">
      <c r="A91" s="68"/>
      <c r="B91" s="73" t="s">
        <v>139</v>
      </c>
      <c r="C91" s="78"/>
      <c r="D91" s="79"/>
      <c r="E91" s="79"/>
      <c r="F91" s="79"/>
      <c r="G91" s="78"/>
      <c r="H91" s="79"/>
      <c r="I91" s="79"/>
      <c r="J91" s="79"/>
      <c r="K91" s="78"/>
      <c r="L91" s="79"/>
      <c r="M91" s="79"/>
      <c r="N91" s="79"/>
      <c r="O91" s="78"/>
      <c r="P91" s="79"/>
      <c r="Q91" s="79"/>
      <c r="R91" s="79"/>
      <c r="S91" s="78"/>
      <c r="T91" s="79"/>
      <c r="U91" s="79"/>
      <c r="V91" s="79"/>
      <c r="W91" s="78"/>
      <c r="X91" s="79"/>
      <c r="Y91" s="79"/>
      <c r="Z91" s="79"/>
      <c r="AA91" s="78"/>
      <c r="AB91" s="79"/>
      <c r="AC91" s="79">
        <v>109309173</v>
      </c>
      <c r="AD91" s="79">
        <v>89055457</v>
      </c>
      <c r="AE91" s="78"/>
      <c r="AF91" s="79"/>
      <c r="AG91" s="79"/>
      <c r="AH91" s="79"/>
      <c r="AI91" s="78"/>
      <c r="AJ91" s="79"/>
      <c r="AK91" s="79"/>
      <c r="AL91" s="79"/>
      <c r="AM91" s="78"/>
      <c r="AN91" s="79"/>
      <c r="AO91" s="79"/>
      <c r="AP91" s="79"/>
      <c r="AQ91" s="78"/>
      <c r="AR91" s="79"/>
      <c r="AS91" s="79"/>
      <c r="AT91" s="79"/>
      <c r="AU91" s="78"/>
      <c r="AV91" s="79"/>
      <c r="AW91" s="79"/>
      <c r="AX91" s="78"/>
      <c r="AY91" s="79"/>
      <c r="AZ91" s="78"/>
      <c r="BA91" s="79"/>
      <c r="BB91" s="78"/>
      <c r="BC91" s="80"/>
    </row>
    <row r="92" spans="1:55" ht="15.75" customHeight="1">
      <c r="A92" s="68"/>
      <c r="B92" s="73" t="s">
        <v>276</v>
      </c>
      <c r="C92" s="78"/>
      <c r="D92" s="79"/>
      <c r="E92" s="79"/>
      <c r="F92" s="79"/>
      <c r="G92" s="78"/>
      <c r="H92" s="79"/>
      <c r="I92" s="79"/>
      <c r="J92" s="79"/>
      <c r="K92" s="78"/>
      <c r="L92" s="79"/>
      <c r="M92" s="79"/>
      <c r="N92" s="79"/>
      <c r="O92" s="78"/>
      <c r="P92" s="79"/>
      <c r="Q92" s="79"/>
      <c r="R92" s="79"/>
      <c r="S92" s="78"/>
      <c r="T92" s="79"/>
      <c r="U92" s="79"/>
      <c r="V92" s="79"/>
      <c r="W92" s="78"/>
      <c r="X92" s="79"/>
      <c r="Y92" s="79"/>
      <c r="Z92" s="79"/>
      <c r="AA92" s="78"/>
      <c r="AB92" s="79"/>
      <c r="AC92" s="79"/>
      <c r="AD92" s="79"/>
      <c r="AE92" s="78"/>
      <c r="AF92" s="79"/>
      <c r="AG92" s="79"/>
      <c r="AH92" s="79"/>
      <c r="AI92" s="78"/>
      <c r="AJ92" s="79"/>
      <c r="AK92" s="79"/>
      <c r="AL92" s="79"/>
      <c r="AM92" s="78"/>
      <c r="AN92" s="79"/>
      <c r="AO92" s="79"/>
      <c r="AP92" s="79"/>
      <c r="AQ92" s="78"/>
      <c r="AR92" s="79"/>
      <c r="AS92" s="79"/>
      <c r="AT92" s="79"/>
      <c r="AU92" s="78"/>
      <c r="AV92" s="79"/>
      <c r="AW92" s="79"/>
      <c r="AX92" s="78">
        <v>1459862</v>
      </c>
      <c r="AY92" s="79">
        <v>881030780</v>
      </c>
      <c r="AZ92" s="78">
        <v>1515698</v>
      </c>
      <c r="BA92" s="79">
        <v>875927365</v>
      </c>
      <c r="BB92" s="78">
        <v>1550000</v>
      </c>
      <c r="BC92" s="80">
        <v>872700000</v>
      </c>
    </row>
    <row r="93" spans="1:55" ht="15.75" customHeight="1">
      <c r="A93" s="68"/>
      <c r="B93" s="73" t="s">
        <v>243</v>
      </c>
      <c r="C93" s="78"/>
      <c r="D93" s="79"/>
      <c r="E93" s="79"/>
      <c r="F93" s="79"/>
      <c r="G93" s="78"/>
      <c r="H93" s="79"/>
      <c r="I93" s="79"/>
      <c r="J93" s="79"/>
      <c r="K93" s="78"/>
      <c r="L93" s="79"/>
      <c r="M93" s="79"/>
      <c r="N93" s="79"/>
      <c r="O93" s="78"/>
      <c r="P93" s="79"/>
      <c r="Q93" s="79"/>
      <c r="R93" s="79"/>
      <c r="S93" s="78"/>
      <c r="T93" s="79"/>
      <c r="U93" s="79"/>
      <c r="V93" s="79"/>
      <c r="W93" s="78"/>
      <c r="X93" s="79"/>
      <c r="Y93" s="79"/>
      <c r="Z93" s="79"/>
      <c r="AA93" s="78"/>
      <c r="AB93" s="79"/>
      <c r="AC93" s="79"/>
      <c r="AD93" s="79"/>
      <c r="AE93" s="78"/>
      <c r="AF93" s="79"/>
      <c r="AG93" s="79"/>
      <c r="AH93" s="79"/>
      <c r="AI93" s="78"/>
      <c r="AJ93" s="79"/>
      <c r="AK93" s="79"/>
      <c r="AL93" s="79"/>
      <c r="AM93" s="78"/>
      <c r="AN93" s="79"/>
      <c r="AO93" s="79"/>
      <c r="AP93" s="79"/>
      <c r="AQ93" s="78"/>
      <c r="AR93" s="79"/>
      <c r="AS93" s="79">
        <v>0</v>
      </c>
      <c r="AT93" s="79"/>
      <c r="AU93" s="78">
        <v>1300000</v>
      </c>
      <c r="AV93" s="79"/>
      <c r="AW93" s="79"/>
      <c r="AX93" s="78"/>
      <c r="AY93" s="79"/>
      <c r="AZ93" s="78"/>
      <c r="BA93" s="79"/>
      <c r="BB93" s="78"/>
      <c r="BC93" s="80"/>
    </row>
    <row r="94" spans="1:55" ht="15.75" customHeight="1">
      <c r="A94" s="70" t="s">
        <v>141</v>
      </c>
      <c r="B94" s="70" t="s">
        <v>140</v>
      </c>
      <c r="C94" s="75"/>
      <c r="D94" s="76"/>
      <c r="E94" s="76"/>
      <c r="F94" s="76"/>
      <c r="G94" s="75"/>
      <c r="H94" s="76"/>
      <c r="I94" s="76"/>
      <c r="J94" s="76"/>
      <c r="K94" s="75"/>
      <c r="L94" s="76"/>
      <c r="M94" s="76"/>
      <c r="N94" s="76"/>
      <c r="O94" s="75"/>
      <c r="P94" s="76"/>
      <c r="Q94" s="76"/>
      <c r="R94" s="76"/>
      <c r="S94" s="75"/>
      <c r="T94" s="76"/>
      <c r="U94" s="76"/>
      <c r="V94" s="76"/>
      <c r="W94" s="75"/>
      <c r="X94" s="76"/>
      <c r="Y94" s="76"/>
      <c r="Z94" s="76"/>
      <c r="AA94" s="75"/>
      <c r="AB94" s="76"/>
      <c r="AC94" s="76">
        <v>3798201</v>
      </c>
      <c r="AD94" s="76">
        <v>1682185</v>
      </c>
      <c r="AE94" s="75"/>
      <c r="AF94" s="76"/>
      <c r="AG94" s="76"/>
      <c r="AH94" s="76"/>
      <c r="AI94" s="75"/>
      <c r="AJ94" s="76"/>
      <c r="AK94" s="76"/>
      <c r="AL94" s="76"/>
      <c r="AM94" s="75"/>
      <c r="AN94" s="76"/>
      <c r="AO94" s="76"/>
      <c r="AP94" s="76"/>
      <c r="AQ94" s="75"/>
      <c r="AR94" s="76"/>
      <c r="AS94" s="76"/>
      <c r="AT94" s="76"/>
      <c r="AU94" s="75"/>
      <c r="AV94" s="76"/>
      <c r="AW94" s="76"/>
      <c r="AX94" s="75"/>
      <c r="AY94" s="76"/>
      <c r="AZ94" s="75"/>
      <c r="BA94" s="76"/>
      <c r="BB94" s="75"/>
      <c r="BC94" s="77"/>
    </row>
    <row r="95" spans="1:55" ht="15.75" customHeight="1">
      <c r="A95" s="70" t="s">
        <v>145</v>
      </c>
      <c r="B95" s="70" t="s">
        <v>145</v>
      </c>
      <c r="C95" s="75"/>
      <c r="D95" s="76"/>
      <c r="E95" s="76"/>
      <c r="F95" s="76"/>
      <c r="G95" s="75"/>
      <c r="H95" s="76"/>
      <c r="I95" s="76"/>
      <c r="J95" s="76"/>
      <c r="K95" s="75"/>
      <c r="L95" s="76"/>
      <c r="M95" s="76"/>
      <c r="N95" s="76"/>
      <c r="O95" s="75"/>
      <c r="P95" s="76"/>
      <c r="Q95" s="76"/>
      <c r="R95" s="76"/>
      <c r="S95" s="75"/>
      <c r="T95" s="76"/>
      <c r="U95" s="76"/>
      <c r="V95" s="76"/>
      <c r="W95" s="75"/>
      <c r="X95" s="76"/>
      <c r="Y95" s="76"/>
      <c r="Z95" s="76"/>
      <c r="AA95" s="75"/>
      <c r="AB95" s="76">
        <v>2800000</v>
      </c>
      <c r="AC95" s="76">
        <v>421900000</v>
      </c>
      <c r="AD95" s="76">
        <v>272400000</v>
      </c>
      <c r="AE95" s="75"/>
      <c r="AF95" s="76"/>
      <c r="AG95" s="76"/>
      <c r="AH95" s="76"/>
      <c r="AI95" s="75"/>
      <c r="AJ95" s="76"/>
      <c r="AK95" s="76"/>
      <c r="AL95" s="76"/>
      <c r="AM95" s="75"/>
      <c r="AN95" s="76"/>
      <c r="AO95" s="76"/>
      <c r="AP95" s="76"/>
      <c r="AQ95" s="75"/>
      <c r="AR95" s="76"/>
      <c r="AS95" s="76"/>
      <c r="AT95" s="76"/>
      <c r="AU95" s="75"/>
      <c r="AV95" s="76"/>
      <c r="AW95" s="76"/>
      <c r="AX95" s="75"/>
      <c r="AY95" s="76"/>
      <c r="AZ95" s="75"/>
      <c r="BA95" s="76"/>
      <c r="BB95" s="75"/>
      <c r="BC95" s="77"/>
    </row>
    <row r="96" spans="1:55" ht="15.75" customHeight="1">
      <c r="A96" s="68"/>
      <c r="B96" s="73" t="s">
        <v>265</v>
      </c>
      <c r="C96" s="78"/>
      <c r="D96" s="79"/>
      <c r="E96" s="79"/>
      <c r="F96" s="79"/>
      <c r="G96" s="78"/>
      <c r="H96" s="79"/>
      <c r="I96" s="79"/>
      <c r="J96" s="79"/>
      <c r="K96" s="78"/>
      <c r="L96" s="79"/>
      <c r="M96" s="79"/>
      <c r="N96" s="79"/>
      <c r="O96" s="78"/>
      <c r="P96" s="79"/>
      <c r="Q96" s="79"/>
      <c r="R96" s="79"/>
      <c r="S96" s="78"/>
      <c r="T96" s="79"/>
      <c r="U96" s="79"/>
      <c r="V96" s="79"/>
      <c r="W96" s="78"/>
      <c r="X96" s="79"/>
      <c r="Y96" s="79"/>
      <c r="Z96" s="79"/>
      <c r="AA96" s="78"/>
      <c r="AB96" s="79"/>
      <c r="AC96" s="79"/>
      <c r="AD96" s="79"/>
      <c r="AE96" s="78"/>
      <c r="AF96" s="79"/>
      <c r="AG96" s="79"/>
      <c r="AH96" s="79"/>
      <c r="AI96" s="78"/>
      <c r="AJ96" s="79"/>
      <c r="AK96" s="79"/>
      <c r="AL96" s="79"/>
      <c r="AM96" s="78"/>
      <c r="AN96" s="79"/>
      <c r="AO96" s="79"/>
      <c r="AP96" s="79"/>
      <c r="AQ96" s="78"/>
      <c r="AR96" s="79"/>
      <c r="AS96" s="79"/>
      <c r="AT96" s="79"/>
      <c r="AU96" s="78">
        <v>4900000</v>
      </c>
      <c r="AV96" s="79"/>
      <c r="AW96" s="79"/>
      <c r="AX96" s="78"/>
      <c r="AY96" s="79"/>
      <c r="AZ96" s="78"/>
      <c r="BA96" s="79"/>
      <c r="BB96" s="78"/>
      <c r="BC96" s="80"/>
    </row>
    <row r="97" spans="1:55" ht="15.75" customHeight="1">
      <c r="A97" s="68"/>
      <c r="B97" s="73" t="s">
        <v>148</v>
      </c>
      <c r="C97" s="78"/>
      <c r="D97" s="79"/>
      <c r="E97" s="79"/>
      <c r="F97" s="79"/>
      <c r="G97" s="78"/>
      <c r="H97" s="79"/>
      <c r="I97" s="79"/>
      <c r="J97" s="79"/>
      <c r="K97" s="78"/>
      <c r="L97" s="79"/>
      <c r="M97" s="79"/>
      <c r="N97" s="79"/>
      <c r="O97" s="78"/>
      <c r="P97" s="79"/>
      <c r="Q97" s="79"/>
      <c r="R97" s="79"/>
      <c r="S97" s="78"/>
      <c r="T97" s="79"/>
      <c r="U97" s="79"/>
      <c r="V97" s="79"/>
      <c r="W97" s="78"/>
      <c r="X97" s="79"/>
      <c r="Y97" s="79"/>
      <c r="Z97" s="79"/>
      <c r="AA97" s="78"/>
      <c r="AB97" s="79"/>
      <c r="AC97" s="79">
        <v>125049126</v>
      </c>
      <c r="AD97" s="79">
        <v>70319785</v>
      </c>
      <c r="AE97" s="78"/>
      <c r="AF97" s="79"/>
      <c r="AG97" s="79"/>
      <c r="AH97" s="79"/>
      <c r="AI97" s="78"/>
      <c r="AJ97" s="79"/>
      <c r="AK97" s="79"/>
      <c r="AL97" s="79"/>
      <c r="AM97" s="78"/>
      <c r="AN97" s="79"/>
      <c r="AO97" s="79"/>
      <c r="AP97" s="79"/>
      <c r="AQ97" s="78"/>
      <c r="AR97" s="79"/>
      <c r="AS97" s="79"/>
      <c r="AT97" s="79"/>
      <c r="AU97" s="78"/>
      <c r="AV97" s="79"/>
      <c r="AW97" s="79"/>
      <c r="AX97" s="78"/>
      <c r="AY97" s="79"/>
      <c r="AZ97" s="78"/>
      <c r="BA97" s="79"/>
      <c r="BB97" s="78"/>
      <c r="BC97" s="80"/>
    </row>
    <row r="98" spans="1:55" ht="15.75" customHeight="1">
      <c r="A98" s="70" t="s">
        <v>166</v>
      </c>
      <c r="B98" s="70" t="s">
        <v>165</v>
      </c>
      <c r="C98" s="75"/>
      <c r="D98" s="76"/>
      <c r="E98" s="76"/>
      <c r="F98" s="76"/>
      <c r="G98" s="75"/>
      <c r="H98" s="76"/>
      <c r="I98" s="76"/>
      <c r="J98" s="76"/>
      <c r="K98" s="75"/>
      <c r="L98" s="76"/>
      <c r="M98" s="76"/>
      <c r="N98" s="76"/>
      <c r="O98" s="75"/>
      <c r="P98" s="76"/>
      <c r="Q98" s="76"/>
      <c r="R98" s="76"/>
      <c r="S98" s="75"/>
      <c r="T98" s="76"/>
      <c r="U98" s="76"/>
      <c r="V98" s="76"/>
      <c r="W98" s="75"/>
      <c r="X98" s="76"/>
      <c r="Y98" s="76"/>
      <c r="Z98" s="76"/>
      <c r="AA98" s="75"/>
      <c r="AB98" s="76"/>
      <c r="AC98" s="76"/>
      <c r="AD98" s="76"/>
      <c r="AE98" s="75"/>
      <c r="AF98" s="76"/>
      <c r="AG98" s="76"/>
      <c r="AH98" s="76">
        <v>5357651</v>
      </c>
      <c r="AI98" s="75"/>
      <c r="AJ98" s="76"/>
      <c r="AK98" s="76"/>
      <c r="AL98" s="76"/>
      <c r="AM98" s="75"/>
      <c r="AN98" s="76"/>
      <c r="AO98" s="76"/>
      <c r="AP98" s="76"/>
      <c r="AQ98" s="75"/>
      <c r="AR98" s="76"/>
      <c r="AS98" s="76">
        <v>14840854</v>
      </c>
      <c r="AT98" s="76"/>
      <c r="AU98" s="75"/>
      <c r="AV98" s="76"/>
      <c r="AW98" s="76"/>
      <c r="AX98" s="75"/>
      <c r="AY98" s="76"/>
      <c r="AZ98" s="75"/>
      <c r="BA98" s="76"/>
      <c r="BB98" s="75"/>
      <c r="BC98" s="77"/>
    </row>
    <row r="99" spans="1:55" ht="15.75" customHeight="1">
      <c r="A99" s="70" t="s">
        <v>143</v>
      </c>
      <c r="B99" s="70" t="s">
        <v>143</v>
      </c>
      <c r="C99" s="75"/>
      <c r="D99" s="76"/>
      <c r="E99" s="76"/>
      <c r="F99" s="76"/>
      <c r="G99" s="75"/>
      <c r="H99" s="76"/>
      <c r="I99" s="76"/>
      <c r="J99" s="76"/>
      <c r="K99" s="75"/>
      <c r="L99" s="76"/>
      <c r="M99" s="76"/>
      <c r="N99" s="76"/>
      <c r="O99" s="75"/>
      <c r="P99" s="76"/>
      <c r="Q99" s="76"/>
      <c r="R99" s="76"/>
      <c r="S99" s="75"/>
      <c r="T99" s="76"/>
      <c r="U99" s="76"/>
      <c r="V99" s="76"/>
      <c r="W99" s="75"/>
      <c r="X99" s="76"/>
      <c r="Y99" s="76"/>
      <c r="Z99" s="76"/>
      <c r="AA99" s="75">
        <v>9827000</v>
      </c>
      <c r="AB99" s="76">
        <v>14900000</v>
      </c>
      <c r="AC99" s="76">
        <v>3010945557</v>
      </c>
      <c r="AD99" s="76">
        <v>1555671539</v>
      </c>
      <c r="AE99" s="75"/>
      <c r="AF99" s="76"/>
      <c r="AG99" s="76"/>
      <c r="AH99" s="76"/>
      <c r="AI99" s="75"/>
      <c r="AJ99" s="76"/>
      <c r="AK99" s="76"/>
      <c r="AL99" s="76"/>
      <c r="AM99" s="75"/>
      <c r="AN99" s="76"/>
      <c r="AO99" s="76"/>
      <c r="AP99" s="76"/>
      <c r="AQ99" s="75"/>
      <c r="AR99" s="76">
        <v>6000000</v>
      </c>
      <c r="AS99" s="76">
        <v>873500000</v>
      </c>
      <c r="AT99" s="76">
        <v>221700000</v>
      </c>
      <c r="AU99" s="75">
        <v>3821659</v>
      </c>
      <c r="AV99" s="76"/>
      <c r="AW99" s="76"/>
      <c r="AX99" s="75">
        <v>3654445</v>
      </c>
      <c r="AY99" s="76">
        <v>552598446</v>
      </c>
      <c r="AZ99" s="75">
        <v>4319484</v>
      </c>
      <c r="BA99" s="76">
        <v>583906619</v>
      </c>
      <c r="BB99" s="75">
        <v>4500000</v>
      </c>
      <c r="BC99" s="77">
        <v>662192757</v>
      </c>
    </row>
    <row r="100" spans="1:55" ht="15.75" customHeight="1">
      <c r="A100" s="70" t="s">
        <v>155</v>
      </c>
      <c r="B100" s="70" t="s">
        <v>155</v>
      </c>
      <c r="C100" s="75"/>
      <c r="D100" s="76"/>
      <c r="E100" s="76"/>
      <c r="F100" s="76"/>
      <c r="G100" s="75"/>
      <c r="H100" s="76"/>
      <c r="I100" s="76"/>
      <c r="J100" s="76"/>
      <c r="K100" s="75"/>
      <c r="L100" s="76"/>
      <c r="M100" s="76"/>
      <c r="N100" s="76"/>
      <c r="O100" s="75"/>
      <c r="P100" s="76"/>
      <c r="Q100" s="76"/>
      <c r="R100" s="76"/>
      <c r="S100" s="75"/>
      <c r="T100" s="76"/>
      <c r="U100" s="76"/>
      <c r="V100" s="76"/>
      <c r="W100" s="75"/>
      <c r="X100" s="76"/>
      <c r="Y100" s="76"/>
      <c r="Z100" s="76"/>
      <c r="AA100" s="75"/>
      <c r="AB100" s="76">
        <v>35100000</v>
      </c>
      <c r="AC100" s="76">
        <v>1727900000</v>
      </c>
      <c r="AD100" s="76">
        <v>1002700000</v>
      </c>
      <c r="AE100" s="75"/>
      <c r="AF100" s="76">
        <v>7700000</v>
      </c>
      <c r="AG100" s="76">
        <v>1897700000</v>
      </c>
      <c r="AH100" s="76">
        <v>677900000</v>
      </c>
      <c r="AI100" s="75"/>
      <c r="AJ100" s="76"/>
      <c r="AK100" s="76"/>
      <c r="AL100" s="76"/>
      <c r="AM100" s="75"/>
      <c r="AN100" s="76"/>
      <c r="AO100" s="76"/>
      <c r="AP100" s="76"/>
      <c r="AQ100" s="75"/>
      <c r="AR100" s="76">
        <v>17700000</v>
      </c>
      <c r="AS100" s="76">
        <v>789000000</v>
      </c>
      <c r="AT100" s="76">
        <v>504500000</v>
      </c>
      <c r="AU100" s="75">
        <v>8700000</v>
      </c>
      <c r="AV100" s="76"/>
      <c r="AW100" s="76"/>
      <c r="AX100" s="75">
        <v>8364426</v>
      </c>
      <c r="AY100" s="76">
        <v>1127211641</v>
      </c>
      <c r="AZ100" s="75">
        <v>8300000</v>
      </c>
      <c r="BA100" s="76">
        <v>1311953516</v>
      </c>
      <c r="BB100" s="75">
        <v>7900000</v>
      </c>
      <c r="BC100" s="77">
        <v>860000000</v>
      </c>
    </row>
    <row r="101" spans="1:55" ht="15.75" customHeight="1">
      <c r="A101" s="68"/>
      <c r="B101" s="73" t="s">
        <v>161</v>
      </c>
      <c r="C101" s="78"/>
      <c r="D101" s="79"/>
      <c r="E101" s="79"/>
      <c r="F101" s="79"/>
      <c r="G101" s="78"/>
      <c r="H101" s="79"/>
      <c r="I101" s="79"/>
      <c r="J101" s="79"/>
      <c r="K101" s="78"/>
      <c r="L101" s="79"/>
      <c r="M101" s="79"/>
      <c r="N101" s="79"/>
      <c r="O101" s="78"/>
      <c r="P101" s="79"/>
      <c r="Q101" s="79"/>
      <c r="R101" s="79"/>
      <c r="S101" s="78"/>
      <c r="T101" s="79"/>
      <c r="U101" s="79"/>
      <c r="V101" s="79"/>
      <c r="W101" s="78"/>
      <c r="X101" s="79"/>
      <c r="Y101" s="79"/>
      <c r="Z101" s="79"/>
      <c r="AA101" s="78"/>
      <c r="AB101" s="79"/>
      <c r="AC101" s="79"/>
      <c r="AD101" s="79"/>
      <c r="AE101" s="78"/>
      <c r="AF101" s="79"/>
      <c r="AG101" s="79">
        <v>174400000</v>
      </c>
      <c r="AH101" s="79">
        <v>81300000</v>
      </c>
      <c r="AI101" s="78"/>
      <c r="AJ101" s="79"/>
      <c r="AK101" s="79"/>
      <c r="AL101" s="79"/>
      <c r="AM101" s="78"/>
      <c r="AN101" s="79"/>
      <c r="AO101" s="79"/>
      <c r="AP101" s="79"/>
      <c r="AQ101" s="78"/>
      <c r="AR101" s="79"/>
      <c r="AS101" s="79"/>
      <c r="AT101" s="79"/>
      <c r="AU101" s="78"/>
      <c r="AV101" s="79"/>
      <c r="AW101" s="79"/>
      <c r="AX101" s="78"/>
      <c r="AY101" s="79"/>
      <c r="AZ101" s="78"/>
      <c r="BA101" s="79"/>
      <c r="BB101" s="78"/>
      <c r="BC101" s="80"/>
    </row>
    <row r="102" spans="1:55" ht="15.75" customHeight="1">
      <c r="A102" s="68"/>
      <c r="B102" s="73" t="s">
        <v>162</v>
      </c>
      <c r="C102" s="78"/>
      <c r="D102" s="79"/>
      <c r="E102" s="79"/>
      <c r="F102" s="79"/>
      <c r="G102" s="78"/>
      <c r="H102" s="79"/>
      <c r="I102" s="79"/>
      <c r="J102" s="79"/>
      <c r="K102" s="78"/>
      <c r="L102" s="79"/>
      <c r="M102" s="79"/>
      <c r="N102" s="79"/>
      <c r="O102" s="78"/>
      <c r="P102" s="79"/>
      <c r="Q102" s="79"/>
      <c r="R102" s="79"/>
      <c r="S102" s="78"/>
      <c r="T102" s="79"/>
      <c r="U102" s="79"/>
      <c r="V102" s="79"/>
      <c r="W102" s="78"/>
      <c r="X102" s="79"/>
      <c r="Y102" s="79"/>
      <c r="Z102" s="79"/>
      <c r="AA102" s="78"/>
      <c r="AB102" s="79"/>
      <c r="AC102" s="79"/>
      <c r="AD102" s="79"/>
      <c r="AE102" s="78"/>
      <c r="AF102" s="79"/>
      <c r="AG102" s="79">
        <v>241200000</v>
      </c>
      <c r="AH102" s="79">
        <v>130400000</v>
      </c>
      <c r="AI102" s="78"/>
      <c r="AJ102" s="79"/>
      <c r="AK102" s="79"/>
      <c r="AL102" s="79"/>
      <c r="AM102" s="78"/>
      <c r="AN102" s="79"/>
      <c r="AO102" s="79"/>
      <c r="AP102" s="79"/>
      <c r="AQ102" s="78"/>
      <c r="AR102" s="79"/>
      <c r="AS102" s="79"/>
      <c r="AT102" s="79"/>
      <c r="AU102" s="78"/>
      <c r="AV102" s="79"/>
      <c r="AW102" s="79"/>
      <c r="AX102" s="78"/>
      <c r="AY102" s="79"/>
      <c r="AZ102" s="78"/>
      <c r="BA102" s="79"/>
      <c r="BB102" s="78"/>
      <c r="BC102" s="80"/>
    </row>
    <row r="103" spans="1:55" ht="15.75" customHeight="1">
      <c r="A103" s="68"/>
      <c r="B103" s="73" t="s">
        <v>159</v>
      </c>
      <c r="C103" s="78"/>
      <c r="D103" s="79"/>
      <c r="E103" s="79"/>
      <c r="F103" s="79"/>
      <c r="G103" s="78"/>
      <c r="H103" s="79"/>
      <c r="I103" s="79"/>
      <c r="J103" s="79"/>
      <c r="K103" s="78"/>
      <c r="L103" s="79"/>
      <c r="M103" s="79"/>
      <c r="N103" s="79"/>
      <c r="O103" s="78"/>
      <c r="P103" s="79"/>
      <c r="Q103" s="79"/>
      <c r="R103" s="79"/>
      <c r="S103" s="78"/>
      <c r="T103" s="79"/>
      <c r="U103" s="79"/>
      <c r="V103" s="79"/>
      <c r="W103" s="78"/>
      <c r="X103" s="79"/>
      <c r="Y103" s="79"/>
      <c r="Z103" s="79"/>
      <c r="AA103" s="78"/>
      <c r="AB103" s="79"/>
      <c r="AC103" s="79"/>
      <c r="AD103" s="79"/>
      <c r="AE103" s="78"/>
      <c r="AF103" s="79">
        <v>1293473</v>
      </c>
      <c r="AG103" s="79">
        <v>355400000</v>
      </c>
      <c r="AH103" s="79">
        <v>130500000</v>
      </c>
      <c r="AI103" s="78"/>
      <c r="AJ103" s="79"/>
      <c r="AK103" s="79"/>
      <c r="AL103" s="79"/>
      <c r="AM103" s="78"/>
      <c r="AN103" s="79"/>
      <c r="AO103" s="79"/>
      <c r="AP103" s="79"/>
      <c r="AQ103" s="78"/>
      <c r="AR103" s="79"/>
      <c r="AS103" s="79"/>
      <c r="AT103" s="79"/>
      <c r="AU103" s="78"/>
      <c r="AV103" s="79"/>
      <c r="AW103" s="79"/>
      <c r="AX103" s="78"/>
      <c r="AY103" s="79"/>
      <c r="AZ103" s="78"/>
      <c r="BA103" s="79"/>
      <c r="BB103" s="78"/>
      <c r="BC103" s="80"/>
    </row>
    <row r="104" spans="1:55" ht="15.75" customHeight="1">
      <c r="A104" s="70" t="s">
        <v>163</v>
      </c>
      <c r="B104" s="70" t="s">
        <v>163</v>
      </c>
      <c r="C104" s="75"/>
      <c r="D104" s="76"/>
      <c r="E104" s="76"/>
      <c r="F104" s="76"/>
      <c r="G104" s="75"/>
      <c r="H104" s="76"/>
      <c r="I104" s="76"/>
      <c r="J104" s="76"/>
      <c r="K104" s="75"/>
      <c r="L104" s="76"/>
      <c r="M104" s="76"/>
      <c r="N104" s="76"/>
      <c r="O104" s="75"/>
      <c r="P104" s="76"/>
      <c r="Q104" s="76"/>
      <c r="R104" s="76"/>
      <c r="S104" s="75"/>
      <c r="T104" s="76"/>
      <c r="U104" s="76"/>
      <c r="V104" s="76"/>
      <c r="W104" s="75"/>
      <c r="X104" s="76"/>
      <c r="Y104" s="76"/>
      <c r="Z104" s="76"/>
      <c r="AA104" s="75"/>
      <c r="AB104" s="76"/>
      <c r="AC104" s="76"/>
      <c r="AD104" s="76"/>
      <c r="AE104" s="75">
        <v>6114398</v>
      </c>
      <c r="AF104" s="76">
        <v>10600000</v>
      </c>
      <c r="AG104" s="76">
        <v>5611183444</v>
      </c>
      <c r="AH104" s="76">
        <v>2816675262</v>
      </c>
      <c r="AI104" s="75"/>
      <c r="AJ104" s="76"/>
      <c r="AK104" s="76"/>
      <c r="AL104" s="76"/>
      <c r="AM104" s="75"/>
      <c r="AN104" s="76"/>
      <c r="AO104" s="76"/>
      <c r="AP104" s="76"/>
      <c r="AQ104" s="75"/>
      <c r="AR104" s="76">
        <v>4900000</v>
      </c>
      <c r="AS104" s="76">
        <v>765567330</v>
      </c>
      <c r="AT104" s="76">
        <v>202600000</v>
      </c>
      <c r="AU104" s="75">
        <v>2400000</v>
      </c>
      <c r="AV104" s="76"/>
      <c r="AW104" s="76"/>
      <c r="AX104" s="75">
        <v>2075542</v>
      </c>
      <c r="AY104" s="76">
        <v>509872202</v>
      </c>
      <c r="AZ104" s="75">
        <v>3100000</v>
      </c>
      <c r="BA104" s="76">
        <v>1005827508</v>
      </c>
      <c r="BB104" s="75">
        <v>2700000</v>
      </c>
      <c r="BC104" s="77">
        <v>600000000</v>
      </c>
    </row>
    <row r="105" spans="1:55" ht="15.75" customHeight="1">
      <c r="A105" s="70" t="s">
        <v>168</v>
      </c>
      <c r="B105" s="70" t="s">
        <v>168</v>
      </c>
      <c r="C105" s="75"/>
      <c r="D105" s="76"/>
      <c r="E105" s="76"/>
      <c r="F105" s="76"/>
      <c r="G105" s="75"/>
      <c r="H105" s="76"/>
      <c r="I105" s="76"/>
      <c r="J105" s="76"/>
      <c r="K105" s="75"/>
      <c r="L105" s="76"/>
      <c r="M105" s="76"/>
      <c r="N105" s="76"/>
      <c r="O105" s="75"/>
      <c r="P105" s="76"/>
      <c r="Q105" s="76"/>
      <c r="R105" s="76"/>
      <c r="S105" s="75"/>
      <c r="T105" s="76"/>
      <c r="U105" s="76"/>
      <c r="V105" s="76"/>
      <c r="W105" s="75"/>
      <c r="X105" s="76"/>
      <c r="Y105" s="76"/>
      <c r="Z105" s="76"/>
      <c r="AA105" s="75"/>
      <c r="AB105" s="76"/>
      <c r="AC105" s="76"/>
      <c r="AD105" s="76"/>
      <c r="AE105" s="75"/>
      <c r="AF105" s="76">
        <v>6100000</v>
      </c>
      <c r="AG105" s="76">
        <v>462400000</v>
      </c>
      <c r="AH105" s="76">
        <v>191900000</v>
      </c>
      <c r="AI105" s="75"/>
      <c r="AJ105" s="76"/>
      <c r="AK105" s="76"/>
      <c r="AL105" s="76"/>
      <c r="AM105" s="75"/>
      <c r="AN105" s="76"/>
      <c r="AO105" s="76"/>
      <c r="AP105" s="76"/>
      <c r="AQ105" s="75"/>
      <c r="AR105" s="76">
        <v>6710000</v>
      </c>
      <c r="AS105" s="76">
        <v>0</v>
      </c>
      <c r="AT105" s="76"/>
      <c r="AU105" s="75">
        <v>11000000</v>
      </c>
      <c r="AV105" s="76"/>
      <c r="AW105" s="76"/>
      <c r="AX105" s="75">
        <v>20605258</v>
      </c>
      <c r="AY105" s="76">
        <v>472308627</v>
      </c>
      <c r="AZ105" s="75">
        <v>20605258</v>
      </c>
      <c r="BA105" s="76">
        <v>344007921</v>
      </c>
      <c r="BB105" s="75"/>
      <c r="BC105" s="77"/>
    </row>
    <row r="106" spans="1:55" ht="15.75" customHeight="1">
      <c r="A106" s="68"/>
      <c r="B106" s="73" t="s">
        <v>170</v>
      </c>
      <c r="C106" s="78"/>
      <c r="D106" s="79"/>
      <c r="E106" s="79"/>
      <c r="F106" s="79"/>
      <c r="G106" s="78"/>
      <c r="H106" s="79"/>
      <c r="I106" s="79"/>
      <c r="J106" s="79"/>
      <c r="K106" s="78"/>
      <c r="L106" s="79"/>
      <c r="M106" s="79"/>
      <c r="N106" s="79"/>
      <c r="O106" s="78"/>
      <c r="P106" s="79"/>
      <c r="Q106" s="79"/>
      <c r="R106" s="79"/>
      <c r="S106" s="78"/>
      <c r="T106" s="79"/>
      <c r="U106" s="79"/>
      <c r="V106" s="79"/>
      <c r="W106" s="78"/>
      <c r="X106" s="79"/>
      <c r="Y106" s="79"/>
      <c r="Z106" s="79"/>
      <c r="AA106" s="78"/>
      <c r="AB106" s="79"/>
      <c r="AC106" s="79"/>
      <c r="AD106" s="79"/>
      <c r="AE106" s="78"/>
      <c r="AF106" s="79"/>
      <c r="AG106" s="79">
        <v>440542688</v>
      </c>
      <c r="AH106" s="79">
        <v>77349389</v>
      </c>
      <c r="AI106" s="78"/>
      <c r="AJ106" s="79"/>
      <c r="AK106" s="79"/>
      <c r="AL106" s="79"/>
      <c r="AM106" s="78"/>
      <c r="AN106" s="79"/>
      <c r="AO106" s="79"/>
      <c r="AP106" s="79"/>
      <c r="AQ106" s="78"/>
      <c r="AR106" s="79"/>
      <c r="AS106" s="79"/>
      <c r="AT106" s="79"/>
      <c r="AU106" s="78"/>
      <c r="AV106" s="79"/>
      <c r="AW106" s="79"/>
      <c r="AX106" s="78"/>
      <c r="AY106" s="79"/>
      <c r="AZ106" s="78"/>
      <c r="BA106" s="79"/>
      <c r="BB106" s="78"/>
      <c r="BC106" s="80"/>
    </row>
    <row r="107" spans="1:55" ht="15.75" customHeight="1">
      <c r="A107" s="68"/>
      <c r="B107" s="73" t="s">
        <v>171</v>
      </c>
      <c r="C107" s="78"/>
      <c r="D107" s="79"/>
      <c r="E107" s="79"/>
      <c r="F107" s="79"/>
      <c r="G107" s="78"/>
      <c r="H107" s="79"/>
      <c r="I107" s="79"/>
      <c r="J107" s="79"/>
      <c r="K107" s="78"/>
      <c r="L107" s="79"/>
      <c r="M107" s="79"/>
      <c r="N107" s="79"/>
      <c r="O107" s="78"/>
      <c r="P107" s="79"/>
      <c r="Q107" s="79"/>
      <c r="R107" s="79"/>
      <c r="S107" s="78"/>
      <c r="T107" s="79"/>
      <c r="U107" s="79"/>
      <c r="V107" s="79"/>
      <c r="W107" s="78"/>
      <c r="X107" s="79"/>
      <c r="Y107" s="79"/>
      <c r="Z107" s="79"/>
      <c r="AA107" s="78"/>
      <c r="AB107" s="79"/>
      <c r="AC107" s="79"/>
      <c r="AD107" s="79"/>
      <c r="AE107" s="78"/>
      <c r="AF107" s="79"/>
      <c r="AG107" s="79">
        <v>1963473246</v>
      </c>
      <c r="AH107" s="79">
        <v>1380067231</v>
      </c>
      <c r="AI107" s="78"/>
      <c r="AJ107" s="79"/>
      <c r="AK107" s="79"/>
      <c r="AL107" s="79"/>
      <c r="AM107" s="78"/>
      <c r="AN107" s="79"/>
      <c r="AO107" s="79"/>
      <c r="AP107" s="79"/>
      <c r="AQ107" s="78"/>
      <c r="AR107" s="79"/>
      <c r="AS107" s="79"/>
      <c r="AT107" s="79"/>
      <c r="AU107" s="78"/>
      <c r="AV107" s="79"/>
      <c r="AW107" s="79"/>
      <c r="AX107" s="78"/>
      <c r="AY107" s="79"/>
      <c r="AZ107" s="78"/>
      <c r="BA107" s="79"/>
      <c r="BB107" s="78"/>
      <c r="BC107" s="80"/>
    </row>
    <row r="108" spans="1:55" ht="15.75" customHeight="1">
      <c r="A108" s="68"/>
      <c r="B108" s="73" t="s">
        <v>172</v>
      </c>
      <c r="C108" s="78"/>
      <c r="D108" s="79"/>
      <c r="E108" s="79"/>
      <c r="F108" s="79"/>
      <c r="G108" s="78"/>
      <c r="H108" s="79"/>
      <c r="I108" s="79"/>
      <c r="J108" s="79"/>
      <c r="K108" s="78"/>
      <c r="L108" s="79"/>
      <c r="M108" s="79"/>
      <c r="N108" s="79"/>
      <c r="O108" s="78"/>
      <c r="P108" s="79"/>
      <c r="Q108" s="79"/>
      <c r="R108" s="79"/>
      <c r="S108" s="78"/>
      <c r="T108" s="79"/>
      <c r="U108" s="79"/>
      <c r="V108" s="79"/>
      <c r="W108" s="78"/>
      <c r="X108" s="79"/>
      <c r="Y108" s="79"/>
      <c r="Z108" s="79"/>
      <c r="AA108" s="78"/>
      <c r="AB108" s="79"/>
      <c r="AC108" s="79"/>
      <c r="AD108" s="79"/>
      <c r="AE108" s="78"/>
      <c r="AF108" s="79"/>
      <c r="AG108" s="79">
        <v>661180978</v>
      </c>
      <c r="AH108" s="79">
        <v>332196745</v>
      </c>
      <c r="AI108" s="78"/>
      <c r="AJ108" s="79"/>
      <c r="AK108" s="79"/>
      <c r="AL108" s="79"/>
      <c r="AM108" s="78"/>
      <c r="AN108" s="79"/>
      <c r="AO108" s="79"/>
      <c r="AP108" s="79"/>
      <c r="AQ108" s="78"/>
      <c r="AR108" s="79"/>
      <c r="AS108" s="79"/>
      <c r="AT108" s="79"/>
      <c r="AU108" s="78"/>
      <c r="AV108" s="79"/>
      <c r="AW108" s="79"/>
      <c r="AX108" s="78"/>
      <c r="AY108" s="79"/>
      <c r="AZ108" s="78"/>
      <c r="BA108" s="79"/>
      <c r="BB108" s="78"/>
      <c r="BC108" s="80"/>
    </row>
    <row r="109" spans="1:55" ht="15.75" customHeight="1">
      <c r="A109" s="68"/>
      <c r="B109" s="73" t="s">
        <v>173</v>
      </c>
      <c r="C109" s="78"/>
      <c r="D109" s="79"/>
      <c r="E109" s="79"/>
      <c r="F109" s="79"/>
      <c r="G109" s="78"/>
      <c r="H109" s="79"/>
      <c r="I109" s="79"/>
      <c r="J109" s="79"/>
      <c r="K109" s="78"/>
      <c r="L109" s="79"/>
      <c r="M109" s="79"/>
      <c r="N109" s="79"/>
      <c r="O109" s="78"/>
      <c r="P109" s="79"/>
      <c r="Q109" s="79"/>
      <c r="R109" s="79"/>
      <c r="S109" s="78"/>
      <c r="T109" s="79"/>
      <c r="U109" s="79"/>
      <c r="V109" s="79"/>
      <c r="W109" s="78"/>
      <c r="X109" s="79"/>
      <c r="Y109" s="79"/>
      <c r="Z109" s="79"/>
      <c r="AA109" s="78"/>
      <c r="AB109" s="79"/>
      <c r="AC109" s="79"/>
      <c r="AD109" s="79"/>
      <c r="AE109" s="78"/>
      <c r="AF109" s="79"/>
      <c r="AG109" s="79">
        <v>356759669</v>
      </c>
      <c r="AH109" s="79">
        <v>157097790</v>
      </c>
      <c r="AI109" s="78"/>
      <c r="AJ109" s="79"/>
      <c r="AK109" s="79"/>
      <c r="AL109" s="79"/>
      <c r="AM109" s="78"/>
      <c r="AN109" s="79"/>
      <c r="AO109" s="79"/>
      <c r="AP109" s="79"/>
      <c r="AQ109" s="78"/>
      <c r="AR109" s="79"/>
      <c r="AS109" s="79"/>
      <c r="AT109" s="79"/>
      <c r="AU109" s="78"/>
      <c r="AV109" s="79"/>
      <c r="AW109" s="79"/>
      <c r="AX109" s="78"/>
      <c r="AY109" s="79"/>
      <c r="AZ109" s="78"/>
      <c r="BA109" s="79"/>
      <c r="BB109" s="78"/>
      <c r="BC109" s="80"/>
    </row>
    <row r="110" spans="1:55" ht="15.75" customHeight="1">
      <c r="A110" s="70" t="s">
        <v>150</v>
      </c>
      <c r="B110" s="70" t="s">
        <v>149</v>
      </c>
      <c r="C110" s="75"/>
      <c r="D110" s="76"/>
      <c r="E110" s="76"/>
      <c r="F110" s="76"/>
      <c r="G110" s="75"/>
      <c r="H110" s="76"/>
      <c r="I110" s="76"/>
      <c r="J110" s="76"/>
      <c r="K110" s="75"/>
      <c r="L110" s="76"/>
      <c r="M110" s="76"/>
      <c r="N110" s="76"/>
      <c r="O110" s="75"/>
      <c r="P110" s="76"/>
      <c r="Q110" s="76"/>
      <c r="R110" s="76"/>
      <c r="S110" s="75"/>
      <c r="T110" s="76"/>
      <c r="U110" s="76"/>
      <c r="V110" s="76"/>
      <c r="W110" s="75"/>
      <c r="X110" s="76"/>
      <c r="Y110" s="76"/>
      <c r="Z110" s="76"/>
      <c r="AA110" s="75"/>
      <c r="AB110" s="76"/>
      <c r="AC110" s="76">
        <v>39500000</v>
      </c>
      <c r="AD110" s="76">
        <v>11100000</v>
      </c>
      <c r="AE110" s="75"/>
      <c r="AF110" s="76"/>
      <c r="AG110" s="76"/>
      <c r="AH110" s="76"/>
      <c r="AI110" s="75"/>
      <c r="AJ110" s="76"/>
      <c r="AK110" s="76"/>
      <c r="AL110" s="76"/>
      <c r="AM110" s="75"/>
      <c r="AN110" s="76"/>
      <c r="AO110" s="76"/>
      <c r="AP110" s="76"/>
      <c r="AQ110" s="75"/>
      <c r="AR110" s="76"/>
      <c r="AS110" s="76"/>
      <c r="AT110" s="76"/>
      <c r="AU110" s="75"/>
      <c r="AV110" s="76"/>
      <c r="AW110" s="76"/>
      <c r="AX110" s="75"/>
      <c r="AY110" s="76"/>
      <c r="AZ110" s="75"/>
      <c r="BA110" s="76"/>
      <c r="BB110" s="75"/>
      <c r="BC110" s="77"/>
    </row>
    <row r="111" spans="1:55" ht="15.75" customHeight="1">
      <c r="A111" s="70" t="s">
        <v>174</v>
      </c>
      <c r="B111" s="70" t="s">
        <v>180</v>
      </c>
      <c r="C111" s="75"/>
      <c r="D111" s="76"/>
      <c r="E111" s="76"/>
      <c r="F111" s="76"/>
      <c r="G111" s="75"/>
      <c r="H111" s="76"/>
      <c r="I111" s="76"/>
      <c r="J111" s="76"/>
      <c r="K111" s="75"/>
      <c r="L111" s="76"/>
      <c r="M111" s="76"/>
      <c r="N111" s="76"/>
      <c r="O111" s="75"/>
      <c r="P111" s="76"/>
      <c r="Q111" s="76"/>
      <c r="R111" s="76"/>
      <c r="S111" s="75"/>
      <c r="T111" s="76"/>
      <c r="U111" s="76"/>
      <c r="V111" s="76"/>
      <c r="W111" s="75"/>
      <c r="X111" s="76"/>
      <c r="Y111" s="76"/>
      <c r="Z111" s="76"/>
      <c r="AA111" s="75"/>
      <c r="AB111" s="76"/>
      <c r="AC111" s="76"/>
      <c r="AD111" s="76"/>
      <c r="AE111" s="75"/>
      <c r="AF111" s="76"/>
      <c r="AG111" s="76">
        <v>33258170</v>
      </c>
      <c r="AH111" s="76">
        <v>17950207</v>
      </c>
      <c r="AI111" s="75"/>
      <c r="AJ111" s="76"/>
      <c r="AK111" s="76"/>
      <c r="AL111" s="76"/>
      <c r="AM111" s="75"/>
      <c r="AN111" s="76"/>
      <c r="AO111" s="76"/>
      <c r="AP111" s="76"/>
      <c r="AQ111" s="75"/>
      <c r="AR111" s="76"/>
      <c r="AS111" s="76"/>
      <c r="AT111" s="76"/>
      <c r="AU111" s="75"/>
      <c r="AV111" s="76"/>
      <c r="AW111" s="76"/>
      <c r="AX111" s="75"/>
      <c r="AY111" s="76"/>
      <c r="AZ111" s="75"/>
      <c r="BA111" s="76"/>
      <c r="BB111" s="75"/>
      <c r="BC111" s="77"/>
    </row>
    <row r="112" spans="1:55" ht="15.75" customHeight="1">
      <c r="A112" s="68"/>
      <c r="B112" s="73" t="s">
        <v>174</v>
      </c>
      <c r="C112" s="78"/>
      <c r="D112" s="79"/>
      <c r="E112" s="79"/>
      <c r="F112" s="79"/>
      <c r="G112" s="78"/>
      <c r="H112" s="79"/>
      <c r="I112" s="79"/>
      <c r="J112" s="79"/>
      <c r="K112" s="78"/>
      <c r="L112" s="79"/>
      <c r="M112" s="79"/>
      <c r="N112" s="79"/>
      <c r="O112" s="78"/>
      <c r="P112" s="79"/>
      <c r="Q112" s="79"/>
      <c r="R112" s="79"/>
      <c r="S112" s="78"/>
      <c r="T112" s="79"/>
      <c r="U112" s="79"/>
      <c r="V112" s="79"/>
      <c r="W112" s="78"/>
      <c r="X112" s="79"/>
      <c r="Y112" s="79"/>
      <c r="Z112" s="79"/>
      <c r="AA112" s="78"/>
      <c r="AB112" s="79"/>
      <c r="AC112" s="79"/>
      <c r="AD112" s="79"/>
      <c r="AE112" s="78"/>
      <c r="AF112" s="79">
        <v>199000</v>
      </c>
      <c r="AG112" s="79">
        <v>61000000</v>
      </c>
      <c r="AH112" s="79">
        <v>14000000</v>
      </c>
      <c r="AI112" s="78"/>
      <c r="AJ112" s="79"/>
      <c r="AK112" s="79"/>
      <c r="AL112" s="79"/>
      <c r="AM112" s="78"/>
      <c r="AN112" s="79"/>
      <c r="AO112" s="79"/>
      <c r="AP112" s="79"/>
      <c r="AQ112" s="78"/>
      <c r="AR112" s="79">
        <v>39000000</v>
      </c>
      <c r="AS112" s="79"/>
      <c r="AT112" s="79"/>
      <c r="AU112" s="78"/>
      <c r="AV112" s="79"/>
      <c r="AW112" s="79"/>
      <c r="AX112" s="78">
        <v>2400000</v>
      </c>
      <c r="AY112" s="79">
        <v>168906963</v>
      </c>
      <c r="AZ112" s="78"/>
      <c r="BA112" s="79"/>
      <c r="BB112" s="78"/>
      <c r="BC112" s="80"/>
    </row>
    <row r="113" spans="1:55" ht="15.75" customHeight="1">
      <c r="A113" s="68"/>
      <c r="B113" s="73" t="s">
        <v>176</v>
      </c>
      <c r="C113" s="78"/>
      <c r="D113" s="79"/>
      <c r="E113" s="79"/>
      <c r="F113" s="79"/>
      <c r="G113" s="78"/>
      <c r="H113" s="79"/>
      <c r="I113" s="79"/>
      <c r="J113" s="79"/>
      <c r="K113" s="78"/>
      <c r="L113" s="79"/>
      <c r="M113" s="79"/>
      <c r="N113" s="79"/>
      <c r="O113" s="78"/>
      <c r="P113" s="79"/>
      <c r="Q113" s="79"/>
      <c r="R113" s="79"/>
      <c r="S113" s="78"/>
      <c r="T113" s="79"/>
      <c r="U113" s="79"/>
      <c r="V113" s="79"/>
      <c r="W113" s="78"/>
      <c r="X113" s="79"/>
      <c r="Y113" s="79"/>
      <c r="Z113" s="79"/>
      <c r="AA113" s="78"/>
      <c r="AB113" s="79"/>
      <c r="AC113" s="79"/>
      <c r="AD113" s="79"/>
      <c r="AE113" s="78"/>
      <c r="AF113" s="79">
        <v>3060000</v>
      </c>
      <c r="AG113" s="79">
        <v>788500000</v>
      </c>
      <c r="AH113" s="79">
        <v>475100000</v>
      </c>
      <c r="AI113" s="78"/>
      <c r="AJ113" s="79"/>
      <c r="AK113" s="79"/>
      <c r="AL113" s="79"/>
      <c r="AM113" s="78"/>
      <c r="AN113" s="79"/>
      <c r="AO113" s="79"/>
      <c r="AP113" s="79"/>
      <c r="AQ113" s="78"/>
      <c r="AR113" s="79"/>
      <c r="AS113" s="79"/>
      <c r="AT113" s="79"/>
      <c r="AU113" s="78"/>
      <c r="AV113" s="79"/>
      <c r="AW113" s="79"/>
      <c r="AX113" s="78"/>
      <c r="AY113" s="79"/>
      <c r="AZ113" s="78"/>
      <c r="BA113" s="79"/>
      <c r="BB113" s="78"/>
      <c r="BC113" s="80"/>
    </row>
    <row r="114" spans="1:55" ht="15.75" customHeight="1">
      <c r="A114" s="68"/>
      <c r="B114" s="73" t="s">
        <v>177</v>
      </c>
      <c r="C114" s="78"/>
      <c r="D114" s="79"/>
      <c r="E114" s="79"/>
      <c r="F114" s="79"/>
      <c r="G114" s="78"/>
      <c r="H114" s="79"/>
      <c r="I114" s="79"/>
      <c r="J114" s="79"/>
      <c r="K114" s="78"/>
      <c r="L114" s="79"/>
      <c r="M114" s="79"/>
      <c r="N114" s="79"/>
      <c r="O114" s="78"/>
      <c r="P114" s="79"/>
      <c r="Q114" s="79"/>
      <c r="R114" s="79"/>
      <c r="S114" s="78"/>
      <c r="T114" s="79"/>
      <c r="U114" s="79"/>
      <c r="V114" s="79"/>
      <c r="W114" s="78"/>
      <c r="X114" s="79"/>
      <c r="Y114" s="79"/>
      <c r="Z114" s="79"/>
      <c r="AA114" s="78"/>
      <c r="AB114" s="79"/>
      <c r="AC114" s="79"/>
      <c r="AD114" s="79"/>
      <c r="AE114" s="78">
        <v>600000</v>
      </c>
      <c r="AF114" s="79"/>
      <c r="AG114" s="79">
        <v>51231830</v>
      </c>
      <c r="AH114" s="79">
        <v>35260463</v>
      </c>
      <c r="AI114" s="78"/>
      <c r="AJ114" s="79"/>
      <c r="AK114" s="79"/>
      <c r="AL114" s="79"/>
      <c r="AM114" s="78"/>
      <c r="AN114" s="79"/>
      <c r="AO114" s="79"/>
      <c r="AP114" s="79"/>
      <c r="AQ114" s="78"/>
      <c r="AR114" s="79"/>
      <c r="AS114" s="79"/>
      <c r="AT114" s="79"/>
      <c r="AU114" s="78"/>
      <c r="AV114" s="79"/>
      <c r="AW114" s="79"/>
      <c r="AX114" s="78"/>
      <c r="AY114" s="79"/>
      <c r="AZ114" s="78"/>
      <c r="BA114" s="79"/>
      <c r="BB114" s="78"/>
      <c r="BC114" s="80"/>
    </row>
    <row r="115" spans="1:55" ht="15.75" customHeight="1">
      <c r="A115" s="68"/>
      <c r="B115" s="73" t="s">
        <v>178</v>
      </c>
      <c r="C115" s="78"/>
      <c r="D115" s="79"/>
      <c r="E115" s="79"/>
      <c r="F115" s="79"/>
      <c r="G115" s="78"/>
      <c r="H115" s="79"/>
      <c r="I115" s="79"/>
      <c r="J115" s="79"/>
      <c r="K115" s="78"/>
      <c r="L115" s="79"/>
      <c r="M115" s="79"/>
      <c r="N115" s="79"/>
      <c r="O115" s="78"/>
      <c r="P115" s="79"/>
      <c r="Q115" s="79"/>
      <c r="R115" s="79"/>
      <c r="S115" s="78"/>
      <c r="T115" s="79"/>
      <c r="U115" s="79"/>
      <c r="V115" s="79"/>
      <c r="W115" s="78"/>
      <c r="X115" s="79"/>
      <c r="Y115" s="79"/>
      <c r="Z115" s="79"/>
      <c r="AA115" s="78"/>
      <c r="AB115" s="79"/>
      <c r="AC115" s="79"/>
      <c r="AD115" s="79"/>
      <c r="AE115" s="78">
        <v>500000</v>
      </c>
      <c r="AF115" s="79"/>
      <c r="AG115" s="79">
        <v>95508967</v>
      </c>
      <c r="AH115" s="79">
        <v>53544941</v>
      </c>
      <c r="AI115" s="78"/>
      <c r="AJ115" s="79"/>
      <c r="AK115" s="79"/>
      <c r="AL115" s="79"/>
      <c r="AM115" s="78"/>
      <c r="AN115" s="79"/>
      <c r="AO115" s="79"/>
      <c r="AP115" s="79"/>
      <c r="AQ115" s="78"/>
      <c r="AR115" s="79"/>
      <c r="AS115" s="79"/>
      <c r="AT115" s="79"/>
      <c r="AU115" s="78"/>
      <c r="AV115" s="79"/>
      <c r="AW115" s="79"/>
      <c r="AX115" s="78"/>
      <c r="AY115" s="79"/>
      <c r="AZ115" s="78"/>
      <c r="BA115" s="79"/>
      <c r="BB115" s="78"/>
      <c r="BC115" s="80"/>
    </row>
    <row r="116" spans="1:55" ht="15.75" customHeight="1">
      <c r="A116" s="70" t="s">
        <v>181</v>
      </c>
      <c r="B116" s="70" t="s">
        <v>181</v>
      </c>
      <c r="C116" s="75"/>
      <c r="D116" s="76"/>
      <c r="E116" s="76"/>
      <c r="F116" s="76"/>
      <c r="G116" s="75"/>
      <c r="H116" s="76"/>
      <c r="I116" s="76"/>
      <c r="J116" s="76"/>
      <c r="K116" s="75"/>
      <c r="L116" s="76"/>
      <c r="M116" s="76"/>
      <c r="N116" s="76"/>
      <c r="O116" s="75"/>
      <c r="P116" s="76"/>
      <c r="Q116" s="76"/>
      <c r="R116" s="76"/>
      <c r="S116" s="75"/>
      <c r="T116" s="76"/>
      <c r="U116" s="76"/>
      <c r="V116" s="76"/>
      <c r="W116" s="75"/>
      <c r="X116" s="76"/>
      <c r="Y116" s="76"/>
      <c r="Z116" s="76"/>
      <c r="AA116" s="75"/>
      <c r="AB116" s="76"/>
      <c r="AC116" s="76"/>
      <c r="AD116" s="76"/>
      <c r="AE116" s="75"/>
      <c r="AF116" s="76">
        <v>166000</v>
      </c>
      <c r="AG116" s="76">
        <v>97195017</v>
      </c>
      <c r="AH116" s="76">
        <v>50863227</v>
      </c>
      <c r="AI116" s="75"/>
      <c r="AJ116" s="76"/>
      <c r="AK116" s="76"/>
      <c r="AL116" s="76"/>
      <c r="AM116" s="75"/>
      <c r="AN116" s="76"/>
      <c r="AO116" s="76"/>
      <c r="AP116" s="76"/>
      <c r="AQ116" s="75"/>
      <c r="AR116" s="76"/>
      <c r="AS116" s="76"/>
      <c r="AT116" s="76"/>
      <c r="AU116" s="75"/>
      <c r="AV116" s="76"/>
      <c r="AW116" s="76"/>
      <c r="AX116" s="75"/>
      <c r="AY116" s="76"/>
      <c r="AZ116" s="75"/>
      <c r="BA116" s="76"/>
      <c r="BB116" s="75"/>
      <c r="BC116" s="77"/>
    </row>
    <row r="117" spans="1:55" ht="15.75" customHeight="1">
      <c r="A117" s="68"/>
      <c r="B117" s="73" t="s">
        <v>241</v>
      </c>
      <c r="C117" s="78"/>
      <c r="D117" s="79"/>
      <c r="E117" s="79"/>
      <c r="F117" s="79"/>
      <c r="G117" s="78"/>
      <c r="H117" s="79"/>
      <c r="I117" s="79"/>
      <c r="J117" s="79"/>
      <c r="K117" s="78"/>
      <c r="L117" s="79"/>
      <c r="M117" s="79"/>
      <c r="N117" s="79"/>
      <c r="O117" s="78"/>
      <c r="P117" s="79"/>
      <c r="Q117" s="79"/>
      <c r="R117" s="79"/>
      <c r="S117" s="78"/>
      <c r="T117" s="79"/>
      <c r="U117" s="79"/>
      <c r="V117" s="79"/>
      <c r="W117" s="78"/>
      <c r="X117" s="79"/>
      <c r="Y117" s="79"/>
      <c r="Z117" s="79"/>
      <c r="AA117" s="78"/>
      <c r="AB117" s="79"/>
      <c r="AC117" s="79"/>
      <c r="AD117" s="79"/>
      <c r="AE117" s="78"/>
      <c r="AF117" s="79"/>
      <c r="AG117" s="79"/>
      <c r="AH117" s="79"/>
      <c r="AI117" s="78"/>
      <c r="AJ117" s="79"/>
      <c r="AK117" s="79"/>
      <c r="AL117" s="79"/>
      <c r="AM117" s="78"/>
      <c r="AN117" s="79"/>
      <c r="AO117" s="79"/>
      <c r="AP117" s="79"/>
      <c r="AQ117" s="78"/>
      <c r="AR117" s="79">
        <v>1700000</v>
      </c>
      <c r="AS117" s="79"/>
      <c r="AT117" s="79"/>
      <c r="AU117" s="78"/>
      <c r="AV117" s="79"/>
      <c r="AW117" s="79"/>
      <c r="AX117" s="78"/>
      <c r="AY117" s="79"/>
      <c r="AZ117" s="78"/>
      <c r="BA117" s="79"/>
      <c r="BB117" s="78"/>
      <c r="BC117" s="80"/>
    </row>
    <row r="118" spans="1:55" ht="15.75" customHeight="1">
      <c r="A118" s="70" t="s">
        <v>183</v>
      </c>
      <c r="B118" s="70" t="s">
        <v>183</v>
      </c>
      <c r="C118" s="75"/>
      <c r="D118" s="76"/>
      <c r="E118" s="76"/>
      <c r="F118" s="76"/>
      <c r="G118" s="75"/>
      <c r="H118" s="76"/>
      <c r="I118" s="76"/>
      <c r="J118" s="76"/>
      <c r="K118" s="75"/>
      <c r="L118" s="76"/>
      <c r="M118" s="76"/>
      <c r="N118" s="76"/>
      <c r="O118" s="75"/>
      <c r="P118" s="76"/>
      <c r="Q118" s="76"/>
      <c r="R118" s="76"/>
      <c r="S118" s="75"/>
      <c r="T118" s="76"/>
      <c r="U118" s="76"/>
      <c r="V118" s="76"/>
      <c r="W118" s="75"/>
      <c r="X118" s="76"/>
      <c r="Y118" s="76"/>
      <c r="Z118" s="76"/>
      <c r="AA118" s="75"/>
      <c r="AB118" s="76"/>
      <c r="AC118" s="76"/>
      <c r="AD118" s="76"/>
      <c r="AE118" s="75"/>
      <c r="AF118" s="76">
        <v>9515461</v>
      </c>
      <c r="AG118" s="76">
        <v>175500000</v>
      </c>
      <c r="AH118" s="76">
        <v>47300000</v>
      </c>
      <c r="AI118" s="75"/>
      <c r="AJ118" s="76"/>
      <c r="AK118" s="76"/>
      <c r="AL118" s="76"/>
      <c r="AM118" s="75"/>
      <c r="AN118" s="76"/>
      <c r="AO118" s="76"/>
      <c r="AP118" s="76"/>
      <c r="AQ118" s="75"/>
      <c r="AR118" s="76"/>
      <c r="AS118" s="76"/>
      <c r="AT118" s="76"/>
      <c r="AU118" s="75"/>
      <c r="AV118" s="76"/>
      <c r="AW118" s="76"/>
      <c r="AX118" s="75"/>
      <c r="AY118" s="76"/>
      <c r="AZ118" s="75"/>
      <c r="BA118" s="76"/>
      <c r="BB118" s="75"/>
      <c r="BC118" s="77"/>
    </row>
    <row r="119" spans="1:55" ht="15.75" customHeight="1">
      <c r="A119" s="70" t="s">
        <v>185</v>
      </c>
      <c r="B119" s="70" t="s">
        <v>185</v>
      </c>
      <c r="C119" s="75"/>
      <c r="D119" s="76"/>
      <c r="E119" s="76"/>
      <c r="F119" s="76"/>
      <c r="G119" s="75"/>
      <c r="H119" s="76"/>
      <c r="I119" s="76"/>
      <c r="J119" s="76"/>
      <c r="K119" s="75"/>
      <c r="L119" s="76"/>
      <c r="M119" s="76"/>
      <c r="N119" s="76"/>
      <c r="O119" s="75"/>
      <c r="P119" s="76"/>
      <c r="Q119" s="76"/>
      <c r="R119" s="76"/>
      <c r="S119" s="75"/>
      <c r="T119" s="76"/>
      <c r="U119" s="76"/>
      <c r="V119" s="76"/>
      <c r="W119" s="75"/>
      <c r="X119" s="76"/>
      <c r="Y119" s="76"/>
      <c r="Z119" s="76"/>
      <c r="AA119" s="75"/>
      <c r="AB119" s="76"/>
      <c r="AC119" s="76"/>
      <c r="AD119" s="76"/>
      <c r="AE119" s="75">
        <v>6356404</v>
      </c>
      <c r="AF119" s="76">
        <v>3180000</v>
      </c>
      <c r="AG119" s="76">
        <v>3544912000</v>
      </c>
      <c r="AH119" s="76">
        <v>2426637693</v>
      </c>
      <c r="AI119" s="75">
        <v>3810000</v>
      </c>
      <c r="AJ119" s="76">
        <v>20200000</v>
      </c>
      <c r="AK119" s="76">
        <v>7186261866</v>
      </c>
      <c r="AL119" s="76">
        <v>2973101029</v>
      </c>
      <c r="AM119" s="75"/>
      <c r="AN119" s="76"/>
      <c r="AO119" s="76"/>
      <c r="AP119" s="76"/>
      <c r="AQ119" s="75"/>
      <c r="AR119" s="76">
        <v>9400000</v>
      </c>
      <c r="AS119" s="76">
        <v>1030000000</v>
      </c>
      <c r="AT119" s="76">
        <v>812300000</v>
      </c>
      <c r="AU119" s="75">
        <v>5932722</v>
      </c>
      <c r="AV119" s="76"/>
      <c r="AW119" s="76"/>
      <c r="AX119" s="75">
        <v>7846888</v>
      </c>
      <c r="AY119" s="76">
        <v>2267407090</v>
      </c>
      <c r="AZ119" s="75">
        <v>8250301</v>
      </c>
      <c r="BA119" s="76">
        <v>2599161218</v>
      </c>
      <c r="BB119" s="75">
        <v>6869716</v>
      </c>
      <c r="BC119" s="77">
        <v>1585259297</v>
      </c>
    </row>
    <row r="120" spans="1:55" ht="15.75" customHeight="1">
      <c r="A120" s="70" t="s">
        <v>188</v>
      </c>
      <c r="B120" s="70" t="s">
        <v>187</v>
      </c>
      <c r="C120" s="75"/>
      <c r="D120" s="76"/>
      <c r="E120" s="76"/>
      <c r="F120" s="76"/>
      <c r="G120" s="75"/>
      <c r="H120" s="76"/>
      <c r="I120" s="76"/>
      <c r="J120" s="76"/>
      <c r="K120" s="75"/>
      <c r="L120" s="76"/>
      <c r="M120" s="76"/>
      <c r="N120" s="76"/>
      <c r="O120" s="75"/>
      <c r="P120" s="76"/>
      <c r="Q120" s="76"/>
      <c r="R120" s="76"/>
      <c r="S120" s="75"/>
      <c r="T120" s="76"/>
      <c r="U120" s="76"/>
      <c r="V120" s="76"/>
      <c r="W120" s="75"/>
      <c r="X120" s="76"/>
      <c r="Y120" s="76"/>
      <c r="Z120" s="76"/>
      <c r="AA120" s="75"/>
      <c r="AB120" s="76"/>
      <c r="AC120" s="76"/>
      <c r="AD120" s="76"/>
      <c r="AE120" s="75"/>
      <c r="AF120" s="76"/>
      <c r="AG120" s="76"/>
      <c r="AH120" s="76"/>
      <c r="AI120" s="75"/>
      <c r="AJ120" s="76"/>
      <c r="AK120" s="76">
        <v>619673235</v>
      </c>
      <c r="AL120" s="76">
        <v>379211301</v>
      </c>
      <c r="AM120" s="75"/>
      <c r="AN120" s="76"/>
      <c r="AO120" s="76"/>
      <c r="AP120" s="76"/>
      <c r="AQ120" s="75"/>
      <c r="AR120" s="76"/>
      <c r="AS120" s="76"/>
      <c r="AT120" s="76"/>
      <c r="AU120" s="75"/>
      <c r="AV120" s="76"/>
      <c r="AW120" s="76"/>
      <c r="AX120" s="75"/>
      <c r="AY120" s="76"/>
      <c r="AZ120" s="75"/>
      <c r="BA120" s="76"/>
      <c r="BB120" s="75"/>
      <c r="BC120" s="77"/>
    </row>
    <row r="121" spans="1:55" ht="15.75" customHeight="1">
      <c r="A121" s="68"/>
      <c r="B121" s="73" t="s">
        <v>188</v>
      </c>
      <c r="C121" s="78"/>
      <c r="D121" s="79"/>
      <c r="E121" s="79"/>
      <c r="F121" s="79"/>
      <c r="G121" s="78"/>
      <c r="H121" s="79"/>
      <c r="I121" s="79"/>
      <c r="J121" s="79"/>
      <c r="K121" s="78"/>
      <c r="L121" s="79"/>
      <c r="M121" s="79"/>
      <c r="N121" s="79"/>
      <c r="O121" s="78"/>
      <c r="P121" s="79"/>
      <c r="Q121" s="79"/>
      <c r="R121" s="79"/>
      <c r="S121" s="78"/>
      <c r="T121" s="79"/>
      <c r="U121" s="79"/>
      <c r="V121" s="79"/>
      <c r="W121" s="78"/>
      <c r="X121" s="79"/>
      <c r="Y121" s="79"/>
      <c r="Z121" s="79"/>
      <c r="AA121" s="78"/>
      <c r="AB121" s="79"/>
      <c r="AC121" s="79"/>
      <c r="AD121" s="79"/>
      <c r="AE121" s="78"/>
      <c r="AF121" s="79"/>
      <c r="AG121" s="79"/>
      <c r="AH121" s="79"/>
      <c r="AI121" s="78">
        <v>6587000</v>
      </c>
      <c r="AJ121" s="79">
        <v>31300000</v>
      </c>
      <c r="AK121" s="79">
        <v>11820729643</v>
      </c>
      <c r="AL121" s="79">
        <v>7334393093</v>
      </c>
      <c r="AM121" s="78"/>
      <c r="AN121" s="79"/>
      <c r="AO121" s="79"/>
      <c r="AP121" s="79"/>
      <c r="AQ121" s="78"/>
      <c r="AR121" s="79">
        <v>14700000</v>
      </c>
      <c r="AS121" s="79">
        <v>3040000000</v>
      </c>
      <c r="AT121" s="79">
        <v>1010000000</v>
      </c>
      <c r="AU121" s="78">
        <v>8310533</v>
      </c>
      <c r="AV121" s="79">
        <v>868677970</v>
      </c>
      <c r="AW121" s="79"/>
      <c r="AX121" s="78">
        <v>11433346</v>
      </c>
      <c r="AY121" s="79">
        <v>2572911713</v>
      </c>
      <c r="AZ121" s="78">
        <v>13245100</v>
      </c>
      <c r="BA121" s="79">
        <v>3006120000</v>
      </c>
      <c r="BB121" s="78">
        <v>13619715</v>
      </c>
      <c r="BC121" s="80">
        <v>2770112044</v>
      </c>
    </row>
    <row r="122" spans="1:55" ht="15.75" customHeight="1">
      <c r="A122" s="68"/>
      <c r="B122" s="73" t="s">
        <v>251</v>
      </c>
      <c r="C122" s="78"/>
      <c r="D122" s="79"/>
      <c r="E122" s="79"/>
      <c r="F122" s="79"/>
      <c r="G122" s="78"/>
      <c r="H122" s="79"/>
      <c r="I122" s="79"/>
      <c r="J122" s="79"/>
      <c r="K122" s="78"/>
      <c r="L122" s="79"/>
      <c r="M122" s="79"/>
      <c r="N122" s="79"/>
      <c r="O122" s="78"/>
      <c r="P122" s="79"/>
      <c r="Q122" s="79"/>
      <c r="R122" s="79"/>
      <c r="S122" s="78"/>
      <c r="T122" s="79"/>
      <c r="U122" s="79"/>
      <c r="V122" s="79"/>
      <c r="W122" s="78"/>
      <c r="X122" s="79"/>
      <c r="Y122" s="79"/>
      <c r="Z122" s="79"/>
      <c r="AA122" s="78"/>
      <c r="AB122" s="79"/>
      <c r="AC122" s="79"/>
      <c r="AD122" s="79"/>
      <c r="AE122" s="78"/>
      <c r="AF122" s="79"/>
      <c r="AG122" s="79"/>
      <c r="AH122" s="79"/>
      <c r="AI122" s="78"/>
      <c r="AJ122" s="79"/>
      <c r="AK122" s="79"/>
      <c r="AL122" s="79"/>
      <c r="AM122" s="78"/>
      <c r="AN122" s="79"/>
      <c r="AO122" s="79"/>
      <c r="AP122" s="79"/>
      <c r="AQ122" s="78"/>
      <c r="AR122" s="79"/>
      <c r="AS122" s="79"/>
      <c r="AT122" s="79"/>
      <c r="AU122" s="78">
        <v>4105000</v>
      </c>
      <c r="AV122" s="79"/>
      <c r="AW122" s="79"/>
      <c r="AX122" s="78"/>
      <c r="AY122" s="79"/>
      <c r="AZ122" s="78"/>
      <c r="BA122" s="79"/>
      <c r="BB122" s="78"/>
      <c r="BC122" s="80"/>
    </row>
    <row r="123" spans="1:55" ht="15.75" customHeight="1">
      <c r="A123" s="68"/>
      <c r="B123" s="73" t="s">
        <v>202</v>
      </c>
      <c r="C123" s="78"/>
      <c r="D123" s="79"/>
      <c r="E123" s="79"/>
      <c r="F123" s="79"/>
      <c r="G123" s="78"/>
      <c r="H123" s="79"/>
      <c r="I123" s="79"/>
      <c r="J123" s="79"/>
      <c r="K123" s="78"/>
      <c r="L123" s="79"/>
      <c r="M123" s="79"/>
      <c r="N123" s="79"/>
      <c r="O123" s="78"/>
      <c r="P123" s="79"/>
      <c r="Q123" s="79"/>
      <c r="R123" s="79"/>
      <c r="S123" s="78"/>
      <c r="T123" s="79"/>
      <c r="U123" s="79"/>
      <c r="V123" s="79"/>
      <c r="W123" s="78"/>
      <c r="X123" s="79"/>
      <c r="Y123" s="79"/>
      <c r="Z123" s="79"/>
      <c r="AA123" s="78"/>
      <c r="AB123" s="79"/>
      <c r="AC123" s="79"/>
      <c r="AD123" s="79"/>
      <c r="AE123" s="78"/>
      <c r="AF123" s="79"/>
      <c r="AG123" s="79"/>
      <c r="AH123" s="79"/>
      <c r="AI123" s="78"/>
      <c r="AJ123" s="79"/>
      <c r="AK123" s="79">
        <v>2189900000</v>
      </c>
      <c r="AL123" s="79">
        <v>562600000</v>
      </c>
      <c r="AM123" s="78"/>
      <c r="AN123" s="79"/>
      <c r="AO123" s="79"/>
      <c r="AP123" s="79"/>
      <c r="AQ123" s="78"/>
      <c r="AR123" s="79"/>
      <c r="AS123" s="79"/>
      <c r="AT123" s="79"/>
      <c r="AU123" s="78"/>
      <c r="AV123" s="79"/>
      <c r="AW123" s="79"/>
      <c r="AX123" s="78"/>
      <c r="AY123" s="79"/>
      <c r="AZ123" s="78"/>
      <c r="BA123" s="79"/>
      <c r="BB123" s="78"/>
      <c r="BC123" s="80"/>
    </row>
    <row r="124" spans="1:55" ht="15.75" customHeight="1">
      <c r="A124" s="68"/>
      <c r="B124" s="73" t="s">
        <v>198</v>
      </c>
      <c r="C124" s="78"/>
      <c r="D124" s="79"/>
      <c r="E124" s="79"/>
      <c r="F124" s="79"/>
      <c r="G124" s="78"/>
      <c r="H124" s="79"/>
      <c r="I124" s="79"/>
      <c r="J124" s="79"/>
      <c r="K124" s="78"/>
      <c r="L124" s="79"/>
      <c r="M124" s="79"/>
      <c r="N124" s="79"/>
      <c r="O124" s="78"/>
      <c r="P124" s="79"/>
      <c r="Q124" s="79"/>
      <c r="R124" s="79"/>
      <c r="S124" s="78"/>
      <c r="T124" s="79"/>
      <c r="U124" s="79"/>
      <c r="V124" s="79"/>
      <c r="W124" s="78"/>
      <c r="X124" s="79"/>
      <c r="Y124" s="79"/>
      <c r="Z124" s="79"/>
      <c r="AA124" s="78"/>
      <c r="AB124" s="79"/>
      <c r="AC124" s="79"/>
      <c r="AD124" s="79"/>
      <c r="AE124" s="78"/>
      <c r="AF124" s="79"/>
      <c r="AG124" s="79"/>
      <c r="AH124" s="79"/>
      <c r="AI124" s="78"/>
      <c r="AJ124" s="79"/>
      <c r="AK124" s="79">
        <v>984500000</v>
      </c>
      <c r="AL124" s="79"/>
      <c r="AM124" s="78"/>
      <c r="AN124" s="79"/>
      <c r="AO124" s="79"/>
      <c r="AP124" s="79"/>
      <c r="AQ124" s="78"/>
      <c r="AR124" s="79">
        <v>1500000</v>
      </c>
      <c r="AS124" s="79"/>
      <c r="AT124" s="79">
        <v>348200000</v>
      </c>
      <c r="AU124" s="78"/>
      <c r="AV124" s="79">
        <v>951000000</v>
      </c>
      <c r="AW124" s="79"/>
      <c r="AX124" s="78"/>
      <c r="AY124" s="79"/>
      <c r="AZ124" s="78"/>
      <c r="BA124" s="79"/>
      <c r="BB124" s="78"/>
      <c r="BC124" s="80"/>
    </row>
    <row r="125" spans="1:55" ht="15.75" customHeight="1">
      <c r="A125" s="68"/>
      <c r="B125" s="73" t="s">
        <v>197</v>
      </c>
      <c r="C125" s="78"/>
      <c r="D125" s="79"/>
      <c r="E125" s="79"/>
      <c r="F125" s="79"/>
      <c r="G125" s="78"/>
      <c r="H125" s="79"/>
      <c r="I125" s="79"/>
      <c r="J125" s="79"/>
      <c r="K125" s="78"/>
      <c r="L125" s="79"/>
      <c r="M125" s="79"/>
      <c r="N125" s="79"/>
      <c r="O125" s="78"/>
      <c r="P125" s="79"/>
      <c r="Q125" s="79"/>
      <c r="R125" s="79"/>
      <c r="S125" s="78"/>
      <c r="T125" s="79"/>
      <c r="U125" s="79"/>
      <c r="V125" s="79"/>
      <c r="W125" s="78"/>
      <c r="X125" s="79"/>
      <c r="Y125" s="79"/>
      <c r="Z125" s="79"/>
      <c r="AA125" s="78"/>
      <c r="AB125" s="79"/>
      <c r="AC125" s="79"/>
      <c r="AD125" s="79"/>
      <c r="AE125" s="78"/>
      <c r="AF125" s="79"/>
      <c r="AG125" s="79"/>
      <c r="AH125" s="79"/>
      <c r="AI125" s="78"/>
      <c r="AJ125" s="79">
        <v>2348409</v>
      </c>
      <c r="AK125" s="79">
        <v>2081600000</v>
      </c>
      <c r="AL125" s="79">
        <v>704000000</v>
      </c>
      <c r="AM125" s="78"/>
      <c r="AN125" s="79"/>
      <c r="AO125" s="79"/>
      <c r="AP125" s="79"/>
      <c r="AQ125" s="78"/>
      <c r="AR125" s="79"/>
      <c r="AS125" s="79"/>
      <c r="AT125" s="79"/>
      <c r="AU125" s="78"/>
      <c r="AV125" s="79"/>
      <c r="AW125" s="79"/>
      <c r="AX125" s="78"/>
      <c r="AY125" s="79"/>
      <c r="AZ125" s="78"/>
      <c r="BA125" s="79"/>
      <c r="BB125" s="78"/>
      <c r="BC125" s="80"/>
    </row>
    <row r="126" spans="1:55" ht="15.75" customHeight="1">
      <c r="A126" s="68"/>
      <c r="B126" s="73" t="s">
        <v>200</v>
      </c>
      <c r="C126" s="78"/>
      <c r="D126" s="79"/>
      <c r="E126" s="79"/>
      <c r="F126" s="79"/>
      <c r="G126" s="78"/>
      <c r="H126" s="79"/>
      <c r="I126" s="79"/>
      <c r="J126" s="79"/>
      <c r="K126" s="78"/>
      <c r="L126" s="79"/>
      <c r="M126" s="79"/>
      <c r="N126" s="79"/>
      <c r="O126" s="78"/>
      <c r="P126" s="79"/>
      <c r="Q126" s="79"/>
      <c r="R126" s="79"/>
      <c r="S126" s="78"/>
      <c r="T126" s="79"/>
      <c r="U126" s="79"/>
      <c r="V126" s="79"/>
      <c r="W126" s="78"/>
      <c r="X126" s="79"/>
      <c r="Y126" s="79"/>
      <c r="Z126" s="79"/>
      <c r="AA126" s="78"/>
      <c r="AB126" s="79"/>
      <c r="AC126" s="79"/>
      <c r="AD126" s="79"/>
      <c r="AE126" s="78"/>
      <c r="AF126" s="79"/>
      <c r="AG126" s="79"/>
      <c r="AH126" s="79"/>
      <c r="AI126" s="78"/>
      <c r="AJ126" s="79">
        <v>821000</v>
      </c>
      <c r="AK126" s="79">
        <v>658000000</v>
      </c>
      <c r="AL126" s="79">
        <v>186000000</v>
      </c>
      <c r="AM126" s="78"/>
      <c r="AN126" s="79"/>
      <c r="AO126" s="79"/>
      <c r="AP126" s="79"/>
      <c r="AQ126" s="78"/>
      <c r="AR126" s="79"/>
      <c r="AS126" s="79"/>
      <c r="AT126" s="79"/>
      <c r="AU126" s="78"/>
      <c r="AV126" s="79"/>
      <c r="AW126" s="79"/>
      <c r="AX126" s="78"/>
      <c r="AY126" s="79"/>
      <c r="AZ126" s="78"/>
      <c r="BA126" s="79"/>
      <c r="BB126" s="78"/>
      <c r="BC126" s="80"/>
    </row>
    <row r="127" spans="1:55" ht="15.75" customHeight="1">
      <c r="A127" s="68"/>
      <c r="B127" s="73" t="s">
        <v>201</v>
      </c>
      <c r="C127" s="78"/>
      <c r="D127" s="79"/>
      <c r="E127" s="79"/>
      <c r="F127" s="79"/>
      <c r="G127" s="78"/>
      <c r="H127" s="79"/>
      <c r="I127" s="79"/>
      <c r="J127" s="79"/>
      <c r="K127" s="78"/>
      <c r="L127" s="79"/>
      <c r="M127" s="79"/>
      <c r="N127" s="79"/>
      <c r="O127" s="78"/>
      <c r="P127" s="79"/>
      <c r="Q127" s="79"/>
      <c r="R127" s="79"/>
      <c r="S127" s="78"/>
      <c r="T127" s="79"/>
      <c r="U127" s="79"/>
      <c r="V127" s="79"/>
      <c r="W127" s="78"/>
      <c r="X127" s="79"/>
      <c r="Y127" s="79"/>
      <c r="Z127" s="79"/>
      <c r="AA127" s="78"/>
      <c r="AB127" s="79"/>
      <c r="AC127" s="79"/>
      <c r="AD127" s="79"/>
      <c r="AE127" s="78"/>
      <c r="AF127" s="79"/>
      <c r="AG127" s="79"/>
      <c r="AH127" s="79"/>
      <c r="AI127" s="78"/>
      <c r="AJ127" s="79"/>
      <c r="AK127" s="79">
        <v>657700000</v>
      </c>
      <c r="AL127" s="79">
        <v>355600000</v>
      </c>
      <c r="AM127" s="78"/>
      <c r="AN127" s="79"/>
      <c r="AO127" s="79"/>
      <c r="AP127" s="79"/>
      <c r="AQ127" s="78"/>
      <c r="AR127" s="79"/>
      <c r="AS127" s="79"/>
      <c r="AT127" s="79"/>
      <c r="AU127" s="78"/>
      <c r="AV127" s="79"/>
      <c r="AW127" s="79"/>
      <c r="AX127" s="78"/>
      <c r="AY127" s="79"/>
      <c r="AZ127" s="78"/>
      <c r="BA127" s="79"/>
      <c r="BB127" s="78"/>
      <c r="BC127" s="80"/>
    </row>
    <row r="128" spans="1:55" ht="15.75" customHeight="1">
      <c r="A128" s="68"/>
      <c r="B128" s="73" t="s">
        <v>242</v>
      </c>
      <c r="C128" s="78"/>
      <c r="D128" s="79"/>
      <c r="E128" s="79"/>
      <c r="F128" s="79"/>
      <c r="G128" s="78"/>
      <c r="H128" s="79"/>
      <c r="I128" s="79"/>
      <c r="J128" s="79"/>
      <c r="K128" s="78"/>
      <c r="L128" s="79"/>
      <c r="M128" s="79"/>
      <c r="N128" s="79"/>
      <c r="O128" s="78"/>
      <c r="P128" s="79"/>
      <c r="Q128" s="79"/>
      <c r="R128" s="79"/>
      <c r="S128" s="78"/>
      <c r="T128" s="79"/>
      <c r="U128" s="79"/>
      <c r="V128" s="79"/>
      <c r="W128" s="78"/>
      <c r="X128" s="79"/>
      <c r="Y128" s="79"/>
      <c r="Z128" s="79"/>
      <c r="AA128" s="78"/>
      <c r="AB128" s="79"/>
      <c r="AC128" s="79"/>
      <c r="AD128" s="79"/>
      <c r="AE128" s="78"/>
      <c r="AF128" s="79"/>
      <c r="AG128" s="79"/>
      <c r="AH128" s="79"/>
      <c r="AI128" s="78"/>
      <c r="AJ128" s="79"/>
      <c r="AK128" s="79"/>
      <c r="AL128" s="79"/>
      <c r="AM128" s="78"/>
      <c r="AN128" s="79"/>
      <c r="AO128" s="79"/>
      <c r="AP128" s="79"/>
      <c r="AQ128" s="78"/>
      <c r="AR128" s="79">
        <v>1220000</v>
      </c>
      <c r="AS128" s="79"/>
      <c r="AT128" s="79"/>
      <c r="AU128" s="78"/>
      <c r="AV128" s="79"/>
      <c r="AW128" s="79"/>
      <c r="AX128" s="78"/>
      <c r="AY128" s="79"/>
      <c r="AZ128" s="78"/>
      <c r="BA128" s="79"/>
      <c r="BB128" s="78"/>
      <c r="BC128" s="80"/>
    </row>
    <row r="129" spans="1:55" ht="15.75" customHeight="1">
      <c r="A129" s="70" t="s">
        <v>99</v>
      </c>
      <c r="B129" s="70" t="s">
        <v>99</v>
      </c>
      <c r="C129" s="75"/>
      <c r="D129" s="76"/>
      <c r="E129" s="76"/>
      <c r="F129" s="76"/>
      <c r="G129" s="75"/>
      <c r="H129" s="76"/>
      <c r="I129" s="76"/>
      <c r="J129" s="76"/>
      <c r="K129" s="75"/>
      <c r="L129" s="76"/>
      <c r="M129" s="76"/>
      <c r="N129" s="76"/>
      <c r="O129" s="75"/>
      <c r="P129" s="76"/>
      <c r="Q129" s="76"/>
      <c r="R129" s="76"/>
      <c r="S129" s="75"/>
      <c r="T129" s="76"/>
      <c r="U129" s="76"/>
      <c r="V129" s="76"/>
      <c r="W129" s="75"/>
      <c r="X129" s="76"/>
      <c r="Y129" s="76"/>
      <c r="Z129" s="76"/>
      <c r="AA129" s="75"/>
      <c r="AB129" s="76"/>
      <c r="AC129" s="76"/>
      <c r="AD129" s="76"/>
      <c r="AE129" s="75"/>
      <c r="AF129" s="76"/>
      <c r="AG129" s="76"/>
      <c r="AH129" s="76"/>
      <c r="AI129" s="75"/>
      <c r="AJ129" s="76"/>
      <c r="AK129" s="76"/>
      <c r="AL129" s="76"/>
      <c r="AM129" s="75"/>
      <c r="AN129" s="76"/>
      <c r="AO129" s="76"/>
      <c r="AP129" s="76"/>
      <c r="AQ129" s="75"/>
      <c r="AR129" s="76"/>
      <c r="AS129" s="76"/>
      <c r="AT129" s="76"/>
      <c r="AU129" s="75"/>
      <c r="AV129" s="76"/>
      <c r="AW129" s="76"/>
      <c r="AX129" s="75">
        <v>6992137</v>
      </c>
      <c r="AY129" s="76">
        <v>149692653</v>
      </c>
      <c r="AZ129" s="75"/>
      <c r="BA129" s="76"/>
      <c r="BB129" s="75"/>
      <c r="BC129" s="77"/>
    </row>
    <row r="130" spans="1:55" ht="15.75" customHeight="1">
      <c r="A130" s="68"/>
      <c r="B130" s="73" t="s">
        <v>98</v>
      </c>
      <c r="C130" s="78"/>
      <c r="D130" s="79"/>
      <c r="E130" s="79"/>
      <c r="F130" s="79"/>
      <c r="G130" s="78"/>
      <c r="H130" s="79"/>
      <c r="I130" s="79"/>
      <c r="J130" s="79"/>
      <c r="K130" s="78"/>
      <c r="L130" s="79"/>
      <c r="M130" s="79"/>
      <c r="N130" s="79"/>
      <c r="O130" s="78"/>
      <c r="P130" s="79"/>
      <c r="Q130" s="79"/>
      <c r="R130" s="79"/>
      <c r="S130" s="78"/>
      <c r="T130" s="79"/>
      <c r="U130" s="79"/>
      <c r="V130" s="79"/>
      <c r="W130" s="78"/>
      <c r="X130" s="79"/>
      <c r="Y130" s="79">
        <v>289605365</v>
      </c>
      <c r="Z130" s="79">
        <v>153824575</v>
      </c>
      <c r="AA130" s="78"/>
      <c r="AB130" s="79"/>
      <c r="AC130" s="79"/>
      <c r="AD130" s="79"/>
      <c r="AE130" s="78"/>
      <c r="AF130" s="79"/>
      <c r="AG130" s="79"/>
      <c r="AH130" s="79"/>
      <c r="AI130" s="78"/>
      <c r="AJ130" s="79"/>
      <c r="AK130" s="79"/>
      <c r="AL130" s="79"/>
      <c r="AM130" s="78"/>
      <c r="AN130" s="79"/>
      <c r="AO130" s="79"/>
      <c r="AP130" s="79"/>
      <c r="AQ130" s="78"/>
      <c r="AR130" s="79"/>
      <c r="AS130" s="79"/>
      <c r="AT130" s="79"/>
      <c r="AU130" s="78"/>
      <c r="AV130" s="79"/>
      <c r="AW130" s="79"/>
      <c r="AX130" s="78"/>
      <c r="AY130" s="79"/>
      <c r="AZ130" s="78"/>
      <c r="BA130" s="79"/>
      <c r="BB130" s="78"/>
      <c r="BC130" s="80"/>
    </row>
    <row r="131" spans="1:55" ht="15.75" customHeight="1">
      <c r="A131" s="68"/>
      <c r="B131" s="73" t="s">
        <v>227</v>
      </c>
      <c r="C131" s="78"/>
      <c r="D131" s="79"/>
      <c r="E131" s="79"/>
      <c r="F131" s="79"/>
      <c r="G131" s="78"/>
      <c r="H131" s="79"/>
      <c r="I131" s="79"/>
      <c r="J131" s="79"/>
      <c r="K131" s="78"/>
      <c r="L131" s="79"/>
      <c r="M131" s="79"/>
      <c r="N131" s="79"/>
      <c r="O131" s="78"/>
      <c r="P131" s="79"/>
      <c r="Q131" s="79"/>
      <c r="R131" s="79"/>
      <c r="S131" s="78"/>
      <c r="T131" s="79"/>
      <c r="U131" s="79"/>
      <c r="V131" s="79"/>
      <c r="W131" s="78"/>
      <c r="X131" s="79"/>
      <c r="Y131" s="79"/>
      <c r="Z131" s="79"/>
      <c r="AA131" s="78"/>
      <c r="AB131" s="79"/>
      <c r="AC131" s="79"/>
      <c r="AD131" s="79"/>
      <c r="AE131" s="78"/>
      <c r="AF131" s="79"/>
      <c r="AG131" s="79"/>
      <c r="AH131" s="79"/>
      <c r="AI131" s="78"/>
      <c r="AJ131" s="79"/>
      <c r="AK131" s="79"/>
      <c r="AL131" s="79"/>
      <c r="AM131" s="78"/>
      <c r="AN131" s="79"/>
      <c r="AO131" s="79"/>
      <c r="AP131" s="79">
        <v>26626535</v>
      </c>
      <c r="AQ131" s="78"/>
      <c r="AR131" s="79"/>
      <c r="AS131" s="79">
        <v>46358480</v>
      </c>
      <c r="AT131" s="79"/>
      <c r="AU131" s="78"/>
      <c r="AV131" s="79"/>
      <c r="AW131" s="79"/>
      <c r="AX131" s="78"/>
      <c r="AY131" s="79"/>
      <c r="AZ131" s="78"/>
      <c r="BA131" s="79"/>
      <c r="BB131" s="78"/>
      <c r="BC131" s="80"/>
    </row>
    <row r="132" spans="1:55" ht="15.75" customHeight="1">
      <c r="A132" s="68"/>
      <c r="B132" s="73" t="s">
        <v>101</v>
      </c>
      <c r="C132" s="78"/>
      <c r="D132" s="79"/>
      <c r="E132" s="79"/>
      <c r="F132" s="79"/>
      <c r="G132" s="78"/>
      <c r="H132" s="79"/>
      <c r="I132" s="79"/>
      <c r="J132" s="79"/>
      <c r="K132" s="78"/>
      <c r="L132" s="79"/>
      <c r="M132" s="79"/>
      <c r="N132" s="79"/>
      <c r="O132" s="78"/>
      <c r="P132" s="79"/>
      <c r="Q132" s="79"/>
      <c r="R132" s="79"/>
      <c r="S132" s="78"/>
      <c r="T132" s="79"/>
      <c r="U132" s="79"/>
      <c r="V132" s="79"/>
      <c r="W132" s="78"/>
      <c r="X132" s="79"/>
      <c r="Y132" s="79">
        <v>147118508</v>
      </c>
      <c r="Z132" s="79">
        <v>40172849</v>
      </c>
      <c r="AA132" s="78"/>
      <c r="AB132" s="79"/>
      <c r="AC132" s="79"/>
      <c r="AD132" s="79"/>
      <c r="AE132" s="78"/>
      <c r="AF132" s="79"/>
      <c r="AG132" s="79"/>
      <c r="AH132" s="79"/>
      <c r="AI132" s="78"/>
      <c r="AJ132" s="79"/>
      <c r="AK132" s="79"/>
      <c r="AL132" s="79"/>
      <c r="AM132" s="78"/>
      <c r="AN132" s="79"/>
      <c r="AO132" s="79"/>
      <c r="AP132" s="79"/>
      <c r="AQ132" s="78"/>
      <c r="AR132" s="79"/>
      <c r="AS132" s="79">
        <v>289746771</v>
      </c>
      <c r="AT132" s="79">
        <v>99533300</v>
      </c>
      <c r="AU132" s="78"/>
      <c r="AV132" s="79"/>
      <c r="AW132" s="79"/>
      <c r="AX132" s="78"/>
      <c r="AY132" s="79"/>
      <c r="AZ132" s="78"/>
      <c r="BA132" s="79"/>
      <c r="BB132" s="78"/>
      <c r="BC132" s="80"/>
    </row>
    <row r="133" spans="1:55" ht="15.75" customHeight="1">
      <c r="A133" s="70" t="s">
        <v>203</v>
      </c>
      <c r="B133" s="70" t="s">
        <v>203</v>
      </c>
      <c r="C133" s="75"/>
      <c r="D133" s="76"/>
      <c r="E133" s="76"/>
      <c r="F133" s="76"/>
      <c r="G133" s="75"/>
      <c r="H133" s="76"/>
      <c r="I133" s="76"/>
      <c r="J133" s="76"/>
      <c r="K133" s="75"/>
      <c r="L133" s="76"/>
      <c r="M133" s="76"/>
      <c r="N133" s="76"/>
      <c r="O133" s="75"/>
      <c r="P133" s="76"/>
      <c r="Q133" s="76"/>
      <c r="R133" s="76"/>
      <c r="S133" s="75"/>
      <c r="T133" s="76"/>
      <c r="U133" s="76"/>
      <c r="V133" s="76"/>
      <c r="W133" s="75"/>
      <c r="X133" s="76"/>
      <c r="Y133" s="76"/>
      <c r="Z133" s="76"/>
      <c r="AA133" s="75"/>
      <c r="AB133" s="76"/>
      <c r="AC133" s="76"/>
      <c r="AD133" s="76"/>
      <c r="AE133" s="75"/>
      <c r="AF133" s="76"/>
      <c r="AG133" s="76"/>
      <c r="AH133" s="76"/>
      <c r="AI133" s="75">
        <v>15050000</v>
      </c>
      <c r="AJ133" s="76">
        <v>23000000</v>
      </c>
      <c r="AK133" s="76">
        <v>10933977773</v>
      </c>
      <c r="AL133" s="76">
        <v>5667274022</v>
      </c>
      <c r="AM133" s="75"/>
      <c r="AN133" s="76"/>
      <c r="AO133" s="76"/>
      <c r="AP133" s="76"/>
      <c r="AQ133" s="75"/>
      <c r="AR133" s="76">
        <v>17900000</v>
      </c>
      <c r="AS133" s="76"/>
      <c r="AT133" s="76">
        <v>582000000</v>
      </c>
      <c r="AU133" s="75">
        <v>13446501</v>
      </c>
      <c r="AV133" s="76">
        <v>1400000000</v>
      </c>
      <c r="AW133" s="76"/>
      <c r="AX133" s="75">
        <v>14257653</v>
      </c>
      <c r="AY133" s="76">
        <v>1936697740</v>
      </c>
      <c r="AZ133" s="75">
        <v>25261639</v>
      </c>
      <c r="BA133" s="76">
        <v>2782860125</v>
      </c>
      <c r="BB133" s="75">
        <v>28072305</v>
      </c>
      <c r="BC133" s="77">
        <v>2977002338</v>
      </c>
    </row>
    <row r="134" spans="1:55" ht="15.75" customHeight="1">
      <c r="A134" s="70" t="s">
        <v>205</v>
      </c>
      <c r="B134" s="70" t="s">
        <v>205</v>
      </c>
      <c r="C134" s="75"/>
      <c r="D134" s="76"/>
      <c r="E134" s="76"/>
      <c r="F134" s="76"/>
      <c r="G134" s="75"/>
      <c r="H134" s="76"/>
      <c r="I134" s="76"/>
      <c r="J134" s="76"/>
      <c r="K134" s="75"/>
      <c r="L134" s="76"/>
      <c r="M134" s="76"/>
      <c r="N134" s="76"/>
      <c r="O134" s="75"/>
      <c r="P134" s="76"/>
      <c r="Q134" s="76"/>
      <c r="R134" s="76"/>
      <c r="S134" s="75"/>
      <c r="T134" s="76"/>
      <c r="U134" s="76"/>
      <c r="V134" s="76"/>
      <c r="W134" s="75"/>
      <c r="X134" s="76"/>
      <c r="Y134" s="76"/>
      <c r="Z134" s="76"/>
      <c r="AA134" s="75"/>
      <c r="AB134" s="76"/>
      <c r="AC134" s="76"/>
      <c r="AD134" s="76"/>
      <c r="AE134" s="75"/>
      <c r="AF134" s="76"/>
      <c r="AG134" s="76"/>
      <c r="AH134" s="76"/>
      <c r="AI134" s="75"/>
      <c r="AJ134" s="76">
        <v>36500000</v>
      </c>
      <c r="AK134" s="76">
        <v>6550000000</v>
      </c>
      <c r="AL134" s="76">
        <v>3051000000</v>
      </c>
      <c r="AM134" s="75"/>
      <c r="AN134" s="76">
        <v>26500000</v>
      </c>
      <c r="AO134" s="76">
        <v>9550000000</v>
      </c>
      <c r="AP134" s="76">
        <v>2000000000</v>
      </c>
      <c r="AQ134" s="75"/>
      <c r="AR134" s="76">
        <v>22800000</v>
      </c>
      <c r="AS134" s="76"/>
      <c r="AT134" s="76">
        <v>1730000000</v>
      </c>
      <c r="AU134" s="75">
        <v>13000000</v>
      </c>
      <c r="AV134" s="76">
        <v>7500000000</v>
      </c>
      <c r="AW134" s="76"/>
      <c r="AX134" s="75"/>
      <c r="AY134" s="76"/>
      <c r="AZ134" s="75"/>
      <c r="BA134" s="76"/>
      <c r="BB134" s="75"/>
      <c r="BC134" s="77"/>
    </row>
    <row r="135" spans="1:55" ht="15.75" customHeight="1">
      <c r="A135" s="68"/>
      <c r="B135" s="73" t="s">
        <v>214</v>
      </c>
      <c r="C135" s="78"/>
      <c r="D135" s="79"/>
      <c r="E135" s="79"/>
      <c r="F135" s="79"/>
      <c r="G135" s="78"/>
      <c r="H135" s="79"/>
      <c r="I135" s="79"/>
      <c r="J135" s="79"/>
      <c r="K135" s="78"/>
      <c r="L135" s="79"/>
      <c r="M135" s="79"/>
      <c r="N135" s="79"/>
      <c r="O135" s="78"/>
      <c r="P135" s="79"/>
      <c r="Q135" s="79"/>
      <c r="R135" s="79"/>
      <c r="S135" s="78"/>
      <c r="T135" s="79"/>
      <c r="U135" s="79"/>
      <c r="V135" s="79"/>
      <c r="W135" s="78"/>
      <c r="X135" s="79"/>
      <c r="Y135" s="79"/>
      <c r="Z135" s="79"/>
      <c r="AA135" s="78"/>
      <c r="AB135" s="79"/>
      <c r="AC135" s="79"/>
      <c r="AD135" s="79"/>
      <c r="AE135" s="78"/>
      <c r="AF135" s="79"/>
      <c r="AG135" s="79"/>
      <c r="AH135" s="79"/>
      <c r="AI135" s="78"/>
      <c r="AJ135" s="79"/>
      <c r="AK135" s="79"/>
      <c r="AL135" s="79"/>
      <c r="AM135" s="78"/>
      <c r="AN135" s="79"/>
      <c r="AO135" s="79"/>
      <c r="AP135" s="79">
        <v>1200000000</v>
      </c>
      <c r="AQ135" s="78"/>
      <c r="AR135" s="79"/>
      <c r="AS135" s="79"/>
      <c r="AT135" s="79"/>
      <c r="AU135" s="78"/>
      <c r="AV135" s="79"/>
      <c r="AW135" s="79"/>
      <c r="AX135" s="78"/>
      <c r="AY135" s="79"/>
      <c r="AZ135" s="78"/>
      <c r="BA135" s="79"/>
      <c r="BB135" s="78"/>
      <c r="BC135" s="80"/>
    </row>
    <row r="136" spans="1:55" ht="15.75" customHeight="1">
      <c r="A136" s="68"/>
      <c r="B136" s="73" t="s">
        <v>283</v>
      </c>
      <c r="C136" s="78"/>
      <c r="D136" s="79"/>
      <c r="E136" s="79"/>
      <c r="F136" s="79"/>
      <c r="G136" s="78"/>
      <c r="H136" s="79"/>
      <c r="I136" s="79"/>
      <c r="J136" s="79"/>
      <c r="K136" s="78"/>
      <c r="L136" s="79"/>
      <c r="M136" s="79"/>
      <c r="N136" s="79"/>
      <c r="O136" s="78"/>
      <c r="P136" s="79"/>
      <c r="Q136" s="79"/>
      <c r="R136" s="79"/>
      <c r="S136" s="78"/>
      <c r="T136" s="79"/>
      <c r="U136" s="79"/>
      <c r="V136" s="79"/>
      <c r="W136" s="78"/>
      <c r="X136" s="79"/>
      <c r="Y136" s="79"/>
      <c r="Z136" s="79"/>
      <c r="AA136" s="78"/>
      <c r="AB136" s="79"/>
      <c r="AC136" s="79"/>
      <c r="AD136" s="79"/>
      <c r="AE136" s="78"/>
      <c r="AF136" s="79"/>
      <c r="AG136" s="79"/>
      <c r="AH136" s="79"/>
      <c r="AI136" s="78"/>
      <c r="AJ136" s="79"/>
      <c r="AK136" s="79"/>
      <c r="AL136" s="79"/>
      <c r="AM136" s="78"/>
      <c r="AN136" s="79"/>
      <c r="AO136" s="79"/>
      <c r="AP136" s="79"/>
      <c r="AQ136" s="78"/>
      <c r="AR136" s="79"/>
      <c r="AS136" s="79"/>
      <c r="AT136" s="79"/>
      <c r="AU136" s="78"/>
      <c r="AV136" s="79"/>
      <c r="AW136" s="79"/>
      <c r="AX136" s="78"/>
      <c r="AY136" s="79"/>
      <c r="AZ136" s="78">
        <v>13489443</v>
      </c>
      <c r="BA136" s="79">
        <v>5856939096</v>
      </c>
      <c r="BB136" s="78">
        <v>17200000</v>
      </c>
      <c r="BC136" s="80">
        <v>5540000000</v>
      </c>
    </row>
    <row r="137" spans="1:55" ht="15.75" customHeight="1">
      <c r="A137" s="68"/>
      <c r="B137" s="73" t="s">
        <v>244</v>
      </c>
      <c r="C137" s="78"/>
      <c r="D137" s="79"/>
      <c r="E137" s="79"/>
      <c r="F137" s="79"/>
      <c r="G137" s="78"/>
      <c r="H137" s="79"/>
      <c r="I137" s="79"/>
      <c r="J137" s="79"/>
      <c r="K137" s="78"/>
      <c r="L137" s="79"/>
      <c r="M137" s="79"/>
      <c r="N137" s="79"/>
      <c r="O137" s="78"/>
      <c r="P137" s="79"/>
      <c r="Q137" s="79"/>
      <c r="R137" s="79"/>
      <c r="S137" s="78"/>
      <c r="T137" s="79"/>
      <c r="U137" s="79"/>
      <c r="V137" s="79"/>
      <c r="W137" s="78"/>
      <c r="X137" s="79"/>
      <c r="Y137" s="79"/>
      <c r="Z137" s="79"/>
      <c r="AA137" s="78"/>
      <c r="AB137" s="79"/>
      <c r="AC137" s="79"/>
      <c r="AD137" s="79"/>
      <c r="AE137" s="78"/>
      <c r="AF137" s="79"/>
      <c r="AG137" s="79"/>
      <c r="AH137" s="79"/>
      <c r="AI137" s="78"/>
      <c r="AJ137" s="79"/>
      <c r="AK137" s="79"/>
      <c r="AL137" s="79"/>
      <c r="AM137" s="78"/>
      <c r="AN137" s="79"/>
      <c r="AO137" s="79"/>
      <c r="AP137" s="79"/>
      <c r="AQ137" s="78"/>
      <c r="AR137" s="79">
        <v>10000000</v>
      </c>
      <c r="AS137" s="79"/>
      <c r="AT137" s="79"/>
      <c r="AU137" s="78"/>
      <c r="AV137" s="79"/>
      <c r="AW137" s="79"/>
      <c r="AX137" s="78"/>
      <c r="AY137" s="79"/>
      <c r="AZ137" s="78"/>
      <c r="BA137" s="79"/>
      <c r="BB137" s="78"/>
      <c r="BC137" s="80"/>
    </row>
    <row r="138" spans="1:55" ht="15.75" customHeight="1">
      <c r="A138" s="68"/>
      <c r="B138" s="73" t="s">
        <v>208</v>
      </c>
      <c r="C138" s="78"/>
      <c r="D138" s="79"/>
      <c r="E138" s="79"/>
      <c r="F138" s="79"/>
      <c r="G138" s="78"/>
      <c r="H138" s="79"/>
      <c r="I138" s="79"/>
      <c r="J138" s="79"/>
      <c r="K138" s="78"/>
      <c r="L138" s="79"/>
      <c r="M138" s="79"/>
      <c r="N138" s="79"/>
      <c r="O138" s="78"/>
      <c r="P138" s="79"/>
      <c r="Q138" s="79"/>
      <c r="R138" s="79"/>
      <c r="S138" s="78"/>
      <c r="T138" s="79"/>
      <c r="U138" s="79"/>
      <c r="V138" s="79"/>
      <c r="W138" s="78"/>
      <c r="X138" s="79"/>
      <c r="Y138" s="79"/>
      <c r="Z138" s="79"/>
      <c r="AA138" s="78"/>
      <c r="AB138" s="79"/>
      <c r="AC138" s="79"/>
      <c r="AD138" s="79"/>
      <c r="AE138" s="78"/>
      <c r="AF138" s="79"/>
      <c r="AG138" s="79"/>
      <c r="AH138" s="79"/>
      <c r="AI138" s="78"/>
      <c r="AJ138" s="79"/>
      <c r="AK138" s="79"/>
      <c r="AL138" s="79"/>
      <c r="AM138" s="78">
        <v>6800000</v>
      </c>
      <c r="AN138" s="79"/>
      <c r="AO138" s="79">
        <v>4014352629</v>
      </c>
      <c r="AP138" s="79">
        <v>2298600243</v>
      </c>
      <c r="AQ138" s="78"/>
      <c r="AR138" s="79"/>
      <c r="AS138" s="79"/>
      <c r="AT138" s="79"/>
      <c r="AU138" s="78"/>
      <c r="AV138" s="79"/>
      <c r="AW138" s="79"/>
      <c r="AX138" s="78"/>
      <c r="AY138" s="79"/>
      <c r="AZ138" s="78"/>
      <c r="BA138" s="79"/>
      <c r="BB138" s="78"/>
      <c r="BC138" s="80"/>
    </row>
    <row r="139" spans="1:55" ht="15.75" customHeight="1">
      <c r="A139" s="68"/>
      <c r="B139" s="73" t="s">
        <v>209</v>
      </c>
      <c r="C139" s="78"/>
      <c r="D139" s="79"/>
      <c r="E139" s="79"/>
      <c r="F139" s="79"/>
      <c r="G139" s="78"/>
      <c r="H139" s="79"/>
      <c r="I139" s="79"/>
      <c r="J139" s="79"/>
      <c r="K139" s="78"/>
      <c r="L139" s="79"/>
      <c r="M139" s="79"/>
      <c r="N139" s="79"/>
      <c r="O139" s="78"/>
      <c r="P139" s="79"/>
      <c r="Q139" s="79"/>
      <c r="R139" s="79"/>
      <c r="S139" s="78"/>
      <c r="T139" s="79"/>
      <c r="U139" s="79"/>
      <c r="V139" s="79"/>
      <c r="W139" s="78"/>
      <c r="X139" s="79"/>
      <c r="Y139" s="79"/>
      <c r="Z139" s="79"/>
      <c r="AA139" s="78"/>
      <c r="AB139" s="79"/>
      <c r="AC139" s="79"/>
      <c r="AD139" s="79"/>
      <c r="AE139" s="78"/>
      <c r="AF139" s="79"/>
      <c r="AG139" s="79"/>
      <c r="AH139" s="79"/>
      <c r="AI139" s="78"/>
      <c r="AJ139" s="79"/>
      <c r="AK139" s="79"/>
      <c r="AL139" s="79"/>
      <c r="AM139" s="78"/>
      <c r="AN139" s="79"/>
      <c r="AO139" s="79">
        <v>5530000000</v>
      </c>
      <c r="AP139" s="79"/>
      <c r="AQ139" s="78"/>
      <c r="AR139" s="79">
        <v>5600000</v>
      </c>
      <c r="AS139" s="79"/>
      <c r="AT139" s="79">
        <v>2009999999.9999998</v>
      </c>
      <c r="AU139" s="78"/>
      <c r="AV139" s="79">
        <v>5200000000</v>
      </c>
      <c r="AW139" s="79"/>
      <c r="AX139" s="78"/>
      <c r="AY139" s="79"/>
      <c r="AZ139" s="78"/>
      <c r="BA139" s="79"/>
      <c r="BB139" s="78"/>
      <c r="BC139" s="80"/>
    </row>
    <row r="140" spans="1:55" ht="15.75" customHeight="1">
      <c r="A140" s="68"/>
      <c r="B140" s="73" t="s">
        <v>210</v>
      </c>
      <c r="C140" s="78"/>
      <c r="D140" s="79"/>
      <c r="E140" s="79"/>
      <c r="F140" s="79"/>
      <c r="G140" s="78"/>
      <c r="H140" s="79"/>
      <c r="I140" s="79"/>
      <c r="J140" s="79"/>
      <c r="K140" s="78"/>
      <c r="L140" s="79"/>
      <c r="M140" s="79"/>
      <c r="N140" s="79"/>
      <c r="O140" s="78"/>
      <c r="P140" s="79"/>
      <c r="Q140" s="79"/>
      <c r="R140" s="79"/>
      <c r="S140" s="78"/>
      <c r="T140" s="79"/>
      <c r="U140" s="79"/>
      <c r="V140" s="79"/>
      <c r="W140" s="78"/>
      <c r="X140" s="79"/>
      <c r="Y140" s="79"/>
      <c r="Z140" s="79"/>
      <c r="AA140" s="78"/>
      <c r="AB140" s="79"/>
      <c r="AC140" s="79"/>
      <c r="AD140" s="79"/>
      <c r="AE140" s="78"/>
      <c r="AF140" s="79"/>
      <c r="AG140" s="79"/>
      <c r="AH140" s="79"/>
      <c r="AI140" s="78"/>
      <c r="AJ140" s="79"/>
      <c r="AK140" s="79"/>
      <c r="AL140" s="79"/>
      <c r="AM140" s="78"/>
      <c r="AN140" s="79">
        <v>16990000</v>
      </c>
      <c r="AO140" s="79">
        <v>4500000000</v>
      </c>
      <c r="AP140" s="79">
        <v>2486000000</v>
      </c>
      <c r="AQ140" s="78"/>
      <c r="AR140" s="79"/>
      <c r="AS140" s="79"/>
      <c r="AT140" s="79"/>
      <c r="AU140" s="78"/>
      <c r="AV140" s="79"/>
      <c r="AW140" s="79"/>
      <c r="AX140" s="78"/>
      <c r="AY140" s="79"/>
      <c r="AZ140" s="78"/>
      <c r="BA140" s="79"/>
      <c r="BB140" s="78"/>
      <c r="BC140" s="80"/>
    </row>
    <row r="141" spans="1:55" ht="15.75" customHeight="1">
      <c r="A141" s="68"/>
      <c r="B141" s="73" t="s">
        <v>211</v>
      </c>
      <c r="C141" s="78"/>
      <c r="D141" s="79"/>
      <c r="E141" s="79"/>
      <c r="F141" s="79"/>
      <c r="G141" s="78"/>
      <c r="H141" s="79"/>
      <c r="I141" s="79"/>
      <c r="J141" s="79"/>
      <c r="K141" s="78"/>
      <c r="L141" s="79"/>
      <c r="M141" s="79"/>
      <c r="N141" s="79"/>
      <c r="O141" s="78"/>
      <c r="P141" s="79"/>
      <c r="Q141" s="79"/>
      <c r="R141" s="79"/>
      <c r="S141" s="78"/>
      <c r="T141" s="79"/>
      <c r="U141" s="79"/>
      <c r="V141" s="79"/>
      <c r="W141" s="78"/>
      <c r="X141" s="79"/>
      <c r="Y141" s="79"/>
      <c r="Z141" s="79"/>
      <c r="AA141" s="78"/>
      <c r="AB141" s="79"/>
      <c r="AC141" s="79"/>
      <c r="AD141" s="79"/>
      <c r="AE141" s="78"/>
      <c r="AF141" s="79"/>
      <c r="AG141" s="79"/>
      <c r="AH141" s="79"/>
      <c r="AI141" s="78"/>
      <c r="AJ141" s="79"/>
      <c r="AK141" s="79"/>
      <c r="AL141" s="79"/>
      <c r="AM141" s="78"/>
      <c r="AN141" s="79"/>
      <c r="AO141" s="79">
        <v>4500000000</v>
      </c>
      <c r="AP141" s="79">
        <v>2400000000</v>
      </c>
      <c r="AQ141" s="78"/>
      <c r="AR141" s="79"/>
      <c r="AS141" s="79"/>
      <c r="AT141" s="79"/>
      <c r="AU141" s="78"/>
      <c r="AV141" s="79"/>
      <c r="AW141" s="79"/>
      <c r="AX141" s="78"/>
      <c r="AY141" s="79"/>
      <c r="AZ141" s="78"/>
      <c r="BA141" s="79"/>
      <c r="BB141" s="78"/>
      <c r="BC141" s="80"/>
    </row>
    <row r="142" spans="1:55" ht="15.75" customHeight="1">
      <c r="A142" s="68"/>
      <c r="B142" s="73" t="s">
        <v>207</v>
      </c>
      <c r="C142" s="78"/>
      <c r="D142" s="79"/>
      <c r="E142" s="79"/>
      <c r="F142" s="79"/>
      <c r="G142" s="78"/>
      <c r="H142" s="79"/>
      <c r="I142" s="79"/>
      <c r="J142" s="79"/>
      <c r="K142" s="78"/>
      <c r="L142" s="79"/>
      <c r="M142" s="79"/>
      <c r="N142" s="79"/>
      <c r="O142" s="78"/>
      <c r="P142" s="79"/>
      <c r="Q142" s="79"/>
      <c r="R142" s="79"/>
      <c r="S142" s="78"/>
      <c r="T142" s="79"/>
      <c r="U142" s="79"/>
      <c r="V142" s="79"/>
      <c r="W142" s="78"/>
      <c r="X142" s="79"/>
      <c r="Y142" s="79"/>
      <c r="Z142" s="79"/>
      <c r="AA142" s="78"/>
      <c r="AB142" s="79"/>
      <c r="AC142" s="79"/>
      <c r="AD142" s="79"/>
      <c r="AE142" s="78"/>
      <c r="AF142" s="79"/>
      <c r="AG142" s="79"/>
      <c r="AH142" s="79"/>
      <c r="AI142" s="78"/>
      <c r="AJ142" s="79"/>
      <c r="AK142" s="79"/>
      <c r="AL142" s="79"/>
      <c r="AM142" s="78"/>
      <c r="AN142" s="79">
        <v>15213877</v>
      </c>
      <c r="AO142" s="79">
        <v>10240000000</v>
      </c>
      <c r="AP142" s="79">
        <v>4930000000</v>
      </c>
      <c r="AQ142" s="78"/>
      <c r="AR142" s="79"/>
      <c r="AS142" s="79"/>
      <c r="AT142" s="79"/>
      <c r="AU142" s="78"/>
      <c r="AV142" s="79"/>
      <c r="AW142" s="79"/>
      <c r="AX142" s="78"/>
      <c r="AY142" s="79"/>
      <c r="AZ142" s="78"/>
      <c r="BA142" s="79"/>
      <c r="BB142" s="78"/>
      <c r="BC142" s="80"/>
    </row>
    <row r="143" spans="1:55" ht="15.75" customHeight="1">
      <c r="A143" s="68"/>
      <c r="B143" s="73" t="s">
        <v>212</v>
      </c>
      <c r="C143" s="78"/>
      <c r="D143" s="79"/>
      <c r="E143" s="79"/>
      <c r="F143" s="79"/>
      <c r="G143" s="78"/>
      <c r="H143" s="79"/>
      <c r="I143" s="79"/>
      <c r="J143" s="79"/>
      <c r="K143" s="78"/>
      <c r="L143" s="79"/>
      <c r="M143" s="79"/>
      <c r="N143" s="79"/>
      <c r="O143" s="78"/>
      <c r="P143" s="79"/>
      <c r="Q143" s="79"/>
      <c r="R143" s="79"/>
      <c r="S143" s="78"/>
      <c r="T143" s="79"/>
      <c r="U143" s="79"/>
      <c r="V143" s="79"/>
      <c r="W143" s="78"/>
      <c r="X143" s="79"/>
      <c r="Y143" s="79"/>
      <c r="Z143" s="79"/>
      <c r="AA143" s="78"/>
      <c r="AB143" s="79"/>
      <c r="AC143" s="79"/>
      <c r="AD143" s="79"/>
      <c r="AE143" s="78"/>
      <c r="AF143" s="79"/>
      <c r="AG143" s="79"/>
      <c r="AH143" s="79"/>
      <c r="AI143" s="78"/>
      <c r="AJ143" s="79"/>
      <c r="AK143" s="79"/>
      <c r="AL143" s="79"/>
      <c r="AM143" s="78">
        <v>5300000</v>
      </c>
      <c r="AN143" s="79"/>
      <c r="AO143" s="79">
        <v>6722340112</v>
      </c>
      <c r="AP143" s="79">
        <v>4514171363</v>
      </c>
      <c r="AQ143" s="78"/>
      <c r="AR143" s="79"/>
      <c r="AS143" s="79"/>
      <c r="AT143" s="79"/>
      <c r="AU143" s="78"/>
      <c r="AV143" s="79"/>
      <c r="AW143" s="79"/>
      <c r="AX143" s="78"/>
      <c r="AY143" s="79"/>
      <c r="AZ143" s="78"/>
      <c r="BA143" s="79"/>
      <c r="BB143" s="78"/>
      <c r="BC143" s="80"/>
    </row>
    <row r="144" spans="1:55" ht="15.75" customHeight="1">
      <c r="A144" s="70" t="s">
        <v>280</v>
      </c>
      <c r="B144" s="70" t="s">
        <v>280</v>
      </c>
      <c r="C144" s="75"/>
      <c r="D144" s="76"/>
      <c r="E144" s="76"/>
      <c r="F144" s="76"/>
      <c r="G144" s="75"/>
      <c r="H144" s="76"/>
      <c r="I144" s="76"/>
      <c r="J144" s="76"/>
      <c r="K144" s="75"/>
      <c r="L144" s="76"/>
      <c r="M144" s="76"/>
      <c r="N144" s="76"/>
      <c r="O144" s="75"/>
      <c r="P144" s="76"/>
      <c r="Q144" s="76"/>
      <c r="R144" s="76"/>
      <c r="S144" s="75"/>
      <c r="T144" s="76"/>
      <c r="U144" s="76"/>
      <c r="V144" s="76"/>
      <c r="W144" s="75"/>
      <c r="X144" s="76"/>
      <c r="Y144" s="76"/>
      <c r="Z144" s="76"/>
      <c r="AA144" s="75"/>
      <c r="AB144" s="76"/>
      <c r="AC144" s="76"/>
      <c r="AD144" s="76"/>
      <c r="AE144" s="75"/>
      <c r="AF144" s="76"/>
      <c r="AG144" s="76"/>
      <c r="AH144" s="76"/>
      <c r="AI144" s="75"/>
      <c r="AJ144" s="76"/>
      <c r="AK144" s="76"/>
      <c r="AL144" s="76"/>
      <c r="AM144" s="75"/>
      <c r="AN144" s="76"/>
      <c r="AO144" s="76"/>
      <c r="AP144" s="76"/>
      <c r="AQ144" s="75"/>
      <c r="AR144" s="76"/>
      <c r="AS144" s="76"/>
      <c r="AT144" s="76"/>
      <c r="AU144" s="75"/>
      <c r="AV144" s="76"/>
      <c r="AW144" s="76"/>
      <c r="AX144" s="75"/>
      <c r="AY144" s="76"/>
      <c r="AZ144" s="75">
        <v>0</v>
      </c>
      <c r="BA144" s="76">
        <v>397623464</v>
      </c>
      <c r="BB144" s="75"/>
      <c r="BC144" s="77"/>
    </row>
    <row r="145" spans="1:55" ht="15.75" customHeight="1">
      <c r="A145" s="70" t="s">
        <v>253</v>
      </c>
      <c r="B145" s="70" t="s">
        <v>253</v>
      </c>
      <c r="C145" s="75"/>
      <c r="D145" s="76"/>
      <c r="E145" s="76"/>
      <c r="F145" s="76"/>
      <c r="G145" s="75"/>
      <c r="H145" s="76"/>
      <c r="I145" s="76"/>
      <c r="J145" s="76"/>
      <c r="K145" s="75"/>
      <c r="L145" s="76"/>
      <c r="M145" s="76"/>
      <c r="N145" s="76"/>
      <c r="O145" s="75"/>
      <c r="P145" s="76"/>
      <c r="Q145" s="76"/>
      <c r="R145" s="76"/>
      <c r="S145" s="75"/>
      <c r="T145" s="76"/>
      <c r="U145" s="76"/>
      <c r="V145" s="76"/>
      <c r="W145" s="75"/>
      <c r="X145" s="76"/>
      <c r="Y145" s="76"/>
      <c r="Z145" s="76"/>
      <c r="AA145" s="75"/>
      <c r="AB145" s="76"/>
      <c r="AC145" s="76"/>
      <c r="AD145" s="76"/>
      <c r="AE145" s="75"/>
      <c r="AF145" s="76"/>
      <c r="AG145" s="76"/>
      <c r="AH145" s="76"/>
      <c r="AI145" s="75"/>
      <c r="AJ145" s="76"/>
      <c r="AK145" s="76"/>
      <c r="AL145" s="76"/>
      <c r="AM145" s="75"/>
      <c r="AN145" s="76"/>
      <c r="AO145" s="76"/>
      <c r="AP145" s="76"/>
      <c r="AQ145" s="75"/>
      <c r="AR145" s="76"/>
      <c r="AS145" s="76"/>
      <c r="AT145" s="76"/>
      <c r="AU145" s="75"/>
      <c r="AV145" s="76">
        <v>5841000000</v>
      </c>
      <c r="AW145" s="76"/>
      <c r="AX145" s="75"/>
      <c r="AY145" s="76"/>
      <c r="AZ145" s="75"/>
      <c r="BA145" s="76"/>
      <c r="BB145" s="75"/>
      <c r="BC145" s="77"/>
    </row>
    <row r="146" spans="1:55" ht="15.75" customHeight="1">
      <c r="A146" s="68"/>
      <c r="B146" s="73" t="s">
        <v>252</v>
      </c>
      <c r="C146" s="78"/>
      <c r="D146" s="79"/>
      <c r="E146" s="79"/>
      <c r="F146" s="79"/>
      <c r="G146" s="78"/>
      <c r="H146" s="79"/>
      <c r="I146" s="79"/>
      <c r="J146" s="79"/>
      <c r="K146" s="78"/>
      <c r="L146" s="79"/>
      <c r="M146" s="79"/>
      <c r="N146" s="79"/>
      <c r="O146" s="78"/>
      <c r="P146" s="79"/>
      <c r="Q146" s="79"/>
      <c r="R146" s="79"/>
      <c r="S146" s="78"/>
      <c r="T146" s="79"/>
      <c r="U146" s="79"/>
      <c r="V146" s="79"/>
      <c r="W146" s="78"/>
      <c r="X146" s="79"/>
      <c r="Y146" s="79"/>
      <c r="Z146" s="79"/>
      <c r="AA146" s="78"/>
      <c r="AB146" s="79"/>
      <c r="AC146" s="79"/>
      <c r="AD146" s="79"/>
      <c r="AE146" s="78"/>
      <c r="AF146" s="79"/>
      <c r="AG146" s="79"/>
      <c r="AH146" s="79"/>
      <c r="AI146" s="78"/>
      <c r="AJ146" s="79"/>
      <c r="AK146" s="79"/>
      <c r="AL146" s="79"/>
      <c r="AM146" s="78"/>
      <c r="AN146" s="79"/>
      <c r="AO146" s="79"/>
      <c r="AP146" s="79"/>
      <c r="AQ146" s="78"/>
      <c r="AR146" s="79"/>
      <c r="AS146" s="79"/>
      <c r="AT146" s="79"/>
      <c r="AU146" s="78">
        <v>10316142</v>
      </c>
      <c r="AV146" s="79"/>
      <c r="AW146" s="79"/>
      <c r="AX146" s="78"/>
      <c r="AY146" s="79"/>
      <c r="AZ146" s="78"/>
      <c r="BA146" s="79"/>
      <c r="BB146" s="78"/>
      <c r="BC146" s="80"/>
    </row>
    <row r="147" spans="1:55" ht="15.75" customHeight="1">
      <c r="A147" s="70" t="s">
        <v>271</v>
      </c>
      <c r="B147" s="70" t="s">
        <v>271</v>
      </c>
      <c r="C147" s="75"/>
      <c r="D147" s="76"/>
      <c r="E147" s="76"/>
      <c r="F147" s="76"/>
      <c r="G147" s="75"/>
      <c r="H147" s="76"/>
      <c r="I147" s="76"/>
      <c r="J147" s="76"/>
      <c r="K147" s="75"/>
      <c r="L147" s="76"/>
      <c r="M147" s="76"/>
      <c r="N147" s="76"/>
      <c r="O147" s="75"/>
      <c r="P147" s="76"/>
      <c r="Q147" s="76"/>
      <c r="R147" s="76"/>
      <c r="S147" s="75"/>
      <c r="T147" s="76"/>
      <c r="U147" s="76"/>
      <c r="V147" s="76"/>
      <c r="W147" s="75"/>
      <c r="X147" s="76"/>
      <c r="Y147" s="76"/>
      <c r="Z147" s="76"/>
      <c r="AA147" s="75"/>
      <c r="AB147" s="76"/>
      <c r="AC147" s="76"/>
      <c r="AD147" s="76"/>
      <c r="AE147" s="75"/>
      <c r="AF147" s="76"/>
      <c r="AG147" s="76"/>
      <c r="AH147" s="76"/>
      <c r="AI147" s="75"/>
      <c r="AJ147" s="76"/>
      <c r="AK147" s="76"/>
      <c r="AL147" s="76"/>
      <c r="AM147" s="75"/>
      <c r="AN147" s="76"/>
      <c r="AO147" s="76"/>
      <c r="AP147" s="76"/>
      <c r="AQ147" s="75"/>
      <c r="AR147" s="76"/>
      <c r="AS147" s="76"/>
      <c r="AT147" s="76"/>
      <c r="AU147" s="75"/>
      <c r="AV147" s="76"/>
      <c r="AW147" s="76"/>
      <c r="AX147" s="75">
        <v>14560823</v>
      </c>
      <c r="AY147" s="76">
        <v>4444280227</v>
      </c>
      <c r="AZ147" s="75">
        <v>15334271</v>
      </c>
      <c r="BA147" s="76">
        <v>5413802598</v>
      </c>
      <c r="BB147" s="75">
        <v>15300000</v>
      </c>
      <c r="BC147" s="77">
        <v>4400000000</v>
      </c>
    </row>
    <row r="148" spans="1:55" ht="15.75" customHeight="1">
      <c r="A148" s="68"/>
      <c r="B148" s="73" t="s">
        <v>277</v>
      </c>
      <c r="C148" s="78"/>
      <c r="D148" s="79"/>
      <c r="E148" s="79"/>
      <c r="F148" s="79"/>
      <c r="G148" s="78"/>
      <c r="H148" s="79"/>
      <c r="I148" s="79"/>
      <c r="J148" s="79"/>
      <c r="K148" s="78"/>
      <c r="L148" s="79"/>
      <c r="M148" s="79"/>
      <c r="N148" s="79"/>
      <c r="O148" s="78"/>
      <c r="P148" s="79"/>
      <c r="Q148" s="79"/>
      <c r="R148" s="79"/>
      <c r="S148" s="78"/>
      <c r="T148" s="79"/>
      <c r="U148" s="79"/>
      <c r="V148" s="79"/>
      <c r="W148" s="78"/>
      <c r="X148" s="79"/>
      <c r="Y148" s="79"/>
      <c r="Z148" s="79"/>
      <c r="AA148" s="78"/>
      <c r="AB148" s="79"/>
      <c r="AC148" s="79"/>
      <c r="AD148" s="79"/>
      <c r="AE148" s="78"/>
      <c r="AF148" s="79"/>
      <c r="AG148" s="79"/>
      <c r="AH148" s="79"/>
      <c r="AI148" s="78"/>
      <c r="AJ148" s="79"/>
      <c r="AK148" s="79"/>
      <c r="AL148" s="79"/>
      <c r="AM148" s="78"/>
      <c r="AN148" s="79"/>
      <c r="AO148" s="79"/>
      <c r="AP148" s="79"/>
      <c r="AQ148" s="78"/>
      <c r="AR148" s="79"/>
      <c r="AS148" s="79"/>
      <c r="AT148" s="79"/>
      <c r="AU148" s="78"/>
      <c r="AV148" s="79"/>
      <c r="AW148" s="79"/>
      <c r="AX148" s="78">
        <v>20111553</v>
      </c>
      <c r="AY148" s="79">
        <v>6080899576</v>
      </c>
      <c r="AZ148" s="78"/>
      <c r="BA148" s="79"/>
      <c r="BB148" s="78"/>
      <c r="BC148" s="80"/>
    </row>
    <row r="149" spans="1:55" ht="15.75" customHeight="1">
      <c r="A149" s="70" t="s">
        <v>246</v>
      </c>
      <c r="B149" s="70" t="s">
        <v>245</v>
      </c>
      <c r="C149" s="75"/>
      <c r="D149" s="76"/>
      <c r="E149" s="76"/>
      <c r="F149" s="76"/>
      <c r="G149" s="75"/>
      <c r="H149" s="76"/>
      <c r="I149" s="76"/>
      <c r="J149" s="76"/>
      <c r="K149" s="75"/>
      <c r="L149" s="76"/>
      <c r="M149" s="76"/>
      <c r="N149" s="76"/>
      <c r="O149" s="75"/>
      <c r="P149" s="76"/>
      <c r="Q149" s="76"/>
      <c r="R149" s="76"/>
      <c r="S149" s="75"/>
      <c r="T149" s="76"/>
      <c r="U149" s="76"/>
      <c r="V149" s="76"/>
      <c r="W149" s="75"/>
      <c r="X149" s="76"/>
      <c r="Y149" s="76"/>
      <c r="Z149" s="76"/>
      <c r="AA149" s="75"/>
      <c r="AB149" s="76"/>
      <c r="AC149" s="76"/>
      <c r="AD149" s="76"/>
      <c r="AE149" s="75"/>
      <c r="AF149" s="76"/>
      <c r="AG149" s="76"/>
      <c r="AH149" s="76"/>
      <c r="AI149" s="75"/>
      <c r="AJ149" s="76"/>
      <c r="AK149" s="76"/>
      <c r="AL149" s="76"/>
      <c r="AM149" s="75"/>
      <c r="AN149" s="76"/>
      <c r="AO149" s="76"/>
      <c r="AP149" s="76"/>
      <c r="AQ149" s="75"/>
      <c r="AR149" s="76">
        <v>11100000</v>
      </c>
      <c r="AS149" s="76"/>
      <c r="AT149" s="76"/>
      <c r="AU149" s="75"/>
      <c r="AV149" s="76"/>
      <c r="AW149" s="76"/>
      <c r="AX149" s="75"/>
      <c r="AY149" s="76"/>
      <c r="AZ149" s="75"/>
      <c r="BA149" s="76"/>
      <c r="BB149" s="75"/>
      <c r="BC149" s="77"/>
    </row>
    <row r="150" spans="1:55" ht="15.75" customHeight="1">
      <c r="A150" s="70" t="s">
        <v>255</v>
      </c>
      <c r="B150" s="70" t="s">
        <v>255</v>
      </c>
      <c r="C150" s="75"/>
      <c r="D150" s="76"/>
      <c r="E150" s="76"/>
      <c r="F150" s="76"/>
      <c r="G150" s="75"/>
      <c r="H150" s="76"/>
      <c r="I150" s="76"/>
      <c r="J150" s="76"/>
      <c r="K150" s="75"/>
      <c r="L150" s="76"/>
      <c r="M150" s="76"/>
      <c r="N150" s="76"/>
      <c r="O150" s="75"/>
      <c r="P150" s="76"/>
      <c r="Q150" s="76"/>
      <c r="R150" s="76"/>
      <c r="S150" s="75"/>
      <c r="T150" s="76"/>
      <c r="U150" s="76"/>
      <c r="V150" s="76"/>
      <c r="W150" s="75"/>
      <c r="X150" s="76"/>
      <c r="Y150" s="76"/>
      <c r="Z150" s="76"/>
      <c r="AA150" s="75"/>
      <c r="AB150" s="76"/>
      <c r="AC150" s="76"/>
      <c r="AD150" s="76"/>
      <c r="AE150" s="75"/>
      <c r="AF150" s="76"/>
      <c r="AG150" s="76"/>
      <c r="AH150" s="76"/>
      <c r="AI150" s="75"/>
      <c r="AJ150" s="76"/>
      <c r="AK150" s="76"/>
      <c r="AL150" s="76"/>
      <c r="AM150" s="75"/>
      <c r="AN150" s="76"/>
      <c r="AO150" s="76"/>
      <c r="AP150" s="76"/>
      <c r="AQ150" s="75"/>
      <c r="AR150" s="76"/>
      <c r="AS150" s="76"/>
      <c r="AT150" s="76"/>
      <c r="AU150" s="75"/>
      <c r="AV150" s="76">
        <v>68193940</v>
      </c>
      <c r="AW150" s="76"/>
      <c r="AX150" s="75"/>
      <c r="AY150" s="76"/>
      <c r="AZ150" s="75"/>
      <c r="BA150" s="76"/>
      <c r="BB150" s="75"/>
      <c r="BC150" s="77"/>
    </row>
    <row r="151" spans="1:55" ht="15.75" customHeight="1">
      <c r="A151" s="68"/>
      <c r="B151" s="73" t="s">
        <v>254</v>
      </c>
      <c r="C151" s="78"/>
      <c r="D151" s="79"/>
      <c r="E151" s="79"/>
      <c r="F151" s="79"/>
      <c r="G151" s="78"/>
      <c r="H151" s="79"/>
      <c r="I151" s="79"/>
      <c r="J151" s="79"/>
      <c r="K151" s="78"/>
      <c r="L151" s="79"/>
      <c r="M151" s="79"/>
      <c r="N151" s="79"/>
      <c r="O151" s="78"/>
      <c r="P151" s="79"/>
      <c r="Q151" s="79"/>
      <c r="R151" s="79"/>
      <c r="S151" s="78"/>
      <c r="T151" s="79"/>
      <c r="U151" s="79"/>
      <c r="V151" s="79"/>
      <c r="W151" s="78"/>
      <c r="X151" s="79"/>
      <c r="Y151" s="79"/>
      <c r="Z151" s="79"/>
      <c r="AA151" s="78"/>
      <c r="AB151" s="79"/>
      <c r="AC151" s="79"/>
      <c r="AD151" s="79"/>
      <c r="AE151" s="78"/>
      <c r="AF151" s="79"/>
      <c r="AG151" s="79"/>
      <c r="AH151" s="79"/>
      <c r="AI151" s="78"/>
      <c r="AJ151" s="79"/>
      <c r="AK151" s="79"/>
      <c r="AL151" s="79"/>
      <c r="AM151" s="78"/>
      <c r="AN151" s="79"/>
      <c r="AO151" s="79"/>
      <c r="AP151" s="79"/>
      <c r="AQ151" s="78"/>
      <c r="AR151" s="79"/>
      <c r="AS151" s="79"/>
      <c r="AT151" s="79"/>
      <c r="AU151" s="78">
        <v>613667</v>
      </c>
      <c r="AV151" s="79"/>
      <c r="AW151" s="79"/>
      <c r="AX151" s="78">
        <v>303804</v>
      </c>
      <c r="AY151" s="79">
        <v>41579330</v>
      </c>
      <c r="AZ151" s="78">
        <v>1218729</v>
      </c>
      <c r="BA151" s="79">
        <v>60414277</v>
      </c>
      <c r="BB151" s="78">
        <v>1864821</v>
      </c>
      <c r="BC151" s="80">
        <v>73867855</v>
      </c>
    </row>
    <row r="152" spans="1:55" ht="15.75" customHeight="1">
      <c r="A152" s="70" t="s">
        <v>248</v>
      </c>
      <c r="B152" s="70" t="s">
        <v>248</v>
      </c>
      <c r="C152" s="75"/>
      <c r="D152" s="76"/>
      <c r="E152" s="76"/>
      <c r="F152" s="76"/>
      <c r="G152" s="75"/>
      <c r="H152" s="76"/>
      <c r="I152" s="76"/>
      <c r="J152" s="76"/>
      <c r="K152" s="75"/>
      <c r="L152" s="76"/>
      <c r="M152" s="76"/>
      <c r="N152" s="76"/>
      <c r="O152" s="75"/>
      <c r="P152" s="76"/>
      <c r="Q152" s="76"/>
      <c r="R152" s="76"/>
      <c r="S152" s="75"/>
      <c r="T152" s="76"/>
      <c r="U152" s="76"/>
      <c r="V152" s="76"/>
      <c r="W152" s="75"/>
      <c r="X152" s="76"/>
      <c r="Y152" s="76"/>
      <c r="Z152" s="76"/>
      <c r="AA152" s="75"/>
      <c r="AB152" s="76"/>
      <c r="AC152" s="76"/>
      <c r="AD152" s="76"/>
      <c r="AE152" s="75"/>
      <c r="AF152" s="76"/>
      <c r="AG152" s="76"/>
      <c r="AH152" s="76"/>
      <c r="AI152" s="75"/>
      <c r="AJ152" s="76"/>
      <c r="AK152" s="76"/>
      <c r="AL152" s="76"/>
      <c r="AM152" s="75"/>
      <c r="AN152" s="76"/>
      <c r="AO152" s="76"/>
      <c r="AP152" s="76"/>
      <c r="AQ152" s="75"/>
      <c r="AR152" s="76">
        <v>3500000</v>
      </c>
      <c r="AS152" s="76"/>
      <c r="AT152" s="76"/>
      <c r="AU152" s="75"/>
      <c r="AV152" s="76"/>
      <c r="AW152" s="76"/>
      <c r="AX152" s="75"/>
      <c r="AY152" s="76"/>
      <c r="AZ152" s="75"/>
      <c r="BA152" s="76"/>
      <c r="BB152" s="75"/>
      <c r="BC152" s="77"/>
    </row>
    <row r="153" spans="1:55" ht="15.75" customHeight="1">
      <c r="A153" s="70" t="s">
        <v>281</v>
      </c>
      <c r="B153" s="70" t="s">
        <v>281</v>
      </c>
      <c r="C153" s="75"/>
      <c r="D153" s="76"/>
      <c r="E153" s="76"/>
      <c r="F153" s="76"/>
      <c r="G153" s="75"/>
      <c r="H153" s="76"/>
      <c r="I153" s="76"/>
      <c r="J153" s="76"/>
      <c r="K153" s="75"/>
      <c r="L153" s="76"/>
      <c r="M153" s="76"/>
      <c r="N153" s="76"/>
      <c r="O153" s="75"/>
      <c r="P153" s="76"/>
      <c r="Q153" s="76"/>
      <c r="R153" s="76"/>
      <c r="S153" s="75"/>
      <c r="T153" s="76"/>
      <c r="U153" s="76"/>
      <c r="V153" s="76"/>
      <c r="W153" s="75"/>
      <c r="X153" s="76"/>
      <c r="Y153" s="76"/>
      <c r="Z153" s="76"/>
      <c r="AA153" s="75"/>
      <c r="AB153" s="76"/>
      <c r="AC153" s="76"/>
      <c r="AD153" s="76"/>
      <c r="AE153" s="75"/>
      <c r="AF153" s="76"/>
      <c r="AG153" s="76"/>
      <c r="AH153" s="76"/>
      <c r="AI153" s="75"/>
      <c r="AJ153" s="76"/>
      <c r="AK153" s="76"/>
      <c r="AL153" s="76"/>
      <c r="AM153" s="75"/>
      <c r="AN153" s="76"/>
      <c r="AO153" s="76"/>
      <c r="AP153" s="76"/>
      <c r="AQ153" s="75"/>
      <c r="AR153" s="76"/>
      <c r="AS153" s="76"/>
      <c r="AT153" s="76"/>
      <c r="AU153" s="75"/>
      <c r="AV153" s="76"/>
      <c r="AW153" s="76"/>
      <c r="AX153" s="75"/>
      <c r="AY153" s="76"/>
      <c r="AZ153" s="75">
        <v>0</v>
      </c>
      <c r="BA153" s="76">
        <v>1006545000</v>
      </c>
      <c r="BB153" s="75"/>
      <c r="BC153" s="77"/>
    </row>
    <row r="154" spans="1:55" ht="15.75" customHeight="1">
      <c r="A154" s="70" t="s">
        <v>216</v>
      </c>
      <c r="B154" s="70" t="s">
        <v>216</v>
      </c>
      <c r="C154" s="75"/>
      <c r="D154" s="76"/>
      <c r="E154" s="76"/>
      <c r="F154" s="76"/>
      <c r="G154" s="75"/>
      <c r="H154" s="76"/>
      <c r="I154" s="76"/>
      <c r="J154" s="76"/>
      <c r="K154" s="75"/>
      <c r="L154" s="76"/>
      <c r="M154" s="76"/>
      <c r="N154" s="76"/>
      <c r="O154" s="75"/>
      <c r="P154" s="76"/>
      <c r="Q154" s="76"/>
      <c r="R154" s="76"/>
      <c r="S154" s="75"/>
      <c r="T154" s="76"/>
      <c r="U154" s="76"/>
      <c r="V154" s="76"/>
      <c r="W154" s="75"/>
      <c r="X154" s="76"/>
      <c r="Y154" s="76"/>
      <c r="Z154" s="76"/>
      <c r="AA154" s="75"/>
      <c r="AB154" s="76"/>
      <c r="AC154" s="76"/>
      <c r="AD154" s="76"/>
      <c r="AE154" s="75"/>
      <c r="AF154" s="76"/>
      <c r="AG154" s="76"/>
      <c r="AH154" s="76"/>
      <c r="AI154" s="75"/>
      <c r="AJ154" s="76"/>
      <c r="AK154" s="76"/>
      <c r="AL154" s="76"/>
      <c r="AM154" s="75"/>
      <c r="AN154" s="76"/>
      <c r="AO154" s="76">
        <v>184398188</v>
      </c>
      <c r="AP154" s="76">
        <v>99109148</v>
      </c>
      <c r="AQ154" s="75"/>
      <c r="AR154" s="76"/>
      <c r="AS154" s="76"/>
      <c r="AT154" s="76"/>
      <c r="AU154" s="75"/>
      <c r="AV154" s="76"/>
      <c r="AW154" s="76"/>
      <c r="AX154" s="75"/>
      <c r="AY154" s="76"/>
      <c r="AZ154" s="75"/>
      <c r="BA154" s="76"/>
      <c r="BB154" s="75"/>
      <c r="BC154" s="77"/>
    </row>
    <row r="155" spans="1:55" ht="15.75" customHeight="1">
      <c r="A155" s="68"/>
      <c r="B155" s="73" t="s">
        <v>250</v>
      </c>
      <c r="C155" s="78"/>
      <c r="D155" s="79"/>
      <c r="E155" s="79"/>
      <c r="F155" s="79"/>
      <c r="G155" s="78"/>
      <c r="H155" s="79"/>
      <c r="I155" s="79"/>
      <c r="J155" s="79"/>
      <c r="K155" s="78"/>
      <c r="L155" s="79"/>
      <c r="M155" s="79"/>
      <c r="N155" s="79"/>
      <c r="O155" s="78"/>
      <c r="P155" s="79"/>
      <c r="Q155" s="79"/>
      <c r="R155" s="79"/>
      <c r="S155" s="78"/>
      <c r="T155" s="79"/>
      <c r="U155" s="79"/>
      <c r="V155" s="79"/>
      <c r="W155" s="78"/>
      <c r="X155" s="79"/>
      <c r="Y155" s="79"/>
      <c r="Z155" s="79"/>
      <c r="AA155" s="78"/>
      <c r="AB155" s="79"/>
      <c r="AC155" s="79"/>
      <c r="AD155" s="79"/>
      <c r="AE155" s="78"/>
      <c r="AF155" s="79"/>
      <c r="AG155" s="79"/>
      <c r="AH155" s="79"/>
      <c r="AI155" s="78"/>
      <c r="AJ155" s="79"/>
      <c r="AK155" s="79"/>
      <c r="AL155" s="79"/>
      <c r="AM155" s="78"/>
      <c r="AN155" s="79"/>
      <c r="AO155" s="79"/>
      <c r="AP155" s="79"/>
      <c r="AQ155" s="78"/>
      <c r="AR155" s="79">
        <v>13570000</v>
      </c>
      <c r="AS155" s="79"/>
      <c r="AT155" s="79"/>
      <c r="AU155" s="78"/>
      <c r="AV155" s="79"/>
      <c r="AW155" s="79"/>
      <c r="AX155" s="78"/>
      <c r="AY155" s="79"/>
      <c r="AZ155" s="78"/>
      <c r="BA155" s="79"/>
      <c r="BB155" s="78"/>
      <c r="BC155" s="80"/>
    </row>
    <row r="156" spans="1:55" ht="15.75" customHeight="1">
      <c r="A156" s="70" t="s">
        <v>218</v>
      </c>
      <c r="B156" s="70" t="s">
        <v>218</v>
      </c>
      <c r="C156" s="75"/>
      <c r="D156" s="76"/>
      <c r="E156" s="76"/>
      <c r="F156" s="76"/>
      <c r="G156" s="75"/>
      <c r="H156" s="76"/>
      <c r="I156" s="76"/>
      <c r="J156" s="76"/>
      <c r="K156" s="75"/>
      <c r="L156" s="76"/>
      <c r="M156" s="76"/>
      <c r="N156" s="76"/>
      <c r="O156" s="75"/>
      <c r="P156" s="76"/>
      <c r="Q156" s="76"/>
      <c r="R156" s="76"/>
      <c r="S156" s="75"/>
      <c r="T156" s="76"/>
      <c r="U156" s="76"/>
      <c r="V156" s="76"/>
      <c r="W156" s="75"/>
      <c r="X156" s="76"/>
      <c r="Y156" s="76"/>
      <c r="Z156" s="76"/>
      <c r="AA156" s="75"/>
      <c r="AB156" s="76"/>
      <c r="AC156" s="76"/>
      <c r="AD156" s="76"/>
      <c r="AE156" s="75"/>
      <c r="AF156" s="76"/>
      <c r="AG156" s="76"/>
      <c r="AH156" s="76"/>
      <c r="AI156" s="75"/>
      <c r="AJ156" s="76"/>
      <c r="AK156" s="76"/>
      <c r="AL156" s="76"/>
      <c r="AM156" s="75"/>
      <c r="AN156" s="76">
        <v>11700000</v>
      </c>
      <c r="AO156" s="76">
        <v>1168800000</v>
      </c>
      <c r="AP156" s="76">
        <v>360300000</v>
      </c>
      <c r="AQ156" s="75"/>
      <c r="AR156" s="76"/>
      <c r="AS156" s="76"/>
      <c r="AT156" s="76"/>
      <c r="AU156" s="75">
        <v>10300000</v>
      </c>
      <c r="AV156" s="76">
        <v>157800000</v>
      </c>
      <c r="AW156" s="76">
        <v>81100000</v>
      </c>
      <c r="AX156" s="75">
        <v>22886744</v>
      </c>
      <c r="AY156" s="76">
        <v>6082400871</v>
      </c>
      <c r="AZ156" s="75">
        <v>21604676</v>
      </c>
      <c r="BA156" s="76">
        <v>5631151943</v>
      </c>
      <c r="BB156" s="75">
        <v>16867301</v>
      </c>
      <c r="BC156" s="77">
        <v>4145702931</v>
      </c>
    </row>
    <row r="157" spans="1:55" ht="15.75" customHeight="1">
      <c r="A157" s="70" t="s">
        <v>220</v>
      </c>
      <c r="B157" s="70" t="s">
        <v>220</v>
      </c>
      <c r="C157" s="75"/>
      <c r="D157" s="76"/>
      <c r="E157" s="76"/>
      <c r="F157" s="76"/>
      <c r="G157" s="75"/>
      <c r="H157" s="76"/>
      <c r="I157" s="76"/>
      <c r="J157" s="76"/>
      <c r="K157" s="75"/>
      <c r="L157" s="76"/>
      <c r="M157" s="76"/>
      <c r="N157" s="76"/>
      <c r="O157" s="75"/>
      <c r="P157" s="76"/>
      <c r="Q157" s="76"/>
      <c r="R157" s="76"/>
      <c r="S157" s="75"/>
      <c r="T157" s="76"/>
      <c r="U157" s="76"/>
      <c r="V157" s="76"/>
      <c r="W157" s="75"/>
      <c r="X157" s="76"/>
      <c r="Y157" s="76"/>
      <c r="Z157" s="76"/>
      <c r="AA157" s="75"/>
      <c r="AB157" s="76"/>
      <c r="AC157" s="76"/>
      <c r="AD157" s="76"/>
      <c r="AE157" s="75"/>
      <c r="AF157" s="76"/>
      <c r="AG157" s="76"/>
      <c r="AH157" s="76"/>
      <c r="AI157" s="75"/>
      <c r="AJ157" s="76"/>
      <c r="AK157" s="76"/>
      <c r="AL157" s="76"/>
      <c r="AM157" s="75"/>
      <c r="AN157" s="76"/>
      <c r="AO157" s="76">
        <v>37700000</v>
      </c>
      <c r="AP157" s="76">
        <v>21800000</v>
      </c>
      <c r="AQ157" s="75"/>
      <c r="AR157" s="76"/>
      <c r="AS157" s="76"/>
      <c r="AT157" s="76"/>
      <c r="AU157" s="75"/>
      <c r="AV157" s="76"/>
      <c r="AW157" s="76"/>
      <c r="AX157" s="75"/>
      <c r="AY157" s="76"/>
      <c r="AZ157" s="75"/>
      <c r="BA157" s="76"/>
      <c r="BB157" s="75"/>
      <c r="BC157" s="77"/>
    </row>
    <row r="158" spans="1:55" ht="15.75" customHeight="1">
      <c r="A158" s="70" t="s">
        <v>222</v>
      </c>
      <c r="B158" s="70" t="s">
        <v>222</v>
      </c>
      <c r="C158" s="75"/>
      <c r="D158" s="76"/>
      <c r="E158" s="76"/>
      <c r="F158" s="76"/>
      <c r="G158" s="75"/>
      <c r="H158" s="76"/>
      <c r="I158" s="76"/>
      <c r="J158" s="76"/>
      <c r="K158" s="75"/>
      <c r="L158" s="76"/>
      <c r="M158" s="76"/>
      <c r="N158" s="76"/>
      <c r="O158" s="75"/>
      <c r="P158" s="76"/>
      <c r="Q158" s="76"/>
      <c r="R158" s="76"/>
      <c r="S158" s="75"/>
      <c r="T158" s="76"/>
      <c r="U158" s="76"/>
      <c r="V158" s="76"/>
      <c r="W158" s="75"/>
      <c r="X158" s="76"/>
      <c r="Y158" s="76"/>
      <c r="Z158" s="76"/>
      <c r="AA158" s="75"/>
      <c r="AB158" s="76"/>
      <c r="AC158" s="76"/>
      <c r="AD158" s="76"/>
      <c r="AE158" s="75"/>
      <c r="AF158" s="76"/>
      <c r="AG158" s="76"/>
      <c r="AH158" s="76"/>
      <c r="AI158" s="75"/>
      <c r="AJ158" s="76"/>
      <c r="AK158" s="76"/>
      <c r="AL158" s="76"/>
      <c r="AM158" s="75"/>
      <c r="AN158" s="76"/>
      <c r="AO158" s="76">
        <v>222700000</v>
      </c>
      <c r="AP158" s="76"/>
      <c r="AQ158" s="75"/>
      <c r="AR158" s="76"/>
      <c r="AS158" s="76"/>
      <c r="AT158" s="76"/>
      <c r="AU158" s="75">
        <v>21000000</v>
      </c>
      <c r="AV158" s="76">
        <v>2949493560</v>
      </c>
      <c r="AW158" s="76">
        <v>55500000</v>
      </c>
      <c r="AX158" s="75">
        <v>7000000</v>
      </c>
      <c r="AY158" s="76">
        <v>794987748</v>
      </c>
      <c r="AZ158" s="75">
        <v>7000000</v>
      </c>
      <c r="BA158" s="76">
        <v>719581691</v>
      </c>
      <c r="BB158" s="75">
        <v>7581480</v>
      </c>
      <c r="BC158" s="77">
        <v>617034811</v>
      </c>
    </row>
    <row r="159" spans="1:55" ht="15.75" customHeight="1">
      <c r="A159" s="68"/>
      <c r="B159" s="73" t="s">
        <v>257</v>
      </c>
      <c r="C159" s="78"/>
      <c r="D159" s="79"/>
      <c r="E159" s="79"/>
      <c r="F159" s="79"/>
      <c r="G159" s="78"/>
      <c r="H159" s="79"/>
      <c r="I159" s="79"/>
      <c r="J159" s="79"/>
      <c r="K159" s="78"/>
      <c r="L159" s="79"/>
      <c r="M159" s="79"/>
      <c r="N159" s="79"/>
      <c r="O159" s="78"/>
      <c r="P159" s="79"/>
      <c r="Q159" s="79"/>
      <c r="R159" s="79"/>
      <c r="S159" s="78"/>
      <c r="T159" s="79"/>
      <c r="U159" s="79"/>
      <c r="V159" s="79"/>
      <c r="W159" s="78"/>
      <c r="X159" s="79"/>
      <c r="Y159" s="79"/>
      <c r="Z159" s="79"/>
      <c r="AA159" s="78"/>
      <c r="AB159" s="79"/>
      <c r="AC159" s="79"/>
      <c r="AD159" s="79"/>
      <c r="AE159" s="78"/>
      <c r="AF159" s="79"/>
      <c r="AG159" s="79"/>
      <c r="AH159" s="79"/>
      <c r="AI159" s="78"/>
      <c r="AJ159" s="79"/>
      <c r="AK159" s="79"/>
      <c r="AL159" s="79"/>
      <c r="AM159" s="78"/>
      <c r="AN159" s="79"/>
      <c r="AO159" s="79"/>
      <c r="AP159" s="79"/>
      <c r="AQ159" s="78"/>
      <c r="AR159" s="79"/>
      <c r="AS159" s="79"/>
      <c r="AT159" s="79"/>
      <c r="AU159" s="78">
        <v>7203586</v>
      </c>
      <c r="AV159" s="79"/>
      <c r="AW159" s="79"/>
      <c r="AX159" s="78">
        <v>8859400</v>
      </c>
      <c r="AY159" s="79">
        <v>1786198773</v>
      </c>
      <c r="AZ159" s="78">
        <v>9179814</v>
      </c>
      <c r="BA159" s="79">
        <v>1715042189</v>
      </c>
      <c r="BB159" s="78">
        <v>8678941</v>
      </c>
      <c r="BC159" s="80">
        <v>1587428979</v>
      </c>
    </row>
    <row r="160" spans="1:55" ht="15.75" customHeight="1">
      <c r="A160" s="68"/>
      <c r="B160" s="73" t="s">
        <v>224</v>
      </c>
      <c r="C160" s="78"/>
      <c r="D160" s="79"/>
      <c r="E160" s="79"/>
      <c r="F160" s="79"/>
      <c r="G160" s="78"/>
      <c r="H160" s="79"/>
      <c r="I160" s="79"/>
      <c r="J160" s="79"/>
      <c r="K160" s="78"/>
      <c r="L160" s="79"/>
      <c r="M160" s="79"/>
      <c r="N160" s="79"/>
      <c r="O160" s="78"/>
      <c r="P160" s="79"/>
      <c r="Q160" s="79"/>
      <c r="R160" s="79"/>
      <c r="S160" s="78"/>
      <c r="T160" s="79"/>
      <c r="U160" s="79"/>
      <c r="V160" s="79"/>
      <c r="W160" s="78"/>
      <c r="X160" s="79"/>
      <c r="Y160" s="79"/>
      <c r="Z160" s="79"/>
      <c r="AA160" s="78"/>
      <c r="AB160" s="79"/>
      <c r="AC160" s="79"/>
      <c r="AD160" s="79"/>
      <c r="AE160" s="78"/>
      <c r="AF160" s="79"/>
      <c r="AG160" s="79"/>
      <c r="AH160" s="79"/>
      <c r="AI160" s="78"/>
      <c r="AJ160" s="79"/>
      <c r="AK160" s="79"/>
      <c r="AL160" s="79"/>
      <c r="AM160" s="78"/>
      <c r="AN160" s="79"/>
      <c r="AO160" s="79">
        <v>737600000</v>
      </c>
      <c r="AP160" s="79"/>
      <c r="AQ160" s="78"/>
      <c r="AR160" s="79"/>
      <c r="AS160" s="79"/>
      <c r="AT160" s="79"/>
      <c r="AU160" s="78">
        <v>3600000</v>
      </c>
      <c r="AV160" s="79">
        <v>1350000000</v>
      </c>
      <c r="AW160" s="79">
        <v>382600000</v>
      </c>
      <c r="AX160" s="78"/>
      <c r="AY160" s="79"/>
      <c r="AZ160" s="78"/>
      <c r="BA160" s="79"/>
      <c r="BB160" s="78"/>
      <c r="BC160" s="80"/>
    </row>
    <row r="161" spans="1:55" ht="15.75" customHeight="1">
      <c r="A161" s="68"/>
      <c r="B161" s="73" t="s">
        <v>256</v>
      </c>
      <c r="C161" s="78"/>
      <c r="D161" s="79"/>
      <c r="E161" s="79"/>
      <c r="F161" s="79"/>
      <c r="G161" s="78"/>
      <c r="H161" s="79"/>
      <c r="I161" s="79"/>
      <c r="J161" s="79"/>
      <c r="K161" s="78"/>
      <c r="L161" s="79"/>
      <c r="M161" s="79"/>
      <c r="N161" s="79"/>
      <c r="O161" s="78"/>
      <c r="P161" s="79"/>
      <c r="Q161" s="79"/>
      <c r="R161" s="79"/>
      <c r="S161" s="78"/>
      <c r="T161" s="79"/>
      <c r="U161" s="79"/>
      <c r="V161" s="79"/>
      <c r="W161" s="78"/>
      <c r="X161" s="79"/>
      <c r="Y161" s="79"/>
      <c r="Z161" s="79"/>
      <c r="AA161" s="78"/>
      <c r="AB161" s="79"/>
      <c r="AC161" s="79"/>
      <c r="AD161" s="79"/>
      <c r="AE161" s="78"/>
      <c r="AF161" s="79"/>
      <c r="AG161" s="79"/>
      <c r="AH161" s="79"/>
      <c r="AI161" s="78"/>
      <c r="AJ161" s="79"/>
      <c r="AK161" s="79"/>
      <c r="AL161" s="79"/>
      <c r="AM161" s="78"/>
      <c r="AN161" s="79"/>
      <c r="AO161" s="79"/>
      <c r="AP161" s="79"/>
      <c r="AQ161" s="78"/>
      <c r="AR161" s="79"/>
      <c r="AS161" s="79"/>
      <c r="AT161" s="79"/>
      <c r="AU161" s="78">
        <v>6100000</v>
      </c>
      <c r="AV161" s="79"/>
      <c r="AW161" s="79"/>
      <c r="AX161" s="78"/>
      <c r="AY161" s="79"/>
      <c r="AZ161" s="78"/>
      <c r="BA161" s="79"/>
      <c r="BB161" s="78"/>
      <c r="BC161" s="80"/>
    </row>
    <row r="162" spans="1:55" ht="15.75" customHeight="1">
      <c r="A162" s="70" t="s">
        <v>230</v>
      </c>
      <c r="B162" s="70" t="s">
        <v>230</v>
      </c>
      <c r="C162" s="75"/>
      <c r="D162" s="76"/>
      <c r="E162" s="76"/>
      <c r="F162" s="76"/>
      <c r="G162" s="75"/>
      <c r="H162" s="76"/>
      <c r="I162" s="76"/>
      <c r="J162" s="76"/>
      <c r="K162" s="75"/>
      <c r="L162" s="76"/>
      <c r="M162" s="76"/>
      <c r="N162" s="76"/>
      <c r="O162" s="75"/>
      <c r="P162" s="76"/>
      <c r="Q162" s="76"/>
      <c r="R162" s="76"/>
      <c r="S162" s="75"/>
      <c r="T162" s="76"/>
      <c r="U162" s="76"/>
      <c r="V162" s="76"/>
      <c r="W162" s="75"/>
      <c r="X162" s="76"/>
      <c r="Y162" s="76"/>
      <c r="Z162" s="76"/>
      <c r="AA162" s="75"/>
      <c r="AB162" s="76"/>
      <c r="AC162" s="76"/>
      <c r="AD162" s="76"/>
      <c r="AE162" s="75"/>
      <c r="AF162" s="76"/>
      <c r="AG162" s="76"/>
      <c r="AH162" s="76"/>
      <c r="AI162" s="75"/>
      <c r="AJ162" s="76"/>
      <c r="AK162" s="76"/>
      <c r="AL162" s="76"/>
      <c r="AM162" s="75"/>
      <c r="AN162" s="76"/>
      <c r="AO162" s="76"/>
      <c r="AP162" s="76">
        <v>286827637</v>
      </c>
      <c r="AQ162" s="75">
        <v>1534832</v>
      </c>
      <c r="AR162" s="76"/>
      <c r="AS162" s="76">
        <v>712179158</v>
      </c>
      <c r="AT162" s="76"/>
      <c r="AU162" s="75"/>
      <c r="AV162" s="76"/>
      <c r="AW162" s="76"/>
      <c r="AX162" s="75"/>
      <c r="AY162" s="76"/>
      <c r="AZ162" s="75"/>
      <c r="BA162" s="76"/>
      <c r="BB162" s="75"/>
      <c r="BC162" s="77"/>
    </row>
    <row r="163" spans="1:55" ht="15.75" customHeight="1">
      <c r="A163" s="70" t="s">
        <v>225</v>
      </c>
      <c r="B163" s="70" t="s">
        <v>225</v>
      </c>
      <c r="C163" s="75"/>
      <c r="D163" s="76"/>
      <c r="E163" s="76"/>
      <c r="F163" s="76"/>
      <c r="G163" s="75"/>
      <c r="H163" s="76"/>
      <c r="I163" s="76"/>
      <c r="J163" s="76"/>
      <c r="K163" s="75"/>
      <c r="L163" s="76"/>
      <c r="M163" s="76"/>
      <c r="N163" s="76"/>
      <c r="O163" s="75"/>
      <c r="P163" s="76"/>
      <c r="Q163" s="76"/>
      <c r="R163" s="76"/>
      <c r="S163" s="75"/>
      <c r="T163" s="76"/>
      <c r="U163" s="76"/>
      <c r="V163" s="76"/>
      <c r="W163" s="75"/>
      <c r="X163" s="76"/>
      <c r="Y163" s="76"/>
      <c r="Z163" s="76"/>
      <c r="AA163" s="75"/>
      <c r="AB163" s="76"/>
      <c r="AC163" s="76"/>
      <c r="AD163" s="76"/>
      <c r="AE163" s="75"/>
      <c r="AF163" s="76"/>
      <c r="AG163" s="76"/>
      <c r="AH163" s="76"/>
      <c r="AI163" s="75"/>
      <c r="AJ163" s="76"/>
      <c r="AK163" s="76"/>
      <c r="AL163" s="76"/>
      <c r="AM163" s="75"/>
      <c r="AN163" s="76">
        <v>70600000</v>
      </c>
      <c r="AO163" s="76">
        <v>6136000000</v>
      </c>
      <c r="AP163" s="76">
        <v>3396200000</v>
      </c>
      <c r="AQ163" s="75"/>
      <c r="AR163" s="76">
        <v>22200000</v>
      </c>
      <c r="AS163" s="76">
        <v>7150000000</v>
      </c>
      <c r="AT163" s="76">
        <v>2290000000</v>
      </c>
      <c r="AU163" s="75">
        <v>69100000</v>
      </c>
      <c r="AV163" s="76">
        <v>3200000000</v>
      </c>
      <c r="AW163" s="76">
        <v>2970000000</v>
      </c>
      <c r="AX163" s="75">
        <v>23458603</v>
      </c>
      <c r="AY163" s="76">
        <v>4271938417</v>
      </c>
      <c r="AZ163" s="75">
        <v>21640000</v>
      </c>
      <c r="BA163" s="76">
        <v>4344155316</v>
      </c>
      <c r="BB163" s="75">
        <v>18182658</v>
      </c>
      <c r="BC163" s="77">
        <v>2705762394</v>
      </c>
    </row>
    <row r="164" spans="1:55" ht="15.75" customHeight="1">
      <c r="A164" s="68"/>
      <c r="B164" s="73" t="s">
        <v>238</v>
      </c>
      <c r="C164" s="78"/>
      <c r="D164" s="79"/>
      <c r="E164" s="79"/>
      <c r="F164" s="79"/>
      <c r="G164" s="78"/>
      <c r="H164" s="79"/>
      <c r="I164" s="79"/>
      <c r="J164" s="79"/>
      <c r="K164" s="78"/>
      <c r="L164" s="79"/>
      <c r="M164" s="79"/>
      <c r="N164" s="79"/>
      <c r="O164" s="78"/>
      <c r="P164" s="79"/>
      <c r="Q164" s="79"/>
      <c r="R164" s="79"/>
      <c r="S164" s="78"/>
      <c r="T164" s="79"/>
      <c r="U164" s="79"/>
      <c r="V164" s="79"/>
      <c r="W164" s="78"/>
      <c r="X164" s="79"/>
      <c r="Y164" s="79"/>
      <c r="Z164" s="79"/>
      <c r="AA164" s="78"/>
      <c r="AB164" s="79"/>
      <c r="AC164" s="79"/>
      <c r="AD164" s="79"/>
      <c r="AE164" s="78"/>
      <c r="AF164" s="79"/>
      <c r="AG164" s="79"/>
      <c r="AH164" s="79"/>
      <c r="AI164" s="78"/>
      <c r="AJ164" s="79"/>
      <c r="AK164" s="79"/>
      <c r="AL164" s="79"/>
      <c r="AM164" s="78"/>
      <c r="AN164" s="79"/>
      <c r="AO164" s="79"/>
      <c r="AP164" s="79"/>
      <c r="AQ164" s="78">
        <v>17616675</v>
      </c>
      <c r="AR164" s="79"/>
      <c r="AS164" s="79">
        <v>1769803500</v>
      </c>
      <c r="AT164" s="79">
        <v>1037981902</v>
      </c>
      <c r="AU164" s="78"/>
      <c r="AV164" s="79"/>
      <c r="AW164" s="79"/>
      <c r="AX164" s="78"/>
      <c r="AY164" s="79"/>
      <c r="AZ164" s="78"/>
      <c r="BA164" s="79"/>
      <c r="BB164" s="78"/>
      <c r="BC164" s="80"/>
    </row>
    <row r="165" spans="1:55" ht="15.75" customHeight="1">
      <c r="A165" s="68"/>
      <c r="B165" s="73" t="s">
        <v>239</v>
      </c>
      <c r="C165" s="78"/>
      <c r="D165" s="79"/>
      <c r="E165" s="79"/>
      <c r="F165" s="79"/>
      <c r="G165" s="78"/>
      <c r="H165" s="79"/>
      <c r="I165" s="79"/>
      <c r="J165" s="79"/>
      <c r="K165" s="78"/>
      <c r="L165" s="79"/>
      <c r="M165" s="79"/>
      <c r="N165" s="79"/>
      <c r="O165" s="78"/>
      <c r="P165" s="79"/>
      <c r="Q165" s="79"/>
      <c r="R165" s="79"/>
      <c r="S165" s="78"/>
      <c r="T165" s="79"/>
      <c r="U165" s="79"/>
      <c r="V165" s="79"/>
      <c r="W165" s="78"/>
      <c r="X165" s="79"/>
      <c r="Y165" s="79"/>
      <c r="Z165" s="79"/>
      <c r="AA165" s="78"/>
      <c r="AB165" s="79"/>
      <c r="AC165" s="79"/>
      <c r="AD165" s="79"/>
      <c r="AE165" s="78"/>
      <c r="AF165" s="79"/>
      <c r="AG165" s="79"/>
      <c r="AH165" s="79"/>
      <c r="AI165" s="78"/>
      <c r="AJ165" s="79"/>
      <c r="AK165" s="79"/>
      <c r="AL165" s="79"/>
      <c r="AM165" s="78"/>
      <c r="AN165" s="79"/>
      <c r="AO165" s="79"/>
      <c r="AP165" s="79"/>
      <c r="AQ165" s="78"/>
      <c r="AR165" s="79">
        <v>163980</v>
      </c>
      <c r="AS165" s="79">
        <v>94100000</v>
      </c>
      <c r="AT165" s="79">
        <v>30300000</v>
      </c>
      <c r="AU165" s="78"/>
      <c r="AV165" s="79"/>
      <c r="AW165" s="79"/>
      <c r="AX165" s="78"/>
      <c r="AY165" s="79"/>
      <c r="AZ165" s="78"/>
      <c r="BA165" s="79"/>
      <c r="BB165" s="78"/>
      <c r="BC165" s="80"/>
    </row>
    <row r="166" spans="1:55" ht="15.75" customHeight="1">
      <c r="A166" s="70" t="s">
        <v>259</v>
      </c>
      <c r="B166" s="70" t="s">
        <v>258</v>
      </c>
      <c r="C166" s="75"/>
      <c r="D166" s="76"/>
      <c r="E166" s="76"/>
      <c r="F166" s="76"/>
      <c r="G166" s="75"/>
      <c r="H166" s="76"/>
      <c r="I166" s="76"/>
      <c r="J166" s="76"/>
      <c r="K166" s="75"/>
      <c r="L166" s="76"/>
      <c r="M166" s="76"/>
      <c r="N166" s="76"/>
      <c r="O166" s="75"/>
      <c r="P166" s="76"/>
      <c r="Q166" s="76"/>
      <c r="R166" s="76"/>
      <c r="S166" s="75"/>
      <c r="T166" s="76"/>
      <c r="U166" s="76"/>
      <c r="V166" s="76"/>
      <c r="W166" s="75"/>
      <c r="X166" s="76"/>
      <c r="Y166" s="76"/>
      <c r="Z166" s="76"/>
      <c r="AA166" s="75"/>
      <c r="AB166" s="76"/>
      <c r="AC166" s="76"/>
      <c r="AD166" s="76"/>
      <c r="AE166" s="75"/>
      <c r="AF166" s="76"/>
      <c r="AG166" s="76"/>
      <c r="AH166" s="76"/>
      <c r="AI166" s="75"/>
      <c r="AJ166" s="76"/>
      <c r="AK166" s="76"/>
      <c r="AL166" s="76"/>
      <c r="AM166" s="75"/>
      <c r="AN166" s="76"/>
      <c r="AO166" s="76"/>
      <c r="AP166" s="76"/>
      <c r="AQ166" s="75"/>
      <c r="AR166" s="76"/>
      <c r="AS166" s="76"/>
      <c r="AT166" s="76"/>
      <c r="AU166" s="75">
        <v>9790000</v>
      </c>
      <c r="AV166" s="76"/>
      <c r="AW166" s="76"/>
      <c r="AX166" s="75"/>
      <c r="AY166" s="76"/>
      <c r="AZ166" s="75"/>
      <c r="BA166" s="76"/>
      <c r="BB166" s="75"/>
      <c r="BC166" s="77"/>
    </row>
    <row r="167" spans="1:55" ht="15.75" customHeight="1">
      <c r="A167" s="74" t="s">
        <v>228</v>
      </c>
      <c r="B167" s="74" t="s">
        <v>228</v>
      </c>
      <c r="C167" s="81"/>
      <c r="D167" s="82"/>
      <c r="E167" s="82"/>
      <c r="F167" s="82"/>
      <c r="G167" s="81"/>
      <c r="H167" s="82"/>
      <c r="I167" s="82"/>
      <c r="J167" s="82"/>
      <c r="K167" s="81"/>
      <c r="L167" s="82"/>
      <c r="M167" s="82"/>
      <c r="N167" s="82"/>
      <c r="O167" s="81"/>
      <c r="P167" s="82"/>
      <c r="Q167" s="82"/>
      <c r="R167" s="82"/>
      <c r="S167" s="81"/>
      <c r="T167" s="82"/>
      <c r="U167" s="82"/>
      <c r="V167" s="82"/>
      <c r="W167" s="81"/>
      <c r="X167" s="82"/>
      <c r="Y167" s="82"/>
      <c r="Z167" s="82"/>
      <c r="AA167" s="81"/>
      <c r="AB167" s="82"/>
      <c r="AC167" s="82"/>
      <c r="AD167" s="82"/>
      <c r="AE167" s="81"/>
      <c r="AF167" s="82"/>
      <c r="AG167" s="82"/>
      <c r="AH167" s="82"/>
      <c r="AI167" s="81"/>
      <c r="AJ167" s="82"/>
      <c r="AK167" s="82"/>
      <c r="AL167" s="82"/>
      <c r="AM167" s="81">
        <v>14259084</v>
      </c>
      <c r="AN167" s="82">
        <v>4300000</v>
      </c>
      <c r="AO167" s="82">
        <v>1684015298</v>
      </c>
      <c r="AP167" s="82">
        <v>652086196</v>
      </c>
      <c r="AQ167" s="81"/>
      <c r="AR167" s="82"/>
      <c r="AS167" s="82">
        <v>478582358</v>
      </c>
      <c r="AT167" s="82">
        <v>221723553</v>
      </c>
      <c r="AU167" s="81">
        <v>19600000</v>
      </c>
      <c r="AV167" s="82">
        <v>0</v>
      </c>
      <c r="AW167" s="82">
        <v>233300000</v>
      </c>
      <c r="AX167" s="81"/>
      <c r="AY167" s="82"/>
      <c r="AZ167" s="81"/>
      <c r="BA167" s="82"/>
      <c r="BB167" s="81"/>
      <c r="BC167" s="83"/>
    </row>
    <row r="168" spans="1:55" ht="15.75" customHeight="1"/>
    <row r="169" spans="1:55" ht="15.75" customHeight="1"/>
    <row r="170" spans="1:55" ht="15.75" customHeight="1"/>
    <row r="171" spans="1:55" ht="15.75" customHeight="1"/>
    <row r="172" spans="1:55" ht="15.75" customHeight="1"/>
    <row r="173" spans="1:55" ht="15.75" customHeight="1"/>
    <row r="174" spans="1:55" ht="15.75" customHeight="1"/>
    <row r="175" spans="1:55" ht="15.75" customHeight="1"/>
    <row r="176" spans="1:55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4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F1000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" customHeight="1"/>
  <cols>
    <col min="1" max="1" width="25.33203125" customWidth="1"/>
    <col min="2" max="2" width="41.6640625" customWidth="1"/>
    <col min="3" max="3" width="63.1640625" customWidth="1"/>
    <col min="5" max="5" width="13.6640625" customWidth="1"/>
  </cols>
  <sheetData>
    <row r="1" spans="1:6" ht="15.75" customHeight="1">
      <c r="A1" s="64" t="s">
        <v>285</v>
      </c>
      <c r="B1" s="65"/>
      <c r="C1" s="64" t="s">
        <v>4</v>
      </c>
      <c r="D1" s="65"/>
      <c r="E1" s="65"/>
      <c r="F1" s="67"/>
    </row>
    <row r="2" spans="1:6" ht="15.75" customHeight="1">
      <c r="A2" s="64" t="s">
        <v>2</v>
      </c>
      <c r="B2" s="64" t="s">
        <v>6</v>
      </c>
      <c r="C2" s="70" t="s">
        <v>12</v>
      </c>
      <c r="D2" s="71" t="s">
        <v>16</v>
      </c>
      <c r="E2" s="71" t="s">
        <v>15</v>
      </c>
      <c r="F2" s="72" t="s">
        <v>14</v>
      </c>
    </row>
    <row r="3" spans="1:6" ht="15.75" customHeight="1">
      <c r="A3" s="70" t="s">
        <v>10</v>
      </c>
      <c r="B3" s="70" t="s">
        <v>10</v>
      </c>
      <c r="C3" s="75">
        <v>22000000</v>
      </c>
      <c r="D3" s="76">
        <v>175176152</v>
      </c>
      <c r="E3" s="76">
        <v>18834823016</v>
      </c>
      <c r="F3" s="77">
        <v>2919599635</v>
      </c>
    </row>
    <row r="4" spans="1:6" ht="15.75" customHeight="1">
      <c r="A4" s="68"/>
      <c r="B4" s="73" t="s">
        <v>18</v>
      </c>
      <c r="C4" s="78"/>
      <c r="D4" s="79"/>
      <c r="E4" s="79">
        <v>152100000</v>
      </c>
      <c r="F4" s="80">
        <v>53500000</v>
      </c>
    </row>
    <row r="5" spans="1:6" ht="15.75" customHeight="1">
      <c r="A5" s="68"/>
      <c r="B5" s="73" t="s">
        <v>19</v>
      </c>
      <c r="C5" s="78"/>
      <c r="D5" s="79"/>
      <c r="E5" s="79">
        <v>774508310</v>
      </c>
      <c r="F5" s="80">
        <v>505299903</v>
      </c>
    </row>
    <row r="6" spans="1:6" ht="15.75" customHeight="1">
      <c r="A6" s="70" t="s">
        <v>20</v>
      </c>
      <c r="B6" s="70" t="s">
        <v>20</v>
      </c>
      <c r="C6" s="75"/>
      <c r="D6" s="76">
        <v>3700000</v>
      </c>
      <c r="E6" s="76">
        <v>3176400000</v>
      </c>
      <c r="F6" s="77">
        <v>1445100000</v>
      </c>
    </row>
    <row r="7" spans="1:6" ht="15.75" customHeight="1">
      <c r="A7" s="68"/>
      <c r="B7" s="73" t="s">
        <v>26</v>
      </c>
      <c r="C7" s="78"/>
      <c r="D7" s="79">
        <v>20180000</v>
      </c>
      <c r="E7" s="79"/>
      <c r="F7" s="80"/>
    </row>
    <row r="8" spans="1:6" ht="15.75" customHeight="1">
      <c r="A8" s="70" t="s">
        <v>32</v>
      </c>
      <c r="B8" s="70" t="s">
        <v>32</v>
      </c>
      <c r="C8" s="75"/>
      <c r="D8" s="76">
        <v>3000000</v>
      </c>
      <c r="E8" s="76"/>
      <c r="F8" s="77"/>
    </row>
    <row r="9" spans="1:6" ht="15.75" customHeight="1">
      <c r="A9" s="70" t="s">
        <v>24</v>
      </c>
      <c r="B9" s="70" t="s">
        <v>24</v>
      </c>
      <c r="C9" s="75">
        <v>7000000</v>
      </c>
      <c r="D9" s="76">
        <v>29125455</v>
      </c>
      <c r="E9" s="76">
        <v>4411270510</v>
      </c>
      <c r="F9" s="77">
        <v>438148681</v>
      </c>
    </row>
    <row r="10" spans="1:6" ht="15.75" customHeight="1">
      <c r="A10" s="68"/>
      <c r="B10" s="73" t="s">
        <v>29</v>
      </c>
      <c r="C10" s="78"/>
      <c r="D10" s="79"/>
      <c r="E10" s="79">
        <v>14163313</v>
      </c>
      <c r="F10" s="80">
        <v>3896575</v>
      </c>
    </row>
    <row r="11" spans="1:6" ht="15.75" customHeight="1">
      <c r="A11" s="70" t="s">
        <v>30</v>
      </c>
      <c r="B11" s="70" t="s">
        <v>30</v>
      </c>
      <c r="C11" s="75"/>
      <c r="D11" s="76">
        <v>16858677</v>
      </c>
      <c r="E11" s="76">
        <v>1312231557</v>
      </c>
      <c r="F11" s="77">
        <v>224400000</v>
      </c>
    </row>
    <row r="12" spans="1:6" ht="15.75" customHeight="1">
      <c r="A12" s="68"/>
      <c r="B12" s="73" t="s">
        <v>37</v>
      </c>
      <c r="C12" s="78"/>
      <c r="D12" s="79"/>
      <c r="E12" s="79">
        <v>306600000</v>
      </c>
      <c r="F12" s="80">
        <v>73800000</v>
      </c>
    </row>
    <row r="13" spans="1:6" ht="15.75" customHeight="1">
      <c r="A13" s="68"/>
      <c r="B13" s="73" t="s">
        <v>35</v>
      </c>
      <c r="C13" s="78"/>
      <c r="D13" s="79">
        <v>1037000</v>
      </c>
      <c r="E13" s="79">
        <v>1631900000</v>
      </c>
      <c r="F13" s="80">
        <v>423100000</v>
      </c>
    </row>
    <row r="14" spans="1:6" ht="15.75" customHeight="1">
      <c r="A14" s="68"/>
      <c r="B14" s="73" t="s">
        <v>46</v>
      </c>
      <c r="C14" s="78"/>
      <c r="D14" s="79">
        <v>250000</v>
      </c>
      <c r="E14" s="79"/>
      <c r="F14" s="80"/>
    </row>
    <row r="15" spans="1:6" ht="15.75" customHeight="1">
      <c r="A15" s="70" t="s">
        <v>264</v>
      </c>
      <c r="B15" s="70" t="s">
        <v>72</v>
      </c>
      <c r="C15" s="75"/>
      <c r="D15" s="76">
        <v>552000</v>
      </c>
      <c r="E15" s="76"/>
      <c r="F15" s="77"/>
    </row>
    <row r="16" spans="1:6" ht="15.75" customHeight="1">
      <c r="A16" s="70" t="s">
        <v>38</v>
      </c>
      <c r="B16" s="70" t="s">
        <v>38</v>
      </c>
      <c r="C16" s="75"/>
      <c r="D16" s="76">
        <v>44280524</v>
      </c>
      <c r="E16" s="76">
        <v>3310425644</v>
      </c>
      <c r="F16" s="77">
        <v>651600000</v>
      </c>
    </row>
    <row r="17" spans="1:6" ht="15.75" customHeight="1">
      <c r="A17" s="70" t="s">
        <v>41</v>
      </c>
      <c r="B17" s="70" t="s">
        <v>41</v>
      </c>
      <c r="C17" s="75">
        <v>5141183</v>
      </c>
      <c r="D17" s="76">
        <v>30181311</v>
      </c>
      <c r="E17" s="76">
        <v>5949269218</v>
      </c>
      <c r="F17" s="77">
        <v>1887742766</v>
      </c>
    </row>
    <row r="18" spans="1:6" ht="15.75" customHeight="1">
      <c r="A18" s="68"/>
      <c r="B18" s="73" t="s">
        <v>43</v>
      </c>
      <c r="C18" s="78"/>
      <c r="D18" s="79"/>
      <c r="E18" s="79">
        <v>331200000</v>
      </c>
      <c r="F18" s="80">
        <v>70000000</v>
      </c>
    </row>
    <row r="19" spans="1:6" ht="15.75" customHeight="1">
      <c r="A19" s="68"/>
      <c r="B19" s="73" t="s">
        <v>40</v>
      </c>
      <c r="C19" s="78"/>
      <c r="D19" s="79">
        <v>1300000</v>
      </c>
      <c r="E19" s="79">
        <v>345700000</v>
      </c>
      <c r="F19" s="80">
        <v>80500000</v>
      </c>
    </row>
    <row r="20" spans="1:6" ht="15.75" customHeight="1">
      <c r="A20" s="70" t="s">
        <v>44</v>
      </c>
      <c r="B20" s="70" t="s">
        <v>44</v>
      </c>
      <c r="C20" s="75">
        <v>9472310</v>
      </c>
      <c r="D20" s="76">
        <v>53588812</v>
      </c>
      <c r="E20" s="76">
        <v>8614583585</v>
      </c>
      <c r="F20" s="77">
        <v>2696024868</v>
      </c>
    </row>
    <row r="21" spans="1:6" ht="15.75" customHeight="1">
      <c r="A21" s="70" t="s">
        <v>80</v>
      </c>
      <c r="B21" s="70" t="s">
        <v>80</v>
      </c>
      <c r="C21" s="75"/>
      <c r="D21" s="76">
        <v>40843380</v>
      </c>
      <c r="E21" s="76">
        <v>1198162628</v>
      </c>
      <c r="F21" s="77"/>
    </row>
    <row r="22" spans="1:6" ht="15.75" customHeight="1">
      <c r="A22" s="70" t="s">
        <v>48</v>
      </c>
      <c r="B22" s="70" t="s">
        <v>48</v>
      </c>
      <c r="C22" s="75">
        <v>1143502</v>
      </c>
      <c r="D22" s="76"/>
      <c r="E22" s="76">
        <v>160691683</v>
      </c>
      <c r="F22" s="77">
        <v>101406953</v>
      </c>
    </row>
    <row r="23" spans="1:6" ht="15.75" customHeight="1">
      <c r="A23" s="70" t="s">
        <v>50</v>
      </c>
      <c r="B23" s="70" t="s">
        <v>50</v>
      </c>
      <c r="C23" s="75"/>
      <c r="D23" s="76">
        <v>10575235</v>
      </c>
      <c r="E23" s="76">
        <v>97417107</v>
      </c>
      <c r="F23" s="77">
        <v>10300000</v>
      </c>
    </row>
    <row r="24" spans="1:6" ht="15.75" customHeight="1">
      <c r="A24" s="68"/>
      <c r="B24" s="73" t="s">
        <v>52</v>
      </c>
      <c r="C24" s="78"/>
      <c r="D24" s="79"/>
      <c r="E24" s="79">
        <v>30392419</v>
      </c>
      <c r="F24" s="80">
        <v>12250508</v>
      </c>
    </row>
    <row r="25" spans="1:6" ht="15.75" customHeight="1">
      <c r="A25" s="70" t="s">
        <v>53</v>
      </c>
      <c r="B25" s="70" t="s">
        <v>53</v>
      </c>
      <c r="C25" s="75"/>
      <c r="D25" s="76">
        <v>49600000</v>
      </c>
      <c r="E25" s="76">
        <v>563000000</v>
      </c>
      <c r="F25" s="77">
        <v>111800000</v>
      </c>
    </row>
    <row r="26" spans="1:6" ht="15.75" customHeight="1">
      <c r="A26" s="68"/>
      <c r="B26" s="73" t="s">
        <v>56</v>
      </c>
      <c r="C26" s="78"/>
      <c r="D26" s="79"/>
      <c r="E26" s="79">
        <v>218740000</v>
      </c>
      <c r="F26" s="80">
        <v>73139091</v>
      </c>
    </row>
    <row r="27" spans="1:6" ht="15.75" customHeight="1">
      <c r="A27" s="68"/>
      <c r="B27" s="73" t="s">
        <v>55</v>
      </c>
      <c r="C27" s="78"/>
      <c r="D27" s="79"/>
      <c r="E27" s="79">
        <v>198066562</v>
      </c>
      <c r="F27" s="80">
        <v>103886477</v>
      </c>
    </row>
    <row r="28" spans="1:6" ht="15.75" customHeight="1">
      <c r="A28" s="70" t="s">
        <v>157</v>
      </c>
      <c r="B28" s="70" t="s">
        <v>157</v>
      </c>
      <c r="C28" s="75"/>
      <c r="D28" s="76">
        <v>19616782</v>
      </c>
      <c r="E28" s="76">
        <v>544601391</v>
      </c>
      <c r="F28" s="77"/>
    </row>
    <row r="29" spans="1:6" ht="15.75" customHeight="1">
      <c r="A29" s="68"/>
      <c r="B29" s="73" t="s">
        <v>158</v>
      </c>
      <c r="C29" s="78"/>
      <c r="D29" s="79">
        <v>1951385</v>
      </c>
      <c r="E29" s="79"/>
      <c r="F29" s="80"/>
    </row>
    <row r="30" spans="1:6" ht="15.75" customHeight="1">
      <c r="A30" s="70" t="s">
        <v>57</v>
      </c>
      <c r="B30" s="70" t="s">
        <v>57</v>
      </c>
      <c r="C30" s="75">
        <v>27510000</v>
      </c>
      <c r="D30" s="76">
        <v>164196753</v>
      </c>
      <c r="E30" s="76">
        <v>19914968310</v>
      </c>
      <c r="F30" s="77">
        <v>5166732128</v>
      </c>
    </row>
    <row r="31" spans="1:6" ht="15.75" customHeight="1">
      <c r="A31" s="68"/>
      <c r="B31" s="73" t="s">
        <v>71</v>
      </c>
      <c r="C31" s="78"/>
      <c r="D31" s="79">
        <v>1668000</v>
      </c>
      <c r="E31" s="79">
        <v>1828400000</v>
      </c>
      <c r="F31" s="80">
        <v>311000000</v>
      </c>
    </row>
    <row r="32" spans="1:6" ht="15.75" customHeight="1">
      <c r="A32" s="68"/>
      <c r="B32" s="73" t="s">
        <v>122</v>
      </c>
      <c r="C32" s="78"/>
      <c r="D32" s="79">
        <v>741000</v>
      </c>
      <c r="E32" s="79"/>
      <c r="F32" s="80"/>
    </row>
    <row r="33" spans="1:6" ht="15.75" customHeight="1">
      <c r="A33" s="70" t="s">
        <v>74</v>
      </c>
      <c r="B33" s="70" t="s">
        <v>74</v>
      </c>
      <c r="C33" s="75">
        <v>300000</v>
      </c>
      <c r="D33" s="76">
        <v>1171417</v>
      </c>
      <c r="E33" s="76">
        <v>343882984</v>
      </c>
      <c r="F33" s="77">
        <v>100453575</v>
      </c>
    </row>
    <row r="34" spans="1:6" ht="15.75" customHeight="1">
      <c r="A34" s="68"/>
      <c r="B34" s="73" t="s">
        <v>125</v>
      </c>
      <c r="C34" s="78"/>
      <c r="D34" s="79">
        <v>1150000</v>
      </c>
      <c r="E34" s="79"/>
      <c r="F34" s="80"/>
    </row>
    <row r="35" spans="1:6" ht="15.75" customHeight="1">
      <c r="A35" s="68"/>
      <c r="B35" s="73" t="s">
        <v>76</v>
      </c>
      <c r="C35" s="78">
        <v>206000</v>
      </c>
      <c r="D35" s="79"/>
      <c r="E35" s="79">
        <v>79310556</v>
      </c>
      <c r="F35" s="80">
        <v>40222828</v>
      </c>
    </row>
    <row r="36" spans="1:6" ht="15.75" customHeight="1">
      <c r="A36" s="68"/>
      <c r="B36" s="73" t="s">
        <v>77</v>
      </c>
      <c r="C36" s="78">
        <v>120000</v>
      </c>
      <c r="D36" s="79"/>
      <c r="E36" s="79">
        <v>33264338</v>
      </c>
      <c r="F36" s="80">
        <v>19370114</v>
      </c>
    </row>
    <row r="37" spans="1:6" ht="15.75" customHeight="1">
      <c r="A37" s="68"/>
      <c r="B37" s="73" t="s">
        <v>131</v>
      </c>
      <c r="C37" s="78"/>
      <c r="D37" s="79">
        <v>150000</v>
      </c>
      <c r="E37" s="79"/>
      <c r="F37" s="80"/>
    </row>
    <row r="38" spans="1:6" ht="15.75" customHeight="1">
      <c r="A38" s="70" t="s">
        <v>60</v>
      </c>
      <c r="B38" s="70" t="s">
        <v>59</v>
      </c>
      <c r="C38" s="75"/>
      <c r="D38" s="76"/>
      <c r="E38" s="76">
        <v>31100000</v>
      </c>
      <c r="F38" s="77">
        <v>15100000</v>
      </c>
    </row>
    <row r="39" spans="1:6" ht="15.75" customHeight="1">
      <c r="A39" s="70" t="s">
        <v>134</v>
      </c>
      <c r="B39" s="70" t="s">
        <v>133</v>
      </c>
      <c r="C39" s="75"/>
      <c r="D39" s="76">
        <v>9000000</v>
      </c>
      <c r="E39" s="76"/>
      <c r="F39" s="77"/>
    </row>
    <row r="40" spans="1:6" ht="15.75" customHeight="1">
      <c r="A40" s="70" t="s">
        <v>153</v>
      </c>
      <c r="B40" s="70" t="s">
        <v>153</v>
      </c>
      <c r="C40" s="75"/>
      <c r="D40" s="76">
        <v>3915122</v>
      </c>
      <c r="E40" s="76">
        <v>299733762</v>
      </c>
      <c r="F40" s="77"/>
    </row>
    <row r="41" spans="1:6" ht="15.75" customHeight="1">
      <c r="A41" s="68"/>
      <c r="B41" s="73" t="s">
        <v>152</v>
      </c>
      <c r="C41" s="78"/>
      <c r="D41" s="79"/>
      <c r="E41" s="79">
        <v>14781209</v>
      </c>
      <c r="F41" s="80">
        <v>5981608</v>
      </c>
    </row>
    <row r="42" spans="1:6" ht="15.75" customHeight="1">
      <c r="A42" s="68"/>
      <c r="B42" s="73" t="s">
        <v>267</v>
      </c>
      <c r="C42" s="78"/>
      <c r="D42" s="79">
        <v>1700000</v>
      </c>
      <c r="E42" s="79"/>
      <c r="F42" s="80"/>
    </row>
    <row r="43" spans="1:6" ht="15.75" customHeight="1">
      <c r="A43" s="70" t="s">
        <v>78</v>
      </c>
      <c r="B43" s="70" t="s">
        <v>78</v>
      </c>
      <c r="C43" s="75"/>
      <c r="D43" s="76">
        <v>127560484</v>
      </c>
      <c r="E43" s="76">
        <v>18012198648</v>
      </c>
      <c r="F43" s="77">
        <v>2892900000</v>
      </c>
    </row>
    <row r="44" spans="1:6" ht="15.75" customHeight="1">
      <c r="A44" s="70" t="s">
        <v>62</v>
      </c>
      <c r="B44" s="70" t="s">
        <v>62</v>
      </c>
      <c r="C44" s="75"/>
      <c r="D44" s="76">
        <v>1037961</v>
      </c>
      <c r="E44" s="76">
        <v>53500000</v>
      </c>
      <c r="F44" s="77">
        <v>5940200</v>
      </c>
    </row>
    <row r="45" spans="1:6" ht="15.75" customHeight="1">
      <c r="A45" s="70" t="s">
        <v>64</v>
      </c>
      <c r="B45" s="70" t="s">
        <v>64</v>
      </c>
      <c r="C45" s="75"/>
      <c r="D45" s="76">
        <v>15600000</v>
      </c>
      <c r="E45" s="76">
        <v>485578077</v>
      </c>
      <c r="F45" s="77">
        <v>26000000</v>
      </c>
    </row>
    <row r="46" spans="1:6" ht="15.75" customHeight="1">
      <c r="A46" s="68"/>
      <c r="B46" s="73" t="s">
        <v>66</v>
      </c>
      <c r="C46" s="78"/>
      <c r="D46" s="79"/>
      <c r="E46" s="79">
        <v>16701505</v>
      </c>
      <c r="F46" s="80">
        <v>8103006</v>
      </c>
    </row>
    <row r="47" spans="1:6" ht="15.75" customHeight="1">
      <c r="A47" s="68"/>
      <c r="B47" s="73" t="s">
        <v>68</v>
      </c>
      <c r="C47" s="78"/>
      <c r="D47" s="79"/>
      <c r="E47" s="79">
        <v>34193050</v>
      </c>
      <c r="F47" s="80">
        <v>8238535</v>
      </c>
    </row>
    <row r="48" spans="1:6" ht="15.75" customHeight="1">
      <c r="A48" s="68"/>
      <c r="B48" s="73" t="s">
        <v>267</v>
      </c>
      <c r="C48" s="78"/>
      <c r="D48" s="79">
        <v>3800000</v>
      </c>
      <c r="E48" s="79"/>
      <c r="F48" s="80"/>
    </row>
    <row r="49" spans="1:6" ht="15.75" customHeight="1">
      <c r="A49" s="70" t="s">
        <v>82</v>
      </c>
      <c r="B49" s="70" t="s">
        <v>82</v>
      </c>
      <c r="C49" s="75">
        <v>3288000</v>
      </c>
      <c r="D49" s="76">
        <v>43013979</v>
      </c>
      <c r="E49" s="76">
        <v>3881362462</v>
      </c>
      <c r="F49" s="77">
        <v>585032271</v>
      </c>
    </row>
    <row r="50" spans="1:6" ht="15.75" customHeight="1">
      <c r="A50" s="68"/>
      <c r="B50" s="73" t="s">
        <v>84</v>
      </c>
      <c r="C50" s="78"/>
      <c r="D50" s="79"/>
      <c r="E50" s="79">
        <v>139000000</v>
      </c>
      <c r="F50" s="80">
        <v>64300000</v>
      </c>
    </row>
    <row r="51" spans="1:6" ht="15.75" customHeight="1">
      <c r="A51" s="68"/>
      <c r="B51" s="73" t="s">
        <v>85</v>
      </c>
      <c r="C51" s="78">
        <v>900000</v>
      </c>
      <c r="D51" s="79"/>
      <c r="E51" s="79">
        <v>152343810</v>
      </c>
      <c r="F51" s="80">
        <v>72771635</v>
      </c>
    </row>
    <row r="52" spans="1:6" ht="15.75" customHeight="1">
      <c r="A52" s="68"/>
      <c r="B52" s="73" t="s">
        <v>91</v>
      </c>
      <c r="C52" s="78"/>
      <c r="D52" s="79"/>
      <c r="E52" s="79">
        <v>1502221330</v>
      </c>
      <c r="F52" s="80">
        <v>1108519732</v>
      </c>
    </row>
    <row r="53" spans="1:6" ht="15.75" customHeight="1">
      <c r="A53" s="70" t="s">
        <v>69</v>
      </c>
      <c r="B53" s="70" t="s">
        <v>69</v>
      </c>
      <c r="C53" s="75"/>
      <c r="D53" s="76">
        <v>10200000</v>
      </c>
      <c r="E53" s="76">
        <v>696217101</v>
      </c>
      <c r="F53" s="77">
        <v>12400000</v>
      </c>
    </row>
    <row r="54" spans="1:6" ht="15.75" customHeight="1">
      <c r="A54" s="68"/>
      <c r="B54" s="73" t="s">
        <v>261</v>
      </c>
      <c r="C54" s="78"/>
      <c r="D54" s="79">
        <v>2300000</v>
      </c>
      <c r="E54" s="79"/>
      <c r="F54" s="80"/>
    </row>
    <row r="55" spans="1:6" ht="15.75" customHeight="1">
      <c r="A55" s="68"/>
      <c r="B55" s="73" t="s">
        <v>267</v>
      </c>
      <c r="C55" s="78"/>
      <c r="D55" s="79">
        <v>2800000</v>
      </c>
      <c r="E55" s="79"/>
      <c r="F55" s="80"/>
    </row>
    <row r="56" spans="1:6" ht="15.75" customHeight="1">
      <c r="A56" s="70" t="s">
        <v>92</v>
      </c>
      <c r="B56" s="70" t="s">
        <v>92</v>
      </c>
      <c r="C56" s="75"/>
      <c r="D56" s="76">
        <v>1500000</v>
      </c>
      <c r="E56" s="76">
        <v>50500000</v>
      </c>
      <c r="F56" s="77">
        <v>16700000</v>
      </c>
    </row>
    <row r="57" spans="1:6" ht="15.75" customHeight="1">
      <c r="A57" s="70" t="s">
        <v>94</v>
      </c>
      <c r="B57" s="70" t="s">
        <v>94</v>
      </c>
      <c r="C57" s="75"/>
      <c r="D57" s="76">
        <v>42100000</v>
      </c>
      <c r="E57" s="76">
        <v>25000000</v>
      </c>
      <c r="F57" s="77">
        <v>9600000</v>
      </c>
    </row>
    <row r="58" spans="1:6" ht="15.75" customHeight="1">
      <c r="A58" s="70" t="s">
        <v>96</v>
      </c>
      <c r="B58" s="70" t="s">
        <v>96</v>
      </c>
      <c r="C58" s="75"/>
      <c r="D58" s="76">
        <v>61454198</v>
      </c>
      <c r="E58" s="76">
        <v>5852604347</v>
      </c>
      <c r="F58" s="77">
        <v>3798400000</v>
      </c>
    </row>
    <row r="59" spans="1:6" ht="15.75" customHeight="1">
      <c r="A59" s="68"/>
      <c r="B59" s="73" t="s">
        <v>109</v>
      </c>
      <c r="C59" s="78"/>
      <c r="D59" s="79"/>
      <c r="E59" s="79">
        <v>187725113</v>
      </c>
      <c r="F59" s="80">
        <v>51113653</v>
      </c>
    </row>
    <row r="60" spans="1:6" ht="15.75" customHeight="1">
      <c r="A60" s="68"/>
      <c r="B60" s="73" t="s">
        <v>110</v>
      </c>
      <c r="C60" s="78"/>
      <c r="D60" s="79"/>
      <c r="E60" s="79">
        <v>283700000</v>
      </c>
      <c r="F60" s="80">
        <v>232700000</v>
      </c>
    </row>
    <row r="61" spans="1:6" ht="15.75" customHeight="1">
      <c r="A61" s="70" t="s">
        <v>191</v>
      </c>
      <c r="B61" s="70" t="s">
        <v>190</v>
      </c>
      <c r="C61" s="75"/>
      <c r="D61" s="76">
        <v>1400000</v>
      </c>
      <c r="E61" s="76"/>
      <c r="F61" s="77"/>
    </row>
    <row r="62" spans="1:6" ht="15.75" customHeight="1">
      <c r="A62" s="70" t="s">
        <v>112</v>
      </c>
      <c r="B62" s="70" t="s">
        <v>112</v>
      </c>
      <c r="C62" s="75"/>
      <c r="D62" s="76">
        <v>10906900</v>
      </c>
      <c r="E62" s="76">
        <v>741466811</v>
      </c>
      <c r="F62" s="77"/>
    </row>
    <row r="63" spans="1:6" ht="15.75" customHeight="1">
      <c r="A63" s="68"/>
      <c r="B63" s="73" t="s">
        <v>193</v>
      </c>
      <c r="C63" s="78"/>
      <c r="D63" s="79">
        <v>13840000</v>
      </c>
      <c r="E63" s="79"/>
      <c r="F63" s="80"/>
    </row>
    <row r="64" spans="1:6" ht="15.75" customHeight="1">
      <c r="A64" s="68"/>
      <c r="B64" s="73" t="s">
        <v>111</v>
      </c>
      <c r="C64" s="78">
        <v>6081500</v>
      </c>
      <c r="D64" s="79"/>
      <c r="E64" s="79">
        <v>2805482125</v>
      </c>
      <c r="F64" s="80">
        <v>1849213359</v>
      </c>
    </row>
    <row r="65" spans="1:6" ht="15.75" customHeight="1">
      <c r="A65" s="68"/>
      <c r="B65" s="73" t="s">
        <v>114</v>
      </c>
      <c r="C65" s="78"/>
      <c r="D65" s="79"/>
      <c r="E65" s="79">
        <v>119900000</v>
      </c>
      <c r="F65" s="80">
        <v>85800000</v>
      </c>
    </row>
    <row r="66" spans="1:6" ht="15.75" customHeight="1">
      <c r="A66" s="70" t="s">
        <v>87</v>
      </c>
      <c r="B66" s="70" t="s">
        <v>86</v>
      </c>
      <c r="C66" s="75"/>
      <c r="D66" s="76"/>
      <c r="E66" s="76">
        <v>94231852</v>
      </c>
      <c r="F66" s="77">
        <v>68617608</v>
      </c>
    </row>
    <row r="67" spans="1:6" ht="15.75" customHeight="1">
      <c r="A67" s="70" t="s">
        <v>194</v>
      </c>
      <c r="B67" s="70" t="s">
        <v>194</v>
      </c>
      <c r="C67" s="75"/>
      <c r="D67" s="76">
        <v>6000000</v>
      </c>
      <c r="E67" s="76"/>
      <c r="F67" s="77"/>
    </row>
    <row r="68" spans="1:6" ht="15.75" customHeight="1">
      <c r="A68" s="68"/>
      <c r="B68" s="73" t="s">
        <v>278</v>
      </c>
      <c r="C68" s="78"/>
      <c r="D68" s="79">
        <v>2500000</v>
      </c>
      <c r="E68" s="79">
        <v>378175867</v>
      </c>
      <c r="F68" s="80"/>
    </row>
    <row r="69" spans="1:6" ht="15.75" customHeight="1">
      <c r="A69" s="68"/>
      <c r="B69" s="73" t="s">
        <v>196</v>
      </c>
      <c r="C69" s="78"/>
      <c r="D69" s="79">
        <v>1000000</v>
      </c>
      <c r="E69" s="79"/>
      <c r="F69" s="80"/>
    </row>
    <row r="70" spans="1:6" ht="15.75" customHeight="1">
      <c r="A70" s="70" t="s">
        <v>284</v>
      </c>
      <c r="B70" s="70" t="s">
        <v>278</v>
      </c>
      <c r="C70" s="75"/>
      <c r="D70" s="76">
        <v>3909222</v>
      </c>
      <c r="E70" s="76">
        <v>200203540</v>
      </c>
      <c r="F70" s="77"/>
    </row>
    <row r="71" spans="1:6" ht="15.75" customHeight="1">
      <c r="A71" s="70" t="s">
        <v>103</v>
      </c>
      <c r="B71" s="70" t="s">
        <v>199</v>
      </c>
      <c r="C71" s="75"/>
      <c r="D71" s="76">
        <v>500000</v>
      </c>
      <c r="E71" s="76"/>
      <c r="F71" s="77"/>
    </row>
    <row r="72" spans="1:6" ht="15.75" customHeight="1">
      <c r="A72" s="68"/>
      <c r="B72" s="73" t="s">
        <v>102</v>
      </c>
      <c r="C72" s="78"/>
      <c r="D72" s="79"/>
      <c r="E72" s="79">
        <v>38458738</v>
      </c>
      <c r="F72" s="80">
        <v>23805699</v>
      </c>
    </row>
    <row r="73" spans="1:6" ht="15.75" customHeight="1">
      <c r="A73" s="70" t="s">
        <v>89</v>
      </c>
      <c r="B73" s="70" t="s">
        <v>89</v>
      </c>
      <c r="C73" s="75">
        <v>200245</v>
      </c>
      <c r="D73" s="76">
        <v>4440000</v>
      </c>
      <c r="E73" s="76">
        <v>97912181</v>
      </c>
      <c r="F73" s="77">
        <v>37229017</v>
      </c>
    </row>
    <row r="74" spans="1:6" ht="15.75" customHeight="1">
      <c r="A74" s="70" t="s">
        <v>115</v>
      </c>
      <c r="B74" s="70" t="s">
        <v>115</v>
      </c>
      <c r="C74" s="75"/>
      <c r="D74" s="76">
        <v>10142488</v>
      </c>
      <c r="E74" s="76">
        <v>1168698973</v>
      </c>
      <c r="F74" s="77">
        <v>322800000</v>
      </c>
    </row>
    <row r="75" spans="1:6" ht="15.75" customHeight="1">
      <c r="A75" s="68"/>
      <c r="B75" s="73" t="s">
        <v>117</v>
      </c>
      <c r="C75" s="78"/>
      <c r="D75" s="79"/>
      <c r="E75" s="79">
        <v>10700000</v>
      </c>
      <c r="F75" s="80">
        <v>499000</v>
      </c>
    </row>
    <row r="76" spans="1:6" ht="15.75" customHeight="1">
      <c r="A76" s="68"/>
      <c r="B76" s="73" t="s">
        <v>118</v>
      </c>
      <c r="C76" s="78"/>
      <c r="D76" s="79"/>
      <c r="E76" s="79">
        <v>336182831</v>
      </c>
      <c r="F76" s="80">
        <v>279208324</v>
      </c>
    </row>
    <row r="77" spans="1:6" ht="15.75" customHeight="1">
      <c r="A77" s="70" t="s">
        <v>105</v>
      </c>
      <c r="B77" s="70" t="s">
        <v>105</v>
      </c>
      <c r="C77" s="75"/>
      <c r="D77" s="76">
        <v>10383001</v>
      </c>
      <c r="E77" s="76">
        <v>628566941</v>
      </c>
      <c r="F77" s="77">
        <v>29200000</v>
      </c>
    </row>
    <row r="78" spans="1:6" ht="15.75" customHeight="1">
      <c r="A78" s="68"/>
      <c r="B78" s="73" t="s">
        <v>108</v>
      </c>
      <c r="C78" s="78"/>
      <c r="D78" s="79">
        <v>1590000</v>
      </c>
      <c r="E78" s="79">
        <v>20100000</v>
      </c>
      <c r="F78" s="80">
        <v>13300000</v>
      </c>
    </row>
    <row r="79" spans="1:6" ht="15.75" customHeight="1">
      <c r="A79" s="70" t="s">
        <v>273</v>
      </c>
      <c r="B79" s="70" t="s">
        <v>273</v>
      </c>
      <c r="C79" s="75"/>
      <c r="D79" s="76">
        <v>6538032</v>
      </c>
      <c r="E79" s="76">
        <v>145395732</v>
      </c>
      <c r="F79" s="77"/>
    </row>
    <row r="80" spans="1:6" ht="15.75" customHeight="1">
      <c r="A80" s="70" t="s">
        <v>129</v>
      </c>
      <c r="B80" s="70" t="s">
        <v>129</v>
      </c>
      <c r="C80" s="75">
        <v>10803226</v>
      </c>
      <c r="D80" s="76">
        <v>53729550</v>
      </c>
      <c r="E80" s="76">
        <v>5864664589</v>
      </c>
      <c r="F80" s="77">
        <v>1377824782</v>
      </c>
    </row>
    <row r="81" spans="1:6" ht="15.75" customHeight="1">
      <c r="A81" s="70" t="s">
        <v>127</v>
      </c>
      <c r="B81" s="70" t="s">
        <v>127</v>
      </c>
      <c r="C81" s="75">
        <v>1248472</v>
      </c>
      <c r="D81" s="76">
        <v>2692000</v>
      </c>
      <c r="E81" s="76">
        <v>664356089</v>
      </c>
      <c r="F81" s="77">
        <v>351453694</v>
      </c>
    </row>
    <row r="82" spans="1:6" ht="15.75" customHeight="1">
      <c r="A82" s="70" t="s">
        <v>120</v>
      </c>
      <c r="B82" s="70" t="s">
        <v>120</v>
      </c>
      <c r="C82" s="75"/>
      <c r="D82" s="76">
        <v>213000</v>
      </c>
      <c r="E82" s="76">
        <v>5154000</v>
      </c>
      <c r="F82" s="77"/>
    </row>
    <row r="83" spans="1:6" ht="15.75" customHeight="1">
      <c r="A83" s="68"/>
      <c r="B83" s="73" t="s">
        <v>119</v>
      </c>
      <c r="C83" s="78"/>
      <c r="D83" s="79"/>
      <c r="E83" s="79">
        <v>18150794</v>
      </c>
      <c r="F83" s="80">
        <v>3379194</v>
      </c>
    </row>
    <row r="84" spans="1:6" ht="15.75" customHeight="1">
      <c r="A84" s="70" t="s">
        <v>123</v>
      </c>
      <c r="B84" s="70" t="s">
        <v>123</v>
      </c>
      <c r="C84" s="75"/>
      <c r="D84" s="76">
        <v>11299542</v>
      </c>
      <c r="E84" s="76">
        <v>2375815689</v>
      </c>
      <c r="F84" s="77">
        <v>291600000</v>
      </c>
    </row>
    <row r="85" spans="1:6" ht="15.75" customHeight="1">
      <c r="A85" s="68"/>
      <c r="B85" s="73" t="s">
        <v>126</v>
      </c>
      <c r="C85" s="78"/>
      <c r="D85" s="79">
        <v>7800000</v>
      </c>
      <c r="E85" s="79">
        <v>10200000</v>
      </c>
      <c r="F85" s="80">
        <v>4600000</v>
      </c>
    </row>
    <row r="86" spans="1:6" ht="15.75" customHeight="1">
      <c r="A86" s="70" t="s">
        <v>232</v>
      </c>
      <c r="B86" s="70" t="s">
        <v>231</v>
      </c>
      <c r="C86" s="75"/>
      <c r="D86" s="76"/>
      <c r="E86" s="76">
        <v>27100000</v>
      </c>
      <c r="F86" s="77">
        <v>4500000</v>
      </c>
    </row>
    <row r="87" spans="1:6" ht="15.75" customHeight="1">
      <c r="A87" s="70" t="s">
        <v>234</v>
      </c>
      <c r="B87" s="70" t="s">
        <v>235</v>
      </c>
      <c r="C87" s="75"/>
      <c r="D87" s="76">
        <v>40600000</v>
      </c>
      <c r="E87" s="76">
        <v>65000000</v>
      </c>
      <c r="F87" s="77">
        <v>26100000</v>
      </c>
    </row>
    <row r="88" spans="1:6" ht="15.75" customHeight="1">
      <c r="A88" s="70" t="s">
        <v>136</v>
      </c>
      <c r="B88" s="70" t="s">
        <v>136</v>
      </c>
      <c r="C88" s="75"/>
      <c r="D88" s="76">
        <v>56916644</v>
      </c>
      <c r="E88" s="76">
        <v>4392040974</v>
      </c>
      <c r="F88" s="77">
        <v>746900000</v>
      </c>
    </row>
    <row r="89" spans="1:6" ht="15.75" customHeight="1">
      <c r="A89" s="68"/>
      <c r="B89" s="73" t="s">
        <v>138</v>
      </c>
      <c r="C89" s="78"/>
      <c r="D89" s="79"/>
      <c r="E89" s="79">
        <v>51297000</v>
      </c>
      <c r="F89" s="80">
        <v>26977971</v>
      </c>
    </row>
    <row r="90" spans="1:6" ht="15.75" customHeight="1">
      <c r="A90" s="68"/>
      <c r="B90" s="73" t="s">
        <v>139</v>
      </c>
      <c r="C90" s="78"/>
      <c r="D90" s="79"/>
      <c r="E90" s="79">
        <v>109309173</v>
      </c>
      <c r="F90" s="80">
        <v>89055457</v>
      </c>
    </row>
    <row r="91" spans="1:6" ht="15.75" customHeight="1">
      <c r="A91" s="68"/>
      <c r="B91" s="73" t="s">
        <v>276</v>
      </c>
      <c r="C91" s="78"/>
      <c r="D91" s="79">
        <v>4525560</v>
      </c>
      <c r="E91" s="79">
        <v>2629658145</v>
      </c>
      <c r="F91" s="80"/>
    </row>
    <row r="92" spans="1:6" ht="15.75" customHeight="1">
      <c r="A92" s="68"/>
      <c r="B92" s="73" t="s">
        <v>243</v>
      </c>
      <c r="C92" s="78"/>
      <c r="D92" s="79">
        <v>1300000</v>
      </c>
      <c r="E92" s="79">
        <v>0</v>
      </c>
      <c r="F92" s="80"/>
    </row>
    <row r="93" spans="1:6" ht="15.75" customHeight="1">
      <c r="A93" s="70" t="s">
        <v>141</v>
      </c>
      <c r="B93" s="70" t="s">
        <v>140</v>
      </c>
      <c r="C93" s="75"/>
      <c r="D93" s="76"/>
      <c r="E93" s="76">
        <v>3798201</v>
      </c>
      <c r="F93" s="77">
        <v>1682185</v>
      </c>
    </row>
    <row r="94" spans="1:6" ht="15.75" customHeight="1">
      <c r="A94" s="70" t="s">
        <v>145</v>
      </c>
      <c r="B94" s="70" t="s">
        <v>145</v>
      </c>
      <c r="C94" s="75"/>
      <c r="D94" s="76">
        <v>2800000</v>
      </c>
      <c r="E94" s="76">
        <v>421900000</v>
      </c>
      <c r="F94" s="77">
        <v>272400000</v>
      </c>
    </row>
    <row r="95" spans="1:6" ht="15.75" customHeight="1">
      <c r="A95" s="68"/>
      <c r="B95" s="73" t="s">
        <v>265</v>
      </c>
      <c r="C95" s="78"/>
      <c r="D95" s="79">
        <v>4900000</v>
      </c>
      <c r="E95" s="79"/>
      <c r="F95" s="80"/>
    </row>
    <row r="96" spans="1:6" ht="15.75" customHeight="1">
      <c r="A96" s="68"/>
      <c r="B96" s="73" t="s">
        <v>148</v>
      </c>
      <c r="C96" s="78"/>
      <c r="D96" s="79"/>
      <c r="E96" s="79">
        <v>125049126</v>
      </c>
      <c r="F96" s="80">
        <v>70319785</v>
      </c>
    </row>
    <row r="97" spans="1:6" ht="15.75" customHeight="1">
      <c r="A97" s="70" t="s">
        <v>166</v>
      </c>
      <c r="B97" s="70" t="s">
        <v>165</v>
      </c>
      <c r="C97" s="75"/>
      <c r="D97" s="76"/>
      <c r="E97" s="76">
        <v>14840854</v>
      </c>
      <c r="F97" s="77">
        <v>5357651</v>
      </c>
    </row>
    <row r="98" spans="1:6" ht="15.75" customHeight="1">
      <c r="A98" s="70" t="s">
        <v>143</v>
      </c>
      <c r="B98" s="70" t="s">
        <v>143</v>
      </c>
      <c r="C98" s="75">
        <v>9827000</v>
      </c>
      <c r="D98" s="76">
        <v>37195588</v>
      </c>
      <c r="E98" s="76">
        <v>5683143379</v>
      </c>
      <c r="F98" s="77">
        <v>1777371539</v>
      </c>
    </row>
    <row r="99" spans="1:6" ht="15.75" customHeight="1">
      <c r="A99" s="70" t="s">
        <v>155</v>
      </c>
      <c r="B99" s="70" t="s">
        <v>155</v>
      </c>
      <c r="C99" s="75"/>
      <c r="D99" s="76">
        <v>93764426</v>
      </c>
      <c r="E99" s="76">
        <v>7713765157</v>
      </c>
      <c r="F99" s="77">
        <v>2185100000</v>
      </c>
    </row>
    <row r="100" spans="1:6" ht="15.75" customHeight="1">
      <c r="A100" s="68"/>
      <c r="B100" s="73" t="s">
        <v>161</v>
      </c>
      <c r="C100" s="78"/>
      <c r="D100" s="79"/>
      <c r="E100" s="79">
        <v>174400000</v>
      </c>
      <c r="F100" s="80">
        <v>81300000</v>
      </c>
    </row>
    <row r="101" spans="1:6" ht="15.75" customHeight="1">
      <c r="A101" s="68"/>
      <c r="B101" s="73" t="s">
        <v>162</v>
      </c>
      <c r="C101" s="78"/>
      <c r="D101" s="79"/>
      <c r="E101" s="79">
        <v>241200000</v>
      </c>
      <c r="F101" s="80">
        <v>130400000</v>
      </c>
    </row>
    <row r="102" spans="1:6" ht="15.75" customHeight="1">
      <c r="A102" s="68"/>
      <c r="B102" s="73" t="s">
        <v>159</v>
      </c>
      <c r="C102" s="78"/>
      <c r="D102" s="79">
        <v>1293473</v>
      </c>
      <c r="E102" s="79">
        <v>355400000</v>
      </c>
      <c r="F102" s="80">
        <v>130500000</v>
      </c>
    </row>
    <row r="103" spans="1:6" ht="15.75" customHeight="1">
      <c r="A103" s="70" t="s">
        <v>163</v>
      </c>
      <c r="B103" s="70" t="s">
        <v>163</v>
      </c>
      <c r="C103" s="75">
        <v>6114398</v>
      </c>
      <c r="D103" s="76">
        <v>25775542</v>
      </c>
      <c r="E103" s="76">
        <v>8492450484</v>
      </c>
      <c r="F103" s="77">
        <v>3019275262</v>
      </c>
    </row>
    <row r="104" spans="1:6" ht="15.75" customHeight="1">
      <c r="A104" s="70" t="s">
        <v>168</v>
      </c>
      <c r="B104" s="70" t="s">
        <v>168</v>
      </c>
      <c r="C104" s="75"/>
      <c r="D104" s="76">
        <v>65020516</v>
      </c>
      <c r="E104" s="76">
        <v>1278716548</v>
      </c>
      <c r="F104" s="77">
        <v>191900000</v>
      </c>
    </row>
    <row r="105" spans="1:6" ht="15.75" customHeight="1">
      <c r="A105" s="68"/>
      <c r="B105" s="73" t="s">
        <v>170</v>
      </c>
      <c r="C105" s="78"/>
      <c r="D105" s="79"/>
      <c r="E105" s="79">
        <v>440542688</v>
      </c>
      <c r="F105" s="80">
        <v>77349389</v>
      </c>
    </row>
    <row r="106" spans="1:6" ht="15.75" customHeight="1">
      <c r="A106" s="68"/>
      <c r="B106" s="73" t="s">
        <v>171</v>
      </c>
      <c r="C106" s="78"/>
      <c r="D106" s="79"/>
      <c r="E106" s="79">
        <v>1963473246</v>
      </c>
      <c r="F106" s="80">
        <v>1380067231</v>
      </c>
    </row>
    <row r="107" spans="1:6" ht="15.75" customHeight="1">
      <c r="A107" s="68"/>
      <c r="B107" s="73" t="s">
        <v>172</v>
      </c>
      <c r="C107" s="78"/>
      <c r="D107" s="79"/>
      <c r="E107" s="79">
        <v>661180978</v>
      </c>
      <c r="F107" s="80">
        <v>332196745</v>
      </c>
    </row>
    <row r="108" spans="1:6" ht="15.75" customHeight="1">
      <c r="A108" s="68"/>
      <c r="B108" s="73" t="s">
        <v>173</v>
      </c>
      <c r="C108" s="78"/>
      <c r="D108" s="79"/>
      <c r="E108" s="79">
        <v>356759669</v>
      </c>
      <c r="F108" s="80">
        <v>157097790</v>
      </c>
    </row>
    <row r="109" spans="1:6" ht="15.75" customHeight="1">
      <c r="A109" s="70" t="s">
        <v>150</v>
      </c>
      <c r="B109" s="70" t="s">
        <v>149</v>
      </c>
      <c r="C109" s="75"/>
      <c r="D109" s="76"/>
      <c r="E109" s="76">
        <v>39500000</v>
      </c>
      <c r="F109" s="77">
        <v>11100000</v>
      </c>
    </row>
    <row r="110" spans="1:6" ht="15.75" customHeight="1">
      <c r="A110" s="70" t="s">
        <v>174</v>
      </c>
      <c r="B110" s="70" t="s">
        <v>180</v>
      </c>
      <c r="C110" s="75"/>
      <c r="D110" s="76"/>
      <c r="E110" s="76">
        <v>33258170</v>
      </c>
      <c r="F110" s="77">
        <v>17950207</v>
      </c>
    </row>
    <row r="111" spans="1:6" ht="15.75" customHeight="1">
      <c r="A111" s="68"/>
      <c r="B111" s="73" t="s">
        <v>174</v>
      </c>
      <c r="C111" s="78"/>
      <c r="D111" s="79">
        <v>41599000</v>
      </c>
      <c r="E111" s="79">
        <v>229906963</v>
      </c>
      <c r="F111" s="80">
        <v>14000000</v>
      </c>
    </row>
    <row r="112" spans="1:6" ht="15.75" customHeight="1">
      <c r="A112" s="68"/>
      <c r="B112" s="73" t="s">
        <v>176</v>
      </c>
      <c r="C112" s="78"/>
      <c r="D112" s="79">
        <v>3060000</v>
      </c>
      <c r="E112" s="79">
        <v>788500000</v>
      </c>
      <c r="F112" s="80">
        <v>475100000</v>
      </c>
    </row>
    <row r="113" spans="1:6" ht="15.75" customHeight="1">
      <c r="A113" s="68"/>
      <c r="B113" s="73" t="s">
        <v>177</v>
      </c>
      <c r="C113" s="78">
        <v>600000</v>
      </c>
      <c r="D113" s="79"/>
      <c r="E113" s="79">
        <v>51231830</v>
      </c>
      <c r="F113" s="80">
        <v>35260463</v>
      </c>
    </row>
    <row r="114" spans="1:6" ht="15.75" customHeight="1">
      <c r="A114" s="68"/>
      <c r="B114" s="73" t="s">
        <v>178</v>
      </c>
      <c r="C114" s="78">
        <v>500000</v>
      </c>
      <c r="D114" s="79"/>
      <c r="E114" s="79">
        <v>95508967</v>
      </c>
      <c r="F114" s="80">
        <v>53544941</v>
      </c>
    </row>
    <row r="115" spans="1:6" ht="15.75" customHeight="1">
      <c r="A115" s="70" t="s">
        <v>181</v>
      </c>
      <c r="B115" s="70" t="s">
        <v>181</v>
      </c>
      <c r="C115" s="75"/>
      <c r="D115" s="76">
        <v>166000</v>
      </c>
      <c r="E115" s="76">
        <v>97195017</v>
      </c>
      <c r="F115" s="77">
        <v>50863227</v>
      </c>
    </row>
    <row r="116" spans="1:6" ht="15.75" customHeight="1">
      <c r="A116" s="68"/>
      <c r="B116" s="73" t="s">
        <v>241</v>
      </c>
      <c r="C116" s="78"/>
      <c r="D116" s="79">
        <v>1700000</v>
      </c>
      <c r="E116" s="79"/>
      <c r="F116" s="80"/>
    </row>
    <row r="117" spans="1:6" ht="15.75" customHeight="1">
      <c r="A117" s="70" t="s">
        <v>183</v>
      </c>
      <c r="B117" s="70" t="s">
        <v>183</v>
      </c>
      <c r="C117" s="75"/>
      <c r="D117" s="76">
        <v>9515461</v>
      </c>
      <c r="E117" s="76">
        <v>175500000</v>
      </c>
      <c r="F117" s="77">
        <v>47300000</v>
      </c>
    </row>
    <row r="118" spans="1:6" ht="15.75" customHeight="1">
      <c r="A118" s="70" t="s">
        <v>185</v>
      </c>
      <c r="B118" s="70" t="s">
        <v>185</v>
      </c>
      <c r="C118" s="75">
        <v>10166404</v>
      </c>
      <c r="D118" s="76">
        <v>61679627</v>
      </c>
      <c r="E118" s="76">
        <v>18213001471</v>
      </c>
      <c r="F118" s="77">
        <v>6212038722</v>
      </c>
    </row>
    <row r="119" spans="1:6" ht="15.75" customHeight="1">
      <c r="A119" s="70" t="s">
        <v>188</v>
      </c>
      <c r="B119" s="70" t="s">
        <v>187</v>
      </c>
      <c r="C119" s="75"/>
      <c r="D119" s="76"/>
      <c r="E119" s="76">
        <v>619673235</v>
      </c>
      <c r="F119" s="77">
        <v>379211301</v>
      </c>
    </row>
    <row r="120" spans="1:6" ht="15.75" customHeight="1">
      <c r="A120" s="68"/>
      <c r="B120" s="73" t="s">
        <v>188</v>
      </c>
      <c r="C120" s="78">
        <v>6587000</v>
      </c>
      <c r="D120" s="79">
        <v>92608694</v>
      </c>
      <c r="E120" s="79">
        <v>24078551370</v>
      </c>
      <c r="F120" s="80">
        <v>8344393093</v>
      </c>
    </row>
    <row r="121" spans="1:6" ht="15.75" customHeight="1">
      <c r="A121" s="68"/>
      <c r="B121" s="73" t="s">
        <v>251</v>
      </c>
      <c r="C121" s="78"/>
      <c r="D121" s="79">
        <v>4105000</v>
      </c>
      <c r="E121" s="79"/>
      <c r="F121" s="80"/>
    </row>
    <row r="122" spans="1:6" ht="15.75" customHeight="1">
      <c r="A122" s="68"/>
      <c r="B122" s="73" t="s">
        <v>202</v>
      </c>
      <c r="C122" s="78"/>
      <c r="D122" s="79"/>
      <c r="E122" s="79">
        <v>2189900000</v>
      </c>
      <c r="F122" s="80">
        <v>562600000</v>
      </c>
    </row>
    <row r="123" spans="1:6" ht="15.75" customHeight="1">
      <c r="A123" s="68"/>
      <c r="B123" s="73" t="s">
        <v>198</v>
      </c>
      <c r="C123" s="78"/>
      <c r="D123" s="79">
        <v>1500000</v>
      </c>
      <c r="E123" s="79">
        <v>1935500000</v>
      </c>
      <c r="F123" s="80">
        <v>348200000</v>
      </c>
    </row>
    <row r="124" spans="1:6" ht="15.75" customHeight="1">
      <c r="A124" s="68"/>
      <c r="B124" s="73" t="s">
        <v>197</v>
      </c>
      <c r="C124" s="78"/>
      <c r="D124" s="79">
        <v>2348409</v>
      </c>
      <c r="E124" s="79">
        <v>2081600000</v>
      </c>
      <c r="F124" s="80">
        <v>704000000</v>
      </c>
    </row>
    <row r="125" spans="1:6" ht="15.75" customHeight="1">
      <c r="A125" s="68"/>
      <c r="B125" s="73" t="s">
        <v>200</v>
      </c>
      <c r="C125" s="78"/>
      <c r="D125" s="79">
        <v>821000</v>
      </c>
      <c r="E125" s="79">
        <v>658000000</v>
      </c>
      <c r="F125" s="80">
        <v>186000000</v>
      </c>
    </row>
    <row r="126" spans="1:6" ht="15.75" customHeight="1">
      <c r="A126" s="68"/>
      <c r="B126" s="73" t="s">
        <v>201</v>
      </c>
      <c r="C126" s="78"/>
      <c r="D126" s="79"/>
      <c r="E126" s="79">
        <v>657700000</v>
      </c>
      <c r="F126" s="80">
        <v>355600000</v>
      </c>
    </row>
    <row r="127" spans="1:6" ht="15.75" customHeight="1">
      <c r="A127" s="68"/>
      <c r="B127" s="73" t="s">
        <v>242</v>
      </c>
      <c r="C127" s="78"/>
      <c r="D127" s="79">
        <v>1220000</v>
      </c>
      <c r="E127" s="79"/>
      <c r="F127" s="80"/>
    </row>
    <row r="128" spans="1:6" ht="15.75" customHeight="1">
      <c r="A128" s="70" t="s">
        <v>99</v>
      </c>
      <c r="B128" s="70" t="s">
        <v>99</v>
      </c>
      <c r="C128" s="75"/>
      <c r="D128" s="76">
        <v>6992137</v>
      </c>
      <c r="E128" s="76">
        <v>149692653</v>
      </c>
      <c r="F128" s="77"/>
    </row>
    <row r="129" spans="1:6" ht="15.75" customHeight="1">
      <c r="A129" s="68"/>
      <c r="B129" s="73" t="s">
        <v>98</v>
      </c>
      <c r="C129" s="78"/>
      <c r="D129" s="79"/>
      <c r="E129" s="79">
        <v>289605365</v>
      </c>
      <c r="F129" s="80">
        <v>153824575</v>
      </c>
    </row>
    <row r="130" spans="1:6" ht="15.75" customHeight="1">
      <c r="A130" s="68"/>
      <c r="B130" s="73" t="s">
        <v>227</v>
      </c>
      <c r="C130" s="78"/>
      <c r="D130" s="79"/>
      <c r="E130" s="79">
        <v>46358480</v>
      </c>
      <c r="F130" s="80">
        <v>26626535</v>
      </c>
    </row>
    <row r="131" spans="1:6" ht="15.75" customHeight="1">
      <c r="A131" s="68"/>
      <c r="B131" s="73" t="s">
        <v>101</v>
      </c>
      <c r="C131" s="78"/>
      <c r="D131" s="79"/>
      <c r="E131" s="79">
        <v>436865279</v>
      </c>
      <c r="F131" s="80">
        <v>139706149</v>
      </c>
    </row>
    <row r="132" spans="1:6" ht="15.75" customHeight="1">
      <c r="A132" s="70" t="s">
        <v>203</v>
      </c>
      <c r="B132" s="70" t="s">
        <v>203</v>
      </c>
      <c r="C132" s="75">
        <v>15050000</v>
      </c>
      <c r="D132" s="76">
        <v>121938098</v>
      </c>
      <c r="E132" s="76">
        <v>20030537976</v>
      </c>
      <c r="F132" s="77">
        <v>6249274022</v>
      </c>
    </row>
    <row r="133" spans="1:6" ht="15.75" customHeight="1">
      <c r="A133" s="70" t="s">
        <v>205</v>
      </c>
      <c r="B133" s="70" t="s">
        <v>205</v>
      </c>
      <c r="C133" s="75"/>
      <c r="D133" s="76">
        <v>98800000</v>
      </c>
      <c r="E133" s="76">
        <v>23600000000</v>
      </c>
      <c r="F133" s="77">
        <v>6781000000</v>
      </c>
    </row>
    <row r="134" spans="1:6" ht="15.75" customHeight="1">
      <c r="A134" s="68"/>
      <c r="B134" s="73" t="s">
        <v>214</v>
      </c>
      <c r="C134" s="78"/>
      <c r="D134" s="79"/>
      <c r="E134" s="79"/>
      <c r="F134" s="80">
        <v>1200000000</v>
      </c>
    </row>
    <row r="135" spans="1:6" ht="15.75" customHeight="1">
      <c r="A135" s="68"/>
      <c r="B135" s="73" t="s">
        <v>283</v>
      </c>
      <c r="C135" s="78"/>
      <c r="D135" s="79">
        <v>30689443</v>
      </c>
      <c r="E135" s="79">
        <v>11396939096</v>
      </c>
      <c r="F135" s="80"/>
    </row>
    <row r="136" spans="1:6" ht="15.75" customHeight="1">
      <c r="A136" s="68"/>
      <c r="B136" s="73" t="s">
        <v>244</v>
      </c>
      <c r="C136" s="78"/>
      <c r="D136" s="79">
        <v>10000000</v>
      </c>
      <c r="E136" s="79"/>
      <c r="F136" s="80"/>
    </row>
    <row r="137" spans="1:6" ht="15.75" customHeight="1">
      <c r="A137" s="68"/>
      <c r="B137" s="73" t="s">
        <v>208</v>
      </c>
      <c r="C137" s="78">
        <v>6800000</v>
      </c>
      <c r="D137" s="79"/>
      <c r="E137" s="79">
        <v>4014352629</v>
      </c>
      <c r="F137" s="80">
        <v>2298600243</v>
      </c>
    </row>
    <row r="138" spans="1:6" ht="15.75" customHeight="1">
      <c r="A138" s="68"/>
      <c r="B138" s="73" t="s">
        <v>209</v>
      </c>
      <c r="C138" s="78"/>
      <c r="D138" s="79">
        <v>5600000</v>
      </c>
      <c r="E138" s="79">
        <v>10730000000</v>
      </c>
      <c r="F138" s="80">
        <v>2009999999.9999998</v>
      </c>
    </row>
    <row r="139" spans="1:6" ht="15.75" customHeight="1">
      <c r="A139" s="68"/>
      <c r="B139" s="73" t="s">
        <v>210</v>
      </c>
      <c r="C139" s="78"/>
      <c r="D139" s="79">
        <v>16990000</v>
      </c>
      <c r="E139" s="79">
        <v>4500000000</v>
      </c>
      <c r="F139" s="80">
        <v>2486000000</v>
      </c>
    </row>
    <row r="140" spans="1:6" ht="15.75" customHeight="1">
      <c r="A140" s="68"/>
      <c r="B140" s="73" t="s">
        <v>211</v>
      </c>
      <c r="C140" s="78"/>
      <c r="D140" s="79"/>
      <c r="E140" s="79">
        <v>4500000000</v>
      </c>
      <c r="F140" s="80">
        <v>2400000000</v>
      </c>
    </row>
    <row r="141" spans="1:6" ht="15.75" customHeight="1">
      <c r="A141" s="68"/>
      <c r="B141" s="73" t="s">
        <v>207</v>
      </c>
      <c r="C141" s="78"/>
      <c r="D141" s="79">
        <v>15213877</v>
      </c>
      <c r="E141" s="79">
        <v>10240000000</v>
      </c>
      <c r="F141" s="80">
        <v>4930000000</v>
      </c>
    </row>
    <row r="142" spans="1:6" ht="15.75" customHeight="1">
      <c r="A142" s="68"/>
      <c r="B142" s="73" t="s">
        <v>212</v>
      </c>
      <c r="C142" s="78">
        <v>5300000</v>
      </c>
      <c r="D142" s="79"/>
      <c r="E142" s="79">
        <v>6722340112</v>
      </c>
      <c r="F142" s="80">
        <v>4514171363</v>
      </c>
    </row>
    <row r="143" spans="1:6" ht="15.75" customHeight="1">
      <c r="A143" s="70" t="s">
        <v>280</v>
      </c>
      <c r="B143" s="70" t="s">
        <v>280</v>
      </c>
      <c r="C143" s="75"/>
      <c r="D143" s="76">
        <v>0</v>
      </c>
      <c r="E143" s="76">
        <v>397623464</v>
      </c>
      <c r="F143" s="77"/>
    </row>
    <row r="144" spans="1:6" ht="15.75" customHeight="1">
      <c r="A144" s="70" t="s">
        <v>253</v>
      </c>
      <c r="B144" s="70" t="s">
        <v>253</v>
      </c>
      <c r="C144" s="75"/>
      <c r="D144" s="76"/>
      <c r="E144" s="76">
        <v>5841000000</v>
      </c>
      <c r="F144" s="77"/>
    </row>
    <row r="145" spans="1:6" ht="15.75" customHeight="1">
      <c r="A145" s="68"/>
      <c r="B145" s="73" t="s">
        <v>252</v>
      </c>
      <c r="C145" s="78"/>
      <c r="D145" s="79">
        <v>10316142</v>
      </c>
      <c r="E145" s="79"/>
      <c r="F145" s="80"/>
    </row>
    <row r="146" spans="1:6" ht="15.75" customHeight="1">
      <c r="A146" s="70" t="s">
        <v>271</v>
      </c>
      <c r="B146" s="70" t="s">
        <v>271</v>
      </c>
      <c r="C146" s="75"/>
      <c r="D146" s="76">
        <v>45195094</v>
      </c>
      <c r="E146" s="76">
        <v>14258082825</v>
      </c>
      <c r="F146" s="77"/>
    </row>
    <row r="147" spans="1:6" ht="15.75" customHeight="1">
      <c r="A147" s="68"/>
      <c r="B147" s="73" t="s">
        <v>277</v>
      </c>
      <c r="C147" s="78"/>
      <c r="D147" s="79">
        <v>20111553</v>
      </c>
      <c r="E147" s="79">
        <v>6080899576</v>
      </c>
      <c r="F147" s="80"/>
    </row>
    <row r="148" spans="1:6" ht="15.75" customHeight="1">
      <c r="A148" s="70" t="s">
        <v>246</v>
      </c>
      <c r="B148" s="70" t="s">
        <v>245</v>
      </c>
      <c r="C148" s="75"/>
      <c r="D148" s="76">
        <v>11100000</v>
      </c>
      <c r="E148" s="76"/>
      <c r="F148" s="77"/>
    </row>
    <row r="149" spans="1:6" ht="15.75" customHeight="1">
      <c r="A149" s="70" t="s">
        <v>255</v>
      </c>
      <c r="B149" s="70" t="s">
        <v>255</v>
      </c>
      <c r="C149" s="75"/>
      <c r="D149" s="76"/>
      <c r="E149" s="76">
        <v>68193940</v>
      </c>
      <c r="F149" s="77"/>
    </row>
    <row r="150" spans="1:6" ht="15.75" customHeight="1">
      <c r="A150" s="68"/>
      <c r="B150" s="73" t="s">
        <v>254</v>
      </c>
      <c r="C150" s="78"/>
      <c r="D150" s="79">
        <v>4001021</v>
      </c>
      <c r="E150" s="79">
        <v>175861462</v>
      </c>
      <c r="F150" s="80"/>
    </row>
    <row r="151" spans="1:6" ht="15.75" customHeight="1">
      <c r="A151" s="70" t="s">
        <v>248</v>
      </c>
      <c r="B151" s="70" t="s">
        <v>248</v>
      </c>
      <c r="C151" s="75"/>
      <c r="D151" s="76">
        <v>3500000</v>
      </c>
      <c r="E151" s="76"/>
      <c r="F151" s="77"/>
    </row>
    <row r="152" spans="1:6" ht="15.75" customHeight="1">
      <c r="A152" s="70" t="s">
        <v>281</v>
      </c>
      <c r="B152" s="70" t="s">
        <v>281</v>
      </c>
      <c r="C152" s="75"/>
      <c r="D152" s="76">
        <v>0</v>
      </c>
      <c r="E152" s="76">
        <v>1006545000</v>
      </c>
      <c r="F152" s="77"/>
    </row>
    <row r="153" spans="1:6" ht="15.75" customHeight="1">
      <c r="A153" s="70" t="s">
        <v>216</v>
      </c>
      <c r="B153" s="70" t="s">
        <v>216</v>
      </c>
      <c r="C153" s="75"/>
      <c r="D153" s="76"/>
      <c r="E153" s="76">
        <v>184398188</v>
      </c>
      <c r="F153" s="77">
        <v>99109148</v>
      </c>
    </row>
    <row r="154" spans="1:6" ht="15.75" customHeight="1">
      <c r="A154" s="68"/>
      <c r="B154" s="73" t="s">
        <v>250</v>
      </c>
      <c r="C154" s="78"/>
      <c r="D154" s="79">
        <v>13570000</v>
      </c>
      <c r="E154" s="79"/>
      <c r="F154" s="80"/>
    </row>
    <row r="155" spans="1:6" ht="15.75" customHeight="1">
      <c r="A155" s="70" t="s">
        <v>218</v>
      </c>
      <c r="B155" s="70" t="s">
        <v>218</v>
      </c>
      <c r="C155" s="75"/>
      <c r="D155" s="76">
        <v>83358721</v>
      </c>
      <c r="E155" s="76">
        <v>17185855745</v>
      </c>
      <c r="F155" s="77">
        <v>441400000</v>
      </c>
    </row>
    <row r="156" spans="1:6" ht="15.75" customHeight="1">
      <c r="A156" s="70" t="s">
        <v>220</v>
      </c>
      <c r="B156" s="70" t="s">
        <v>220</v>
      </c>
      <c r="C156" s="75"/>
      <c r="D156" s="76"/>
      <c r="E156" s="76">
        <v>37700000</v>
      </c>
      <c r="F156" s="77">
        <v>21800000</v>
      </c>
    </row>
    <row r="157" spans="1:6" ht="15.75" customHeight="1">
      <c r="A157" s="70" t="s">
        <v>222</v>
      </c>
      <c r="B157" s="70" t="s">
        <v>222</v>
      </c>
      <c r="C157" s="75"/>
      <c r="D157" s="76">
        <v>42581480</v>
      </c>
      <c r="E157" s="76">
        <v>5303797810</v>
      </c>
      <c r="F157" s="77">
        <v>55500000</v>
      </c>
    </row>
    <row r="158" spans="1:6" ht="15.75" customHeight="1">
      <c r="A158" s="68"/>
      <c r="B158" s="73" t="s">
        <v>257</v>
      </c>
      <c r="C158" s="78"/>
      <c r="D158" s="79">
        <v>33921741</v>
      </c>
      <c r="E158" s="79">
        <v>5088669941</v>
      </c>
      <c r="F158" s="80"/>
    </row>
    <row r="159" spans="1:6" ht="15.75" customHeight="1">
      <c r="A159" s="68"/>
      <c r="B159" s="73" t="s">
        <v>224</v>
      </c>
      <c r="C159" s="78"/>
      <c r="D159" s="79">
        <v>3600000</v>
      </c>
      <c r="E159" s="79">
        <v>2087600000</v>
      </c>
      <c r="F159" s="80">
        <v>382600000</v>
      </c>
    </row>
    <row r="160" spans="1:6" ht="15.75" customHeight="1">
      <c r="A160" s="68"/>
      <c r="B160" s="73" t="s">
        <v>256</v>
      </c>
      <c r="C160" s="78"/>
      <c r="D160" s="79">
        <v>6100000</v>
      </c>
      <c r="E160" s="79"/>
      <c r="F160" s="80"/>
    </row>
    <row r="161" spans="1:6" ht="15.75" customHeight="1">
      <c r="A161" s="70" t="s">
        <v>230</v>
      </c>
      <c r="B161" s="70" t="s">
        <v>230</v>
      </c>
      <c r="C161" s="75">
        <v>1534832</v>
      </c>
      <c r="D161" s="76"/>
      <c r="E161" s="76">
        <v>712179158</v>
      </c>
      <c r="F161" s="77">
        <v>286827637</v>
      </c>
    </row>
    <row r="162" spans="1:6" ht="15.75" customHeight="1">
      <c r="A162" s="70" t="s">
        <v>225</v>
      </c>
      <c r="B162" s="70" t="s">
        <v>225</v>
      </c>
      <c r="C162" s="75"/>
      <c r="D162" s="76">
        <v>225181261</v>
      </c>
      <c r="E162" s="76">
        <v>27807856127</v>
      </c>
      <c r="F162" s="77">
        <v>8656200000</v>
      </c>
    </row>
    <row r="163" spans="1:6" ht="15.75" customHeight="1">
      <c r="A163" s="68"/>
      <c r="B163" s="73" t="s">
        <v>238</v>
      </c>
      <c r="C163" s="78">
        <v>17616675</v>
      </c>
      <c r="D163" s="79"/>
      <c r="E163" s="79">
        <v>1769803500</v>
      </c>
      <c r="F163" s="80">
        <v>1037981902</v>
      </c>
    </row>
    <row r="164" spans="1:6" ht="15.75" customHeight="1">
      <c r="A164" s="68"/>
      <c r="B164" s="73" t="s">
        <v>239</v>
      </c>
      <c r="C164" s="78"/>
      <c r="D164" s="79">
        <v>163980</v>
      </c>
      <c r="E164" s="79">
        <v>94100000</v>
      </c>
      <c r="F164" s="80">
        <v>30300000</v>
      </c>
    </row>
    <row r="165" spans="1:6" ht="15.75" customHeight="1">
      <c r="A165" s="70" t="s">
        <v>259</v>
      </c>
      <c r="B165" s="70" t="s">
        <v>258</v>
      </c>
      <c r="C165" s="75"/>
      <c r="D165" s="76">
        <v>9790000</v>
      </c>
      <c r="E165" s="76"/>
      <c r="F165" s="77"/>
    </row>
    <row r="166" spans="1:6" ht="15.75" customHeight="1">
      <c r="A166" s="74" t="s">
        <v>228</v>
      </c>
      <c r="B166" s="74" t="s">
        <v>228</v>
      </c>
      <c r="C166" s="81">
        <v>14259084</v>
      </c>
      <c r="D166" s="82">
        <v>23900000</v>
      </c>
      <c r="E166" s="82">
        <v>2162597656</v>
      </c>
      <c r="F166" s="83">
        <v>1107109749</v>
      </c>
    </row>
    <row r="167" spans="1:6" ht="15.75" customHeight="1"/>
    <row r="168" spans="1:6" ht="15.75" customHeight="1"/>
    <row r="169" spans="1:6" ht="15.75" customHeight="1"/>
    <row r="170" spans="1:6" ht="15.75" customHeight="1"/>
    <row r="171" spans="1:6" ht="15.75" customHeight="1"/>
    <row r="172" spans="1:6" ht="15.75" customHeight="1"/>
    <row r="173" spans="1:6" ht="15.75" customHeight="1"/>
    <row r="174" spans="1:6" ht="15.75" customHeight="1"/>
    <row r="175" spans="1:6" ht="15.75" customHeight="1"/>
    <row r="176" spans="1: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4" type="noConversion"/>
  <printOptions horizontalCentered="1" gridLines="1"/>
  <pageMargins left="0.7" right="0.7" top="0.75" bottom="0.75" header="0" footer="0"/>
  <pageSetup paperSize="9" fitToHeight="0" pageOrder="overThenDown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58"/>
  <sheetViews>
    <sheetView showGridLines="0" workbookViewId="0"/>
  </sheetViews>
  <sheetFormatPr baseColWidth="10" defaultColWidth="12.6640625" defaultRowHeight="15" customHeight="1"/>
  <cols>
    <col min="1" max="1" width="11" customWidth="1"/>
    <col min="2" max="2" width="13.5" customWidth="1"/>
    <col min="3" max="3" width="11.33203125" customWidth="1"/>
    <col min="4" max="5" width="10" customWidth="1"/>
    <col min="6" max="12" width="11.33203125" customWidth="1"/>
  </cols>
  <sheetData>
    <row r="1" spans="1:14" ht="15" customHeight="1">
      <c r="A1" s="63" t="s">
        <v>285</v>
      </c>
      <c r="C1" s="63" t="s">
        <v>0</v>
      </c>
    </row>
    <row r="2" spans="1:14" ht="15" customHeight="1">
      <c r="A2" s="63" t="s">
        <v>3</v>
      </c>
      <c r="B2" s="63" t="s">
        <v>4</v>
      </c>
      <c r="C2">
        <v>2010</v>
      </c>
      <c r="D2">
        <v>2011</v>
      </c>
      <c r="E2">
        <v>2012</v>
      </c>
      <c r="F2">
        <v>2013</v>
      </c>
      <c r="G2">
        <v>2014</v>
      </c>
      <c r="H2">
        <v>2015</v>
      </c>
      <c r="I2">
        <v>2016</v>
      </c>
      <c r="J2">
        <v>2017</v>
      </c>
      <c r="K2">
        <v>2018</v>
      </c>
      <c r="L2">
        <v>2019</v>
      </c>
      <c r="M2">
        <v>2020</v>
      </c>
      <c r="N2">
        <v>2021</v>
      </c>
    </row>
    <row r="3" spans="1:14" ht="15" customHeight="1">
      <c r="A3" t="s">
        <v>11</v>
      </c>
      <c r="B3" t="s">
        <v>14</v>
      </c>
      <c r="C3" s="84">
        <v>3478399538</v>
      </c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</row>
    <row r="4" spans="1:14" ht="15" customHeight="1">
      <c r="A4" t="s">
        <v>31</v>
      </c>
      <c r="B4" t="s">
        <v>14</v>
      </c>
      <c r="C4" s="84"/>
      <c r="D4" s="84">
        <v>635900000</v>
      </c>
      <c r="E4" s="84">
        <v>85400000</v>
      </c>
      <c r="F4" s="84"/>
      <c r="G4" s="84"/>
      <c r="H4" s="84"/>
      <c r="I4" s="84"/>
      <c r="J4" s="84"/>
      <c r="K4" s="84"/>
      <c r="L4" s="84"/>
      <c r="M4" s="84"/>
      <c r="N4" s="84"/>
    </row>
    <row r="5" spans="1:14" ht="15" customHeight="1">
      <c r="A5" t="s">
        <v>25</v>
      </c>
      <c r="B5" t="s">
        <v>14</v>
      </c>
      <c r="C5" s="84">
        <v>161948681</v>
      </c>
      <c r="D5" s="84">
        <v>280096575</v>
      </c>
      <c r="E5" s="84"/>
      <c r="F5" s="84"/>
      <c r="G5" s="84"/>
      <c r="H5" s="84"/>
      <c r="I5" s="84"/>
      <c r="J5" s="84"/>
      <c r="K5" s="84"/>
      <c r="L5" s="84"/>
      <c r="M5" s="84"/>
      <c r="N5" s="84"/>
    </row>
    <row r="6" spans="1:14" ht="15" customHeight="1">
      <c r="A6" t="s">
        <v>21</v>
      </c>
      <c r="B6" t="s">
        <v>14</v>
      </c>
      <c r="C6" s="84">
        <v>1445100000</v>
      </c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</row>
    <row r="7" spans="1:14" ht="15" customHeight="1">
      <c r="A7" t="s">
        <v>42</v>
      </c>
      <c r="B7" t="s">
        <v>14</v>
      </c>
      <c r="C7" s="84"/>
      <c r="D7" s="84"/>
      <c r="E7" s="84">
        <v>1751042766</v>
      </c>
      <c r="F7" s="84">
        <v>287200000</v>
      </c>
      <c r="G7" s="84"/>
      <c r="H7" s="84"/>
      <c r="I7" s="84"/>
      <c r="J7" s="84"/>
      <c r="K7" s="84"/>
      <c r="L7" s="84"/>
      <c r="M7" s="84"/>
      <c r="N7" s="84"/>
    </row>
    <row r="8" spans="1:14" ht="15" customHeight="1">
      <c r="A8" t="s">
        <v>49</v>
      </c>
      <c r="B8" t="s">
        <v>14</v>
      </c>
      <c r="C8" s="84"/>
      <c r="D8" s="84"/>
      <c r="E8" s="84"/>
      <c r="F8" s="84">
        <v>101406953</v>
      </c>
      <c r="G8" s="84"/>
      <c r="H8" s="84"/>
      <c r="I8" s="84"/>
      <c r="J8" s="84"/>
      <c r="K8" s="84"/>
      <c r="L8" s="84"/>
      <c r="M8" s="84"/>
      <c r="N8" s="84"/>
    </row>
    <row r="9" spans="1:14" ht="15" customHeight="1">
      <c r="A9" t="s">
        <v>39</v>
      </c>
      <c r="B9" t="s">
        <v>14</v>
      </c>
      <c r="C9" s="84"/>
      <c r="D9" s="84">
        <v>528000000</v>
      </c>
      <c r="E9" s="84">
        <v>123600000</v>
      </c>
      <c r="F9" s="84"/>
      <c r="G9" s="84"/>
      <c r="H9" s="84"/>
      <c r="I9" s="84"/>
      <c r="J9" s="84"/>
      <c r="K9" s="84"/>
      <c r="L9" s="84"/>
      <c r="M9" s="84"/>
      <c r="N9" s="84"/>
    </row>
    <row r="10" spans="1:14" ht="15" customHeight="1">
      <c r="A10" t="s">
        <v>58</v>
      </c>
      <c r="B10" t="s">
        <v>14</v>
      </c>
      <c r="C10" s="84"/>
      <c r="D10" s="84"/>
      <c r="E10" s="84"/>
      <c r="F10" s="84">
        <v>3997440425</v>
      </c>
      <c r="G10" s="84">
        <v>652491703</v>
      </c>
      <c r="H10" s="84">
        <v>827800000</v>
      </c>
      <c r="I10" s="84"/>
      <c r="J10" s="84"/>
      <c r="K10" s="84"/>
      <c r="L10" s="84"/>
      <c r="M10" s="84"/>
      <c r="N10" s="84"/>
    </row>
    <row r="11" spans="1:14" ht="15" customHeight="1">
      <c r="A11" t="s">
        <v>182</v>
      </c>
      <c r="B11" t="s">
        <v>14</v>
      </c>
      <c r="C11" s="84"/>
      <c r="D11" s="84"/>
      <c r="E11" s="84"/>
      <c r="F11" s="84"/>
      <c r="G11" s="84"/>
      <c r="H11" s="84"/>
      <c r="I11" s="84"/>
      <c r="J11" s="84">
        <v>50863227</v>
      </c>
      <c r="K11" s="84"/>
      <c r="L11" s="84"/>
      <c r="M11" s="84"/>
      <c r="N11" s="84"/>
    </row>
    <row r="12" spans="1:14" ht="15" customHeight="1">
      <c r="A12" t="s">
        <v>51</v>
      </c>
      <c r="B12" t="s">
        <v>14</v>
      </c>
      <c r="C12" s="84"/>
      <c r="D12" s="84"/>
      <c r="E12" s="84"/>
      <c r="F12" s="84">
        <v>22550508</v>
      </c>
      <c r="G12" s="84"/>
      <c r="H12" s="84"/>
      <c r="I12" s="84"/>
      <c r="J12" s="84"/>
      <c r="K12" s="84"/>
      <c r="L12" s="84"/>
      <c r="M12" s="84"/>
      <c r="N12" s="84"/>
    </row>
    <row r="13" spans="1:14" ht="15" customHeight="1">
      <c r="A13" t="s">
        <v>75</v>
      </c>
      <c r="B13" t="s">
        <v>14</v>
      </c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>
        <v>160046517</v>
      </c>
      <c r="N13" s="84"/>
    </row>
    <row r="14" spans="1:14" ht="15" customHeight="1">
      <c r="A14" t="s">
        <v>61</v>
      </c>
      <c r="B14" t="s">
        <v>14</v>
      </c>
      <c r="C14" s="84"/>
      <c r="D14" s="84"/>
      <c r="E14" s="84"/>
      <c r="F14" s="84">
        <v>15100000</v>
      </c>
      <c r="G14" s="84"/>
      <c r="H14" s="84"/>
      <c r="I14" s="84"/>
      <c r="J14" s="84"/>
      <c r="K14" s="84"/>
      <c r="L14" s="84"/>
      <c r="M14" s="84"/>
      <c r="N14" s="84"/>
    </row>
    <row r="15" spans="1:14" ht="15" customHeight="1">
      <c r="A15" t="s">
        <v>79</v>
      </c>
      <c r="B15" t="s">
        <v>14</v>
      </c>
      <c r="C15" s="84"/>
      <c r="D15" s="84"/>
      <c r="E15" s="84"/>
      <c r="F15" s="84"/>
      <c r="G15" s="84">
        <v>2246300000</v>
      </c>
      <c r="H15" s="84"/>
      <c r="I15" s="84">
        <v>646600000</v>
      </c>
      <c r="J15" s="84"/>
      <c r="K15" s="84"/>
      <c r="L15" s="84"/>
      <c r="M15" s="84"/>
      <c r="N15" s="84"/>
    </row>
    <row r="16" spans="1:14" ht="15" customHeight="1">
      <c r="A16" t="s">
        <v>63</v>
      </c>
      <c r="B16" t="s">
        <v>14</v>
      </c>
      <c r="C16" s="84"/>
      <c r="D16" s="84"/>
      <c r="E16" s="84"/>
      <c r="F16" s="84">
        <v>5940200</v>
      </c>
      <c r="G16" s="84"/>
      <c r="H16" s="84"/>
      <c r="I16" s="84"/>
      <c r="J16" s="84"/>
      <c r="K16" s="84"/>
      <c r="L16" s="84"/>
      <c r="M16" s="84"/>
      <c r="N16" s="84"/>
    </row>
    <row r="17" spans="1:14" ht="15" customHeight="1">
      <c r="A17" t="s">
        <v>65</v>
      </c>
      <c r="B17" t="s">
        <v>14</v>
      </c>
      <c r="C17" s="84"/>
      <c r="D17" s="84"/>
      <c r="E17" s="84"/>
      <c r="F17" s="84">
        <v>26000000</v>
      </c>
      <c r="G17" s="84">
        <v>16341541</v>
      </c>
      <c r="H17" s="84"/>
      <c r="I17" s="84"/>
      <c r="J17" s="84"/>
      <c r="K17" s="84"/>
      <c r="L17" s="84"/>
      <c r="M17" s="84"/>
      <c r="N17" s="84"/>
    </row>
    <row r="18" spans="1:14" ht="15" customHeight="1">
      <c r="A18" t="s">
        <v>70</v>
      </c>
      <c r="B18" t="s">
        <v>14</v>
      </c>
      <c r="C18" s="84"/>
      <c r="D18" s="84"/>
      <c r="E18" s="84"/>
      <c r="F18" s="84"/>
      <c r="G18" s="84">
        <v>12400000</v>
      </c>
      <c r="H18" s="84"/>
      <c r="I18" s="84"/>
      <c r="J18" s="84"/>
      <c r="K18" s="84"/>
      <c r="L18" s="84"/>
      <c r="M18" s="84"/>
      <c r="N18" s="84"/>
    </row>
    <row r="19" spans="1:14" ht="15" customHeight="1">
      <c r="A19" t="s">
        <v>83</v>
      </c>
      <c r="B19" t="s">
        <v>14</v>
      </c>
      <c r="C19" s="84"/>
      <c r="D19" s="84"/>
      <c r="E19" s="84"/>
      <c r="F19" s="84"/>
      <c r="G19" s="84">
        <v>458882979</v>
      </c>
      <c r="H19" s="84">
        <v>1335640659</v>
      </c>
      <c r="I19" s="84">
        <v>36100000</v>
      </c>
      <c r="J19" s="84"/>
      <c r="K19" s="84"/>
      <c r="L19" s="84"/>
      <c r="M19" s="84"/>
      <c r="N19" s="84"/>
    </row>
    <row r="20" spans="1:14" ht="15" customHeight="1">
      <c r="A20" t="s">
        <v>93</v>
      </c>
      <c r="B20" t="s">
        <v>14</v>
      </c>
      <c r="C20" s="84"/>
      <c r="D20" s="84"/>
      <c r="E20" s="84"/>
      <c r="F20" s="84"/>
      <c r="G20" s="84"/>
      <c r="H20" s="84">
        <v>16700000</v>
      </c>
      <c r="I20" s="84"/>
      <c r="J20" s="84"/>
      <c r="K20" s="84"/>
      <c r="L20" s="84"/>
      <c r="M20" s="84"/>
      <c r="N20" s="84"/>
    </row>
    <row r="21" spans="1:14" ht="15" customHeight="1">
      <c r="A21" t="s">
        <v>95</v>
      </c>
      <c r="B21" t="s">
        <v>14</v>
      </c>
      <c r="C21" s="84"/>
      <c r="D21" s="84"/>
      <c r="E21" s="84"/>
      <c r="F21" s="84"/>
      <c r="G21" s="84"/>
      <c r="H21" s="84"/>
      <c r="I21" s="84"/>
      <c r="J21" s="84">
        <v>9600000</v>
      </c>
      <c r="K21" s="84"/>
      <c r="L21" s="84"/>
      <c r="M21" s="84"/>
      <c r="N21" s="84"/>
    </row>
    <row r="22" spans="1:14" ht="15" customHeight="1">
      <c r="A22" t="s">
        <v>97</v>
      </c>
      <c r="B22" t="s">
        <v>14</v>
      </c>
      <c r="C22" s="84"/>
      <c r="D22" s="84"/>
      <c r="E22" s="84"/>
      <c r="F22" s="84"/>
      <c r="G22" s="84"/>
      <c r="H22" s="84">
        <v>3470513653</v>
      </c>
      <c r="I22" s="84"/>
      <c r="J22" s="84"/>
      <c r="K22" s="84">
        <v>611700000</v>
      </c>
      <c r="L22" s="84"/>
      <c r="M22" s="84"/>
      <c r="N22" s="84"/>
    </row>
    <row r="23" spans="1:14" ht="15" customHeight="1">
      <c r="A23" t="s">
        <v>113</v>
      </c>
      <c r="B23" t="s">
        <v>14</v>
      </c>
      <c r="C23" s="84"/>
      <c r="D23" s="84"/>
      <c r="E23" s="84"/>
      <c r="F23" s="84"/>
      <c r="G23" s="84"/>
      <c r="H23" s="84">
        <v>1935013359</v>
      </c>
      <c r="I23" s="84"/>
      <c r="J23" s="84"/>
      <c r="K23" s="84"/>
      <c r="L23" s="84"/>
      <c r="M23" s="84"/>
      <c r="N23" s="84"/>
    </row>
    <row r="24" spans="1:14" ht="15" customHeight="1">
      <c r="A24" t="s">
        <v>88</v>
      </c>
      <c r="B24" t="s">
        <v>14</v>
      </c>
      <c r="C24" s="84"/>
      <c r="D24" s="84"/>
      <c r="E24" s="84"/>
      <c r="F24" s="84"/>
      <c r="G24" s="84">
        <v>68617608</v>
      </c>
      <c r="H24" s="84"/>
      <c r="I24" s="84"/>
      <c r="J24" s="84"/>
      <c r="K24" s="84"/>
      <c r="L24" s="84"/>
      <c r="M24" s="84"/>
      <c r="N24" s="84"/>
    </row>
    <row r="25" spans="1:14" ht="15" customHeight="1">
      <c r="A25" t="s">
        <v>90</v>
      </c>
      <c r="B25" t="s">
        <v>14</v>
      </c>
      <c r="C25" s="84"/>
      <c r="D25" s="84"/>
      <c r="E25" s="84"/>
      <c r="F25" s="84"/>
      <c r="G25" s="84"/>
      <c r="H25" s="84">
        <v>37229017</v>
      </c>
      <c r="I25" s="84"/>
      <c r="J25" s="84"/>
      <c r="K25" s="84"/>
      <c r="L25" s="84"/>
      <c r="M25" s="84"/>
      <c r="N25" s="84"/>
    </row>
    <row r="26" spans="1:14" ht="15" customHeight="1">
      <c r="A26" t="s">
        <v>116</v>
      </c>
      <c r="B26" t="s">
        <v>14</v>
      </c>
      <c r="C26" s="84"/>
      <c r="D26" s="84"/>
      <c r="E26" s="84"/>
      <c r="F26" s="84"/>
      <c r="G26" s="84"/>
      <c r="H26" s="84">
        <v>504707324</v>
      </c>
      <c r="I26" s="84"/>
      <c r="J26" s="84"/>
      <c r="K26" s="84">
        <v>97800000</v>
      </c>
      <c r="L26" s="84"/>
      <c r="M26" s="84"/>
      <c r="N26" s="84"/>
    </row>
    <row r="27" spans="1:14" ht="15" customHeight="1">
      <c r="A27" t="s">
        <v>100</v>
      </c>
      <c r="B27" t="s">
        <v>14</v>
      </c>
      <c r="C27" s="84"/>
      <c r="D27" s="84"/>
      <c r="E27" s="84"/>
      <c r="F27" s="84"/>
      <c r="G27" s="84"/>
      <c r="H27" s="84">
        <v>193997424</v>
      </c>
      <c r="I27" s="84"/>
      <c r="J27" s="84"/>
      <c r="K27" s="84"/>
      <c r="L27" s="84">
        <v>26626535</v>
      </c>
      <c r="M27" s="84">
        <v>99533300</v>
      </c>
      <c r="N27" s="84"/>
    </row>
    <row r="28" spans="1:14" ht="15" customHeight="1">
      <c r="A28" t="s">
        <v>104</v>
      </c>
      <c r="B28" t="s">
        <v>14</v>
      </c>
      <c r="C28" s="84"/>
      <c r="D28" s="84"/>
      <c r="E28" s="84"/>
      <c r="F28" s="84"/>
      <c r="G28" s="84"/>
      <c r="H28" s="84">
        <v>23805699</v>
      </c>
      <c r="I28" s="84"/>
      <c r="J28" s="84"/>
      <c r="K28" s="84"/>
      <c r="L28" s="84"/>
      <c r="M28" s="84"/>
      <c r="N28" s="84"/>
    </row>
    <row r="29" spans="1:14" ht="15" customHeight="1">
      <c r="A29" t="s">
        <v>106</v>
      </c>
      <c r="B29" t="s">
        <v>14</v>
      </c>
      <c r="C29" s="84"/>
      <c r="D29" s="84"/>
      <c r="E29" s="84"/>
      <c r="F29" s="84"/>
      <c r="G29" s="84"/>
      <c r="H29" s="84">
        <v>13300000</v>
      </c>
      <c r="I29" s="84"/>
      <c r="J29" s="84"/>
      <c r="K29" s="84"/>
      <c r="L29" s="84">
        <v>29200000</v>
      </c>
      <c r="M29" s="84"/>
      <c r="N29" s="84"/>
    </row>
    <row r="30" spans="1:14" ht="15" customHeight="1">
      <c r="A30" t="s">
        <v>130</v>
      </c>
      <c r="B30" t="s">
        <v>14</v>
      </c>
      <c r="C30" s="84"/>
      <c r="D30" s="84"/>
      <c r="E30" s="84"/>
      <c r="F30" s="84"/>
      <c r="G30" s="84"/>
      <c r="H30" s="84"/>
      <c r="I30" s="84">
        <v>1217824782</v>
      </c>
      <c r="J30" s="84"/>
      <c r="K30" s="84"/>
      <c r="L30" s="84">
        <v>160000000</v>
      </c>
      <c r="M30" s="84"/>
      <c r="N30" s="84"/>
    </row>
    <row r="31" spans="1:14" ht="15" customHeight="1">
      <c r="A31" t="s">
        <v>137</v>
      </c>
      <c r="B31" t="s">
        <v>14</v>
      </c>
      <c r="C31" s="84"/>
      <c r="D31" s="84"/>
      <c r="E31" s="84"/>
      <c r="F31" s="84"/>
      <c r="G31" s="84"/>
      <c r="H31" s="84"/>
      <c r="I31" s="84">
        <v>690633428</v>
      </c>
      <c r="J31" s="84"/>
      <c r="K31" s="84"/>
      <c r="L31" s="84">
        <v>172300000</v>
      </c>
      <c r="M31" s="84"/>
      <c r="N31" s="84"/>
    </row>
    <row r="32" spans="1:14" ht="15" customHeight="1">
      <c r="A32" t="s">
        <v>121</v>
      </c>
      <c r="B32" t="s">
        <v>14</v>
      </c>
      <c r="C32" s="84"/>
      <c r="D32" s="84"/>
      <c r="E32" s="84"/>
      <c r="F32" s="84"/>
      <c r="G32" s="84"/>
      <c r="H32" s="84">
        <v>3379194</v>
      </c>
      <c r="I32" s="84"/>
      <c r="J32" s="84"/>
      <c r="K32" s="84"/>
      <c r="L32" s="84"/>
      <c r="M32" s="84"/>
      <c r="N32" s="84"/>
    </row>
    <row r="33" spans="1:14" ht="15" customHeight="1">
      <c r="A33" t="s">
        <v>124</v>
      </c>
      <c r="B33" t="s">
        <v>14</v>
      </c>
      <c r="C33" s="84"/>
      <c r="D33" s="84"/>
      <c r="E33" s="84"/>
      <c r="F33" s="84"/>
      <c r="G33" s="84"/>
      <c r="H33" s="84">
        <v>4600000</v>
      </c>
      <c r="I33" s="84"/>
      <c r="J33" s="84"/>
      <c r="K33" s="84"/>
      <c r="L33" s="84">
        <v>291600000</v>
      </c>
      <c r="M33" s="84"/>
      <c r="N33" s="84"/>
    </row>
    <row r="34" spans="1:14" ht="15" customHeight="1">
      <c r="A34" t="s">
        <v>128</v>
      </c>
      <c r="B34" t="s">
        <v>14</v>
      </c>
      <c r="C34" s="84"/>
      <c r="D34" s="84"/>
      <c r="E34" s="84"/>
      <c r="F34" s="84"/>
      <c r="G34" s="84"/>
      <c r="H34" s="84">
        <v>183553694</v>
      </c>
      <c r="I34" s="84">
        <v>167900000</v>
      </c>
      <c r="J34" s="84"/>
      <c r="K34" s="84"/>
      <c r="L34" s="84"/>
      <c r="M34" s="84"/>
      <c r="N34" s="84"/>
    </row>
    <row r="35" spans="1:14" ht="15" customHeight="1">
      <c r="A35" t="s">
        <v>142</v>
      </c>
      <c r="B35" t="s">
        <v>14</v>
      </c>
      <c r="C35" s="84"/>
      <c r="D35" s="84"/>
      <c r="E35" s="84"/>
      <c r="F35" s="84"/>
      <c r="G35" s="84"/>
      <c r="H35" s="84"/>
      <c r="I35" s="84">
        <v>1682185</v>
      </c>
      <c r="J35" s="84"/>
      <c r="K35" s="84"/>
      <c r="L35" s="84"/>
      <c r="M35" s="84"/>
      <c r="N35" s="84"/>
    </row>
    <row r="36" spans="1:14" ht="15" customHeight="1">
      <c r="A36" t="s">
        <v>144</v>
      </c>
      <c r="B36" t="s">
        <v>14</v>
      </c>
      <c r="C36" s="84"/>
      <c r="D36" s="84"/>
      <c r="E36" s="84"/>
      <c r="F36" s="84"/>
      <c r="G36" s="84"/>
      <c r="H36" s="84"/>
      <c r="I36" s="84">
        <v>1555671539</v>
      </c>
      <c r="J36" s="84"/>
      <c r="K36" s="84"/>
      <c r="L36" s="84"/>
      <c r="M36" s="84">
        <v>221700000</v>
      </c>
      <c r="N36" s="84"/>
    </row>
    <row r="37" spans="1:14" ht="15" customHeight="1">
      <c r="A37" t="s">
        <v>156</v>
      </c>
      <c r="B37" t="s">
        <v>14</v>
      </c>
      <c r="C37" s="84"/>
      <c r="D37" s="84"/>
      <c r="E37" s="84"/>
      <c r="F37" s="84"/>
      <c r="G37" s="84"/>
      <c r="H37" s="84"/>
      <c r="I37" s="84">
        <v>1002700000</v>
      </c>
      <c r="J37" s="84">
        <v>1020100000</v>
      </c>
      <c r="K37" s="84"/>
      <c r="L37" s="84"/>
      <c r="M37" s="84">
        <v>504500000</v>
      </c>
      <c r="N37" s="84"/>
    </row>
    <row r="38" spans="1:14" ht="15" customHeight="1">
      <c r="A38" t="s">
        <v>167</v>
      </c>
      <c r="B38" t="s">
        <v>14</v>
      </c>
      <c r="C38" s="84"/>
      <c r="D38" s="84"/>
      <c r="E38" s="84"/>
      <c r="F38" s="84"/>
      <c r="G38" s="84"/>
      <c r="H38" s="84"/>
      <c r="I38" s="84"/>
      <c r="J38" s="84">
        <v>5357651</v>
      </c>
      <c r="K38" s="84"/>
      <c r="L38" s="84"/>
      <c r="M38" s="84"/>
      <c r="N38" s="84"/>
    </row>
    <row r="39" spans="1:14" ht="15" customHeight="1">
      <c r="A39" t="s">
        <v>146</v>
      </c>
      <c r="B39" t="s">
        <v>14</v>
      </c>
      <c r="C39" s="84"/>
      <c r="D39" s="84"/>
      <c r="E39" s="84"/>
      <c r="F39" s="84"/>
      <c r="G39" s="84"/>
      <c r="H39" s="84"/>
      <c r="I39" s="84">
        <v>342719785</v>
      </c>
      <c r="J39" s="84"/>
      <c r="K39" s="84"/>
      <c r="L39" s="84"/>
      <c r="M39" s="84"/>
      <c r="N39" s="84"/>
    </row>
    <row r="40" spans="1:14" ht="15" customHeight="1">
      <c r="A40" t="s">
        <v>169</v>
      </c>
      <c r="B40" t="s">
        <v>14</v>
      </c>
      <c r="C40" s="84"/>
      <c r="D40" s="84"/>
      <c r="E40" s="84"/>
      <c r="F40" s="84"/>
      <c r="G40" s="84"/>
      <c r="H40" s="84"/>
      <c r="I40" s="84"/>
      <c r="J40" s="84">
        <v>2138611155</v>
      </c>
      <c r="K40" s="84"/>
      <c r="L40" s="84"/>
      <c r="M40" s="84"/>
      <c r="N40" s="84"/>
    </row>
    <row r="41" spans="1:14" ht="15" customHeight="1">
      <c r="A41" t="s">
        <v>151</v>
      </c>
      <c r="B41" t="s">
        <v>14</v>
      </c>
      <c r="C41" s="84"/>
      <c r="D41" s="84"/>
      <c r="E41" s="84"/>
      <c r="F41" s="84"/>
      <c r="G41" s="84"/>
      <c r="H41" s="84"/>
      <c r="I41" s="84">
        <v>11100000</v>
      </c>
      <c r="J41" s="84"/>
      <c r="K41" s="84"/>
      <c r="L41" s="84"/>
      <c r="M41" s="84"/>
      <c r="N41" s="84"/>
    </row>
    <row r="42" spans="1:14" ht="15" customHeight="1">
      <c r="A42" t="s">
        <v>175</v>
      </c>
      <c r="B42" t="s">
        <v>14</v>
      </c>
      <c r="C42" s="84"/>
      <c r="D42" s="84"/>
      <c r="E42" s="84"/>
      <c r="F42" s="84"/>
      <c r="G42" s="84"/>
      <c r="H42" s="84"/>
      <c r="I42" s="84"/>
      <c r="J42" s="84">
        <v>595855611</v>
      </c>
      <c r="K42" s="84"/>
      <c r="L42" s="84"/>
      <c r="M42" s="84"/>
      <c r="N42" s="84"/>
    </row>
    <row r="43" spans="1:14" ht="15" customHeight="1">
      <c r="A43" t="s">
        <v>54</v>
      </c>
      <c r="B43" t="s">
        <v>14</v>
      </c>
      <c r="C43" s="84"/>
      <c r="D43" s="84"/>
      <c r="E43" s="84"/>
      <c r="F43" s="84">
        <v>256825568</v>
      </c>
      <c r="G43" s="84">
        <v>32000000</v>
      </c>
      <c r="H43" s="84"/>
      <c r="I43" s="84"/>
      <c r="J43" s="84"/>
      <c r="K43" s="84"/>
      <c r="L43" s="84"/>
      <c r="M43" s="84"/>
      <c r="N43" s="84"/>
    </row>
    <row r="44" spans="1:14" ht="15" customHeight="1">
      <c r="A44" t="s">
        <v>164</v>
      </c>
      <c r="B44" t="s">
        <v>14</v>
      </c>
      <c r="C44" s="84"/>
      <c r="D44" s="84"/>
      <c r="E44" s="84"/>
      <c r="F44" s="84"/>
      <c r="G44" s="84"/>
      <c r="H44" s="84"/>
      <c r="I44" s="84"/>
      <c r="J44" s="84">
        <v>2816675262</v>
      </c>
      <c r="K44" s="84"/>
      <c r="L44" s="84"/>
      <c r="M44" s="84">
        <v>202600000</v>
      </c>
      <c r="N44" s="84"/>
    </row>
    <row r="45" spans="1:14" ht="15" customHeight="1">
      <c r="A45" t="s">
        <v>204</v>
      </c>
      <c r="B45" t="s">
        <v>14</v>
      </c>
      <c r="C45" s="84"/>
      <c r="D45" s="84"/>
      <c r="E45" s="84"/>
      <c r="F45" s="84"/>
      <c r="G45" s="84"/>
      <c r="H45" s="84"/>
      <c r="I45" s="84"/>
      <c r="J45" s="84"/>
      <c r="K45" s="84">
        <v>5667274022</v>
      </c>
      <c r="L45" s="84"/>
      <c r="M45" s="84">
        <v>582000000</v>
      </c>
      <c r="N45" s="84"/>
    </row>
    <row r="46" spans="1:14" ht="15" customHeight="1">
      <c r="A46" t="s">
        <v>184</v>
      </c>
      <c r="B46" t="s">
        <v>14</v>
      </c>
      <c r="C46" s="84"/>
      <c r="D46" s="84"/>
      <c r="E46" s="84"/>
      <c r="F46" s="84"/>
      <c r="G46" s="84"/>
      <c r="H46" s="84"/>
      <c r="I46" s="84"/>
      <c r="J46" s="84">
        <v>47300000</v>
      </c>
      <c r="K46" s="84"/>
      <c r="L46" s="84"/>
      <c r="M46" s="84"/>
      <c r="N46" s="84"/>
    </row>
    <row r="47" spans="1:14" ht="15" customHeight="1">
      <c r="A47" t="s">
        <v>154</v>
      </c>
      <c r="B47" t="s">
        <v>14</v>
      </c>
      <c r="C47" s="84"/>
      <c r="D47" s="84"/>
      <c r="E47" s="84"/>
      <c r="F47" s="84"/>
      <c r="G47" s="84"/>
      <c r="H47" s="84"/>
      <c r="I47" s="84">
        <v>5981608</v>
      </c>
      <c r="J47" s="84"/>
      <c r="K47" s="84"/>
      <c r="L47" s="84"/>
      <c r="M47" s="84"/>
      <c r="N47" s="84"/>
    </row>
    <row r="48" spans="1:14" ht="15" customHeight="1">
      <c r="A48" t="s">
        <v>186</v>
      </c>
      <c r="B48" t="s">
        <v>14</v>
      </c>
      <c r="C48" s="84"/>
      <c r="D48" s="84"/>
      <c r="E48" s="84"/>
      <c r="F48" s="84"/>
      <c r="G48" s="84"/>
      <c r="H48" s="84"/>
      <c r="I48" s="84"/>
      <c r="J48" s="84">
        <v>2426637693</v>
      </c>
      <c r="K48" s="84">
        <v>2973101029</v>
      </c>
      <c r="L48" s="84"/>
      <c r="M48" s="84">
        <v>812300000</v>
      </c>
      <c r="N48" s="84"/>
    </row>
    <row r="49" spans="1:14" ht="15" customHeight="1">
      <c r="A49" t="s">
        <v>189</v>
      </c>
      <c r="B49" t="s">
        <v>14</v>
      </c>
      <c r="C49" s="84"/>
      <c r="D49" s="84"/>
      <c r="E49" s="84"/>
      <c r="F49" s="84"/>
      <c r="G49" s="84"/>
      <c r="H49" s="84"/>
      <c r="I49" s="84"/>
      <c r="J49" s="84"/>
      <c r="K49" s="84">
        <v>9521804394</v>
      </c>
      <c r="L49" s="84"/>
      <c r="M49" s="84">
        <v>1358200000</v>
      </c>
      <c r="N49" s="84"/>
    </row>
    <row r="50" spans="1:14" ht="15" customHeight="1">
      <c r="A50" t="s">
        <v>206</v>
      </c>
      <c r="B50" t="s">
        <v>14</v>
      </c>
      <c r="C50" s="84"/>
      <c r="D50" s="84"/>
      <c r="E50" s="84"/>
      <c r="F50" s="84"/>
      <c r="G50" s="84"/>
      <c r="H50" s="84"/>
      <c r="I50" s="84"/>
      <c r="J50" s="84"/>
      <c r="K50" s="84">
        <v>3051000000</v>
      </c>
      <c r="L50" s="84">
        <v>19828771606</v>
      </c>
      <c r="M50" s="84">
        <v>3740000000</v>
      </c>
      <c r="N50" s="84"/>
    </row>
    <row r="51" spans="1:14" ht="15" customHeight="1">
      <c r="A51" t="s">
        <v>45</v>
      </c>
      <c r="B51" t="s">
        <v>14</v>
      </c>
      <c r="C51" s="84"/>
      <c r="D51" s="84"/>
      <c r="E51" s="84">
        <v>2464124868</v>
      </c>
      <c r="F51" s="84"/>
      <c r="G51" s="84">
        <v>231900000</v>
      </c>
      <c r="H51" s="84"/>
      <c r="I51" s="84"/>
      <c r="J51" s="84"/>
      <c r="K51" s="84"/>
      <c r="L51" s="84"/>
      <c r="M51" s="84"/>
      <c r="N51" s="84"/>
    </row>
    <row r="52" spans="1:14" ht="15" customHeight="1">
      <c r="A52" t="s">
        <v>217</v>
      </c>
      <c r="B52" t="s">
        <v>14</v>
      </c>
      <c r="C52" s="84"/>
      <c r="D52" s="84"/>
      <c r="E52" s="84"/>
      <c r="F52" s="84"/>
      <c r="G52" s="84"/>
      <c r="H52" s="84"/>
      <c r="I52" s="84"/>
      <c r="J52" s="84"/>
      <c r="K52" s="84"/>
      <c r="L52" s="84">
        <v>99109148</v>
      </c>
      <c r="M52" s="84"/>
      <c r="N52" s="84"/>
    </row>
    <row r="53" spans="1:14" ht="15" customHeight="1">
      <c r="A53" t="s">
        <v>219</v>
      </c>
      <c r="B53" t="s">
        <v>14</v>
      </c>
      <c r="C53" s="84"/>
      <c r="D53" s="84"/>
      <c r="E53" s="84"/>
      <c r="F53" s="84"/>
      <c r="G53" s="84"/>
      <c r="H53" s="84"/>
      <c r="I53" s="84"/>
      <c r="J53" s="84"/>
      <c r="K53" s="84"/>
      <c r="L53" s="84">
        <v>360300000</v>
      </c>
      <c r="M53" s="84"/>
      <c r="N53" s="84">
        <v>81100000</v>
      </c>
    </row>
    <row r="54" spans="1:14" ht="15" customHeight="1">
      <c r="A54" t="s">
        <v>223</v>
      </c>
      <c r="B54" t="s">
        <v>14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>
        <v>438100000</v>
      </c>
    </row>
    <row r="55" spans="1:14" ht="15" customHeight="1">
      <c r="A55" t="s">
        <v>221</v>
      </c>
      <c r="B55" t="s">
        <v>14</v>
      </c>
      <c r="C55" s="84"/>
      <c r="D55" s="84"/>
      <c r="E55" s="84"/>
      <c r="F55" s="84"/>
      <c r="G55" s="84"/>
      <c r="H55" s="84"/>
      <c r="I55" s="84"/>
      <c r="J55" s="84"/>
      <c r="K55" s="84"/>
      <c r="L55" s="84">
        <v>21800000</v>
      </c>
      <c r="M55" s="84"/>
      <c r="N55" s="84"/>
    </row>
    <row r="56" spans="1:14" ht="15" customHeight="1">
      <c r="A56" t="s">
        <v>226</v>
      </c>
      <c r="B56" t="s">
        <v>14</v>
      </c>
      <c r="C56" s="84"/>
      <c r="D56" s="84"/>
      <c r="E56" s="84"/>
      <c r="F56" s="84"/>
      <c r="G56" s="84"/>
      <c r="H56" s="84"/>
      <c r="I56" s="84"/>
      <c r="J56" s="84"/>
      <c r="K56" s="84"/>
      <c r="L56" s="84">
        <v>3396200000</v>
      </c>
      <c r="M56" s="84">
        <v>3358281902</v>
      </c>
      <c r="N56" s="84">
        <v>2970000000</v>
      </c>
    </row>
    <row r="57" spans="1:14" ht="15" customHeight="1">
      <c r="A57" t="s">
        <v>229</v>
      </c>
      <c r="B57" t="s">
        <v>14</v>
      </c>
      <c r="C57" s="84"/>
      <c r="D57" s="84"/>
      <c r="E57" s="84"/>
      <c r="F57" s="84"/>
      <c r="G57" s="84"/>
      <c r="H57" s="84"/>
      <c r="I57" s="84"/>
      <c r="J57" s="84"/>
      <c r="K57" s="84"/>
      <c r="L57" s="84">
        <v>652086196</v>
      </c>
      <c r="M57" s="84">
        <v>221723553</v>
      </c>
      <c r="N57" s="84">
        <v>233300000</v>
      </c>
    </row>
    <row r="58" spans="1:14" ht="15" customHeight="1">
      <c r="A58" t="s">
        <v>338</v>
      </c>
      <c r="B58" t="s">
        <v>14</v>
      </c>
      <c r="C58" s="84"/>
      <c r="D58" s="84"/>
      <c r="E58" s="84"/>
      <c r="F58" s="84"/>
      <c r="G58" s="84"/>
      <c r="H58" s="84"/>
      <c r="I58" s="84"/>
      <c r="J58" s="84"/>
      <c r="K58" s="84"/>
      <c r="L58" s="84">
        <v>317427637</v>
      </c>
      <c r="M58" s="84"/>
      <c r="N58" s="84"/>
    </row>
  </sheetData>
  <phoneticPr fontId="1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Q63"/>
  <sheetViews>
    <sheetView showGridLines="0" workbookViewId="0"/>
  </sheetViews>
  <sheetFormatPr baseColWidth="10" defaultColWidth="12.6640625" defaultRowHeight="15" customHeight="1"/>
  <cols>
    <col min="1" max="1" width="11" customWidth="1"/>
    <col min="2" max="2" width="16.6640625" customWidth="1"/>
    <col min="3" max="3" width="11.33203125" customWidth="1"/>
    <col min="4" max="4" width="10" customWidth="1"/>
    <col min="5" max="13" width="11.33203125" customWidth="1"/>
  </cols>
  <sheetData>
    <row r="1" spans="1:17" ht="15" customHeight="1">
      <c r="A1" s="63" t="s">
        <v>285</v>
      </c>
      <c r="C1" s="63" t="s">
        <v>0</v>
      </c>
    </row>
    <row r="2" spans="1:17" ht="15" customHeight="1">
      <c r="A2" s="63" t="s">
        <v>3</v>
      </c>
      <c r="B2" s="63" t="s">
        <v>4</v>
      </c>
      <c r="C2">
        <v>2010</v>
      </c>
      <c r="D2">
        <v>2011</v>
      </c>
      <c r="E2">
        <v>2012</v>
      </c>
      <c r="F2">
        <v>2013</v>
      </c>
      <c r="G2">
        <v>2014</v>
      </c>
      <c r="H2">
        <v>2015</v>
      </c>
      <c r="I2">
        <v>2016</v>
      </c>
      <c r="J2">
        <v>2017</v>
      </c>
      <c r="K2">
        <v>2018</v>
      </c>
      <c r="L2">
        <v>2019</v>
      </c>
      <c r="M2">
        <v>2020</v>
      </c>
      <c r="N2">
        <v>2021</v>
      </c>
      <c r="O2">
        <v>2022</v>
      </c>
      <c r="P2">
        <v>2023</v>
      </c>
      <c r="Q2">
        <v>2024</v>
      </c>
    </row>
    <row r="3" spans="1:17" ht="15" customHeight="1">
      <c r="A3" t="s">
        <v>11</v>
      </c>
      <c r="B3" t="s">
        <v>15</v>
      </c>
      <c r="C3" s="84">
        <v>7175842096</v>
      </c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>
        <v>5065615539</v>
      </c>
      <c r="P3" s="84">
        <v>3840385894</v>
      </c>
      <c r="Q3" s="84">
        <v>3679587797</v>
      </c>
    </row>
    <row r="4" spans="1:17" ht="15" customHeight="1">
      <c r="A4" t="s">
        <v>31</v>
      </c>
      <c r="B4" t="s">
        <v>15</v>
      </c>
      <c r="C4" s="84"/>
      <c r="D4" s="84">
        <v>2086800000</v>
      </c>
      <c r="E4" s="84">
        <v>104000000</v>
      </c>
      <c r="F4" s="84">
        <v>195647826</v>
      </c>
      <c r="G4" s="84">
        <v>444689587</v>
      </c>
      <c r="H4" s="84"/>
      <c r="I4" s="84"/>
      <c r="J4" s="84"/>
      <c r="K4" s="84"/>
      <c r="L4" s="84"/>
      <c r="M4" s="84"/>
      <c r="N4" s="84"/>
      <c r="O4" s="84">
        <v>182414025</v>
      </c>
      <c r="P4" s="84">
        <v>237180119</v>
      </c>
      <c r="Q4" s="84"/>
    </row>
    <row r="5" spans="1:17" ht="15" customHeight="1">
      <c r="A5" t="s">
        <v>25</v>
      </c>
      <c r="B5" t="s">
        <v>15</v>
      </c>
      <c r="C5" s="84">
        <v>126062151</v>
      </c>
      <c r="D5" s="84">
        <v>1075140499</v>
      </c>
      <c r="E5" s="84">
        <v>607400000</v>
      </c>
      <c r="F5" s="84"/>
      <c r="G5" s="84"/>
      <c r="H5" s="84"/>
      <c r="I5" s="84"/>
      <c r="J5" s="84"/>
      <c r="K5" s="84"/>
      <c r="L5" s="84"/>
      <c r="M5" s="84"/>
      <c r="N5" s="84"/>
      <c r="O5" s="84">
        <v>805099698</v>
      </c>
      <c r="P5" s="84">
        <v>876731475</v>
      </c>
      <c r="Q5" s="84">
        <v>935000000</v>
      </c>
    </row>
    <row r="6" spans="1:17" ht="15" customHeight="1">
      <c r="A6" t="s">
        <v>21</v>
      </c>
      <c r="B6" t="s">
        <v>15</v>
      </c>
      <c r="C6" s="84">
        <v>2305400000</v>
      </c>
      <c r="D6" s="84">
        <v>871000000</v>
      </c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</row>
    <row r="7" spans="1:17" ht="15" customHeight="1">
      <c r="A7" t="s">
        <v>42</v>
      </c>
      <c r="B7" t="s">
        <v>15</v>
      </c>
      <c r="C7" s="84"/>
      <c r="D7" s="84"/>
      <c r="E7" s="84">
        <v>4431378469</v>
      </c>
      <c r="F7" s="84"/>
      <c r="G7" s="84"/>
      <c r="H7" s="84">
        <v>832560000</v>
      </c>
      <c r="I7" s="84"/>
      <c r="J7" s="84"/>
      <c r="K7" s="84"/>
      <c r="L7" s="84"/>
      <c r="M7" s="84"/>
      <c r="N7" s="84"/>
      <c r="O7" s="84">
        <v>461253975</v>
      </c>
      <c r="P7" s="84">
        <v>533305798</v>
      </c>
      <c r="Q7" s="84">
        <v>367670976</v>
      </c>
    </row>
    <row r="8" spans="1:17" ht="15" customHeight="1">
      <c r="A8" t="s">
        <v>49</v>
      </c>
      <c r="B8" t="s">
        <v>15</v>
      </c>
      <c r="C8" s="84"/>
      <c r="D8" s="84"/>
      <c r="E8" s="84"/>
      <c r="F8" s="84">
        <v>160691683</v>
      </c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</row>
    <row r="9" spans="1:17" ht="15" customHeight="1">
      <c r="A9" t="s">
        <v>39</v>
      </c>
      <c r="B9" t="s">
        <v>15</v>
      </c>
      <c r="C9" s="84"/>
      <c r="D9" s="84">
        <v>860100000</v>
      </c>
      <c r="E9" s="84">
        <v>618600000</v>
      </c>
      <c r="F9" s="84"/>
      <c r="G9" s="84">
        <v>677000000</v>
      </c>
      <c r="H9" s="84"/>
      <c r="I9" s="84"/>
      <c r="J9" s="84"/>
      <c r="K9" s="84"/>
      <c r="L9" s="84"/>
      <c r="M9" s="84"/>
      <c r="N9" s="84"/>
      <c r="O9" s="84">
        <v>376046051</v>
      </c>
      <c r="P9" s="84">
        <v>407309869</v>
      </c>
      <c r="Q9" s="84">
        <v>371369724</v>
      </c>
    </row>
    <row r="10" spans="1:17" ht="15" customHeight="1">
      <c r="A10" t="s">
        <v>58</v>
      </c>
      <c r="B10" t="s">
        <v>15</v>
      </c>
      <c r="C10" s="84"/>
      <c r="D10" s="84"/>
      <c r="E10" s="84"/>
      <c r="F10" s="84">
        <v>8868291624</v>
      </c>
      <c r="G10" s="84">
        <v>1959554098</v>
      </c>
      <c r="H10" s="84"/>
      <c r="I10" s="84"/>
      <c r="J10" s="84">
        <v>2969201391</v>
      </c>
      <c r="K10" s="84"/>
      <c r="L10" s="84"/>
      <c r="M10" s="84"/>
      <c r="N10" s="84"/>
      <c r="O10" s="84">
        <v>2478405994</v>
      </c>
      <c r="P10" s="84">
        <v>2802088848</v>
      </c>
      <c r="Q10" s="84">
        <v>3210427746</v>
      </c>
    </row>
    <row r="11" spans="1:17" ht="15" customHeight="1">
      <c r="A11" t="s">
        <v>182</v>
      </c>
      <c r="B11" t="s">
        <v>15</v>
      </c>
      <c r="C11" s="84"/>
      <c r="D11" s="84"/>
      <c r="E11" s="84"/>
      <c r="F11" s="84"/>
      <c r="G11" s="84"/>
      <c r="H11" s="84"/>
      <c r="I11" s="84"/>
      <c r="J11" s="84">
        <v>97195017</v>
      </c>
      <c r="K11" s="84"/>
      <c r="L11" s="84"/>
      <c r="M11" s="84"/>
      <c r="N11" s="84"/>
      <c r="O11" s="84"/>
      <c r="P11" s="84"/>
      <c r="Q11" s="84"/>
    </row>
    <row r="12" spans="1:17" ht="15" customHeight="1">
      <c r="A12" t="s">
        <v>81</v>
      </c>
      <c r="B12" t="s">
        <v>15</v>
      </c>
      <c r="C12" s="84"/>
      <c r="D12" s="84"/>
      <c r="E12" s="84"/>
      <c r="F12" s="84"/>
      <c r="G12" s="84"/>
      <c r="H12" s="84"/>
      <c r="I12" s="84">
        <v>300000000</v>
      </c>
      <c r="J12" s="84"/>
      <c r="K12" s="84"/>
      <c r="L12" s="84"/>
      <c r="M12" s="84"/>
      <c r="N12" s="84"/>
      <c r="O12" s="84">
        <v>282854048</v>
      </c>
      <c r="P12" s="84">
        <v>283317893</v>
      </c>
      <c r="Q12" s="84">
        <v>331990687</v>
      </c>
    </row>
    <row r="13" spans="1:17" ht="15" customHeight="1">
      <c r="A13" t="s">
        <v>51</v>
      </c>
      <c r="B13" t="s">
        <v>15</v>
      </c>
      <c r="C13" s="84"/>
      <c r="D13" s="84"/>
      <c r="E13" s="84"/>
      <c r="F13" s="84">
        <v>85992419</v>
      </c>
      <c r="G13" s="84"/>
      <c r="H13" s="84"/>
      <c r="I13" s="84"/>
      <c r="J13" s="84"/>
      <c r="K13" s="84"/>
      <c r="L13" s="84"/>
      <c r="M13" s="84"/>
      <c r="N13" s="84"/>
      <c r="O13" s="84">
        <v>41817107</v>
      </c>
      <c r="P13" s="84"/>
      <c r="Q13" s="84"/>
    </row>
    <row r="14" spans="1:17" ht="15" customHeight="1">
      <c r="A14" t="s">
        <v>75</v>
      </c>
      <c r="B14" t="s">
        <v>15</v>
      </c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>
        <v>456457878</v>
      </c>
      <c r="N14" s="84"/>
      <c r="O14" s="84"/>
      <c r="P14" s="84"/>
      <c r="Q14" s="84"/>
    </row>
    <row r="15" spans="1:17" ht="15" customHeight="1">
      <c r="A15" t="s">
        <v>61</v>
      </c>
      <c r="B15" t="s">
        <v>15</v>
      </c>
      <c r="C15" s="84"/>
      <c r="D15" s="84"/>
      <c r="E15" s="84"/>
      <c r="F15" s="84">
        <v>31100000</v>
      </c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</row>
    <row r="16" spans="1:17" ht="15" customHeight="1">
      <c r="A16" t="s">
        <v>79</v>
      </c>
      <c r="B16" t="s">
        <v>15</v>
      </c>
      <c r="C16" s="84"/>
      <c r="D16" s="84"/>
      <c r="E16" s="84"/>
      <c r="F16" s="84"/>
      <c r="G16" s="84">
        <v>4971500000</v>
      </c>
      <c r="H16" s="84"/>
      <c r="I16" s="84"/>
      <c r="J16" s="84"/>
      <c r="K16" s="84">
        <v>973000000</v>
      </c>
      <c r="L16" s="84">
        <v>1502100145</v>
      </c>
      <c r="M16" s="84"/>
      <c r="N16" s="84"/>
      <c r="O16" s="84">
        <v>3335002211</v>
      </c>
      <c r="P16" s="84">
        <v>3994813508</v>
      </c>
      <c r="Q16" s="84">
        <v>3235782784</v>
      </c>
    </row>
    <row r="17" spans="1:17" ht="15" customHeight="1">
      <c r="A17" t="s">
        <v>63</v>
      </c>
      <c r="B17" t="s">
        <v>15</v>
      </c>
      <c r="C17" s="84"/>
      <c r="D17" s="84"/>
      <c r="E17" s="84"/>
      <c r="F17" s="84">
        <v>53500000</v>
      </c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</row>
    <row r="18" spans="1:17" ht="15" customHeight="1">
      <c r="A18" t="s">
        <v>65</v>
      </c>
      <c r="B18" t="s">
        <v>15</v>
      </c>
      <c r="C18" s="84"/>
      <c r="D18" s="84"/>
      <c r="E18" s="84"/>
      <c r="F18" s="84">
        <v>80500000</v>
      </c>
      <c r="G18" s="84">
        <v>50894555</v>
      </c>
      <c r="H18" s="84"/>
      <c r="I18" s="84"/>
      <c r="J18" s="84"/>
      <c r="K18" s="84"/>
      <c r="L18" s="84"/>
      <c r="M18" s="84"/>
      <c r="N18" s="84"/>
      <c r="O18" s="84">
        <v>153531304</v>
      </c>
      <c r="P18" s="84">
        <v>126145348</v>
      </c>
      <c r="Q18" s="84">
        <v>125401425</v>
      </c>
    </row>
    <row r="19" spans="1:17" ht="15" customHeight="1">
      <c r="A19" t="s">
        <v>70</v>
      </c>
      <c r="B19" t="s">
        <v>15</v>
      </c>
      <c r="C19" s="84"/>
      <c r="D19" s="84"/>
      <c r="E19" s="84"/>
      <c r="F19" s="84"/>
      <c r="G19" s="84">
        <v>57400000</v>
      </c>
      <c r="H19" s="84"/>
      <c r="I19" s="84"/>
      <c r="J19" s="84"/>
      <c r="K19" s="84"/>
      <c r="L19" s="84"/>
      <c r="M19" s="84"/>
      <c r="N19" s="84"/>
      <c r="O19" s="84">
        <v>155296363</v>
      </c>
      <c r="P19" s="84">
        <v>280360869</v>
      </c>
      <c r="Q19" s="84">
        <v>203159869</v>
      </c>
    </row>
    <row r="20" spans="1:17" ht="15" customHeight="1">
      <c r="A20" t="s">
        <v>83</v>
      </c>
      <c r="B20" t="s">
        <v>15</v>
      </c>
      <c r="C20" s="84"/>
      <c r="D20" s="84"/>
      <c r="E20" s="84"/>
      <c r="F20" s="84"/>
      <c r="G20" s="84">
        <v>1211980810</v>
      </c>
      <c r="H20" s="84">
        <v>2062455759</v>
      </c>
      <c r="I20" s="84"/>
      <c r="J20" s="84"/>
      <c r="K20" s="84"/>
      <c r="L20" s="84">
        <v>488100000</v>
      </c>
      <c r="M20" s="84"/>
      <c r="N20" s="84"/>
      <c r="O20" s="84">
        <v>518765968</v>
      </c>
      <c r="P20" s="84">
        <v>719857713</v>
      </c>
      <c r="Q20" s="84">
        <v>673767352</v>
      </c>
    </row>
    <row r="21" spans="1:17" ht="15" customHeight="1">
      <c r="A21" t="s">
        <v>93</v>
      </c>
      <c r="B21" t="s">
        <v>15</v>
      </c>
      <c r="C21" s="84"/>
      <c r="D21" s="84"/>
      <c r="E21" s="84"/>
      <c r="F21" s="84"/>
      <c r="G21" s="84"/>
      <c r="H21" s="84">
        <v>50500000</v>
      </c>
      <c r="I21" s="84"/>
      <c r="J21" s="84"/>
      <c r="K21" s="84"/>
      <c r="L21" s="84"/>
      <c r="M21" s="84"/>
      <c r="N21" s="84"/>
      <c r="O21" s="84"/>
      <c r="P21" s="84"/>
      <c r="Q21" s="84"/>
    </row>
    <row r="22" spans="1:17" ht="15" customHeight="1">
      <c r="A22" t="s">
        <v>95</v>
      </c>
      <c r="B22" t="s">
        <v>15</v>
      </c>
      <c r="C22" s="84"/>
      <c r="D22" s="84"/>
      <c r="E22" s="84"/>
      <c r="F22" s="84"/>
      <c r="G22" s="84"/>
      <c r="H22" s="84">
        <v>25000000</v>
      </c>
      <c r="I22" s="84"/>
      <c r="J22" s="84"/>
      <c r="K22" s="84"/>
      <c r="L22" s="84"/>
      <c r="M22" s="84"/>
      <c r="N22" s="84"/>
      <c r="O22" s="84"/>
      <c r="P22" s="84"/>
      <c r="Q22" s="84"/>
    </row>
    <row r="23" spans="1:17" ht="15" customHeight="1">
      <c r="A23" t="s">
        <v>97</v>
      </c>
      <c r="B23" t="s">
        <v>15</v>
      </c>
      <c r="C23" s="84"/>
      <c r="D23" s="84"/>
      <c r="E23" s="84"/>
      <c r="F23" s="84"/>
      <c r="G23" s="84"/>
      <c r="H23" s="84">
        <v>5404025113</v>
      </c>
      <c r="I23" s="84"/>
      <c r="J23" s="84"/>
      <c r="K23" s="84"/>
      <c r="L23" s="84"/>
      <c r="M23" s="84">
        <v>520000000</v>
      </c>
      <c r="N23" s="84"/>
      <c r="O23" s="84">
        <v>400004347</v>
      </c>
      <c r="P23" s="84"/>
      <c r="Q23" s="84"/>
    </row>
    <row r="24" spans="1:17" ht="15" customHeight="1">
      <c r="A24" t="s">
        <v>113</v>
      </c>
      <c r="B24" t="s">
        <v>15</v>
      </c>
      <c r="C24" s="84"/>
      <c r="D24" s="84"/>
      <c r="E24" s="84"/>
      <c r="F24" s="84"/>
      <c r="G24" s="84"/>
      <c r="H24" s="84">
        <v>2925382125</v>
      </c>
      <c r="I24" s="84"/>
      <c r="J24" s="84"/>
      <c r="K24" s="84"/>
      <c r="L24" s="84"/>
      <c r="M24" s="84"/>
      <c r="N24" s="84"/>
      <c r="O24" s="84">
        <v>289641587</v>
      </c>
      <c r="P24" s="84">
        <v>451825224</v>
      </c>
      <c r="Q24" s="84"/>
    </row>
    <row r="25" spans="1:17" ht="15" customHeight="1">
      <c r="A25" t="s">
        <v>88</v>
      </c>
      <c r="B25" t="s">
        <v>15</v>
      </c>
      <c r="C25" s="84"/>
      <c r="D25" s="84"/>
      <c r="E25" s="84"/>
      <c r="F25" s="84"/>
      <c r="G25" s="84">
        <v>94231852</v>
      </c>
      <c r="H25" s="84"/>
      <c r="I25" s="84"/>
      <c r="J25" s="84"/>
      <c r="K25" s="84"/>
      <c r="L25" s="84"/>
      <c r="M25" s="84"/>
      <c r="N25" s="84"/>
      <c r="O25" s="84"/>
      <c r="P25" s="84"/>
      <c r="Q25" s="84"/>
    </row>
    <row r="26" spans="1:17" ht="15" customHeight="1">
      <c r="A26" t="s">
        <v>195</v>
      </c>
      <c r="B26" t="s">
        <v>15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>
        <v>378175867</v>
      </c>
      <c r="P26" s="84">
        <v>200203540</v>
      </c>
      <c r="Q26" s="84"/>
    </row>
    <row r="27" spans="1:17" ht="15" customHeight="1">
      <c r="A27" t="s">
        <v>90</v>
      </c>
      <c r="B27" t="s">
        <v>15</v>
      </c>
      <c r="C27" s="84"/>
      <c r="D27" s="84"/>
      <c r="E27" s="84"/>
      <c r="F27" s="84"/>
      <c r="G27" s="84"/>
      <c r="H27" s="84">
        <v>97912181</v>
      </c>
      <c r="I27" s="84"/>
      <c r="J27" s="84"/>
      <c r="K27" s="84"/>
      <c r="L27" s="84"/>
      <c r="M27" s="84"/>
      <c r="N27" s="84"/>
      <c r="O27" s="84"/>
      <c r="P27" s="84"/>
      <c r="Q27" s="84"/>
    </row>
    <row r="28" spans="1:17" ht="15" customHeight="1">
      <c r="A28" t="s">
        <v>116</v>
      </c>
      <c r="B28" t="s">
        <v>15</v>
      </c>
      <c r="C28" s="84"/>
      <c r="D28" s="84"/>
      <c r="E28" s="84"/>
      <c r="F28" s="84"/>
      <c r="G28" s="84"/>
      <c r="H28" s="84">
        <v>1220382831</v>
      </c>
      <c r="I28" s="84"/>
      <c r="J28" s="84"/>
      <c r="K28" s="84"/>
      <c r="L28" s="84"/>
      <c r="M28" s="84">
        <v>110000000</v>
      </c>
      <c r="N28" s="84"/>
      <c r="O28" s="84">
        <v>113799273</v>
      </c>
      <c r="P28" s="84">
        <v>37731860</v>
      </c>
      <c r="Q28" s="84">
        <v>33667840</v>
      </c>
    </row>
    <row r="29" spans="1:17" ht="15" customHeight="1">
      <c r="A29" t="s">
        <v>100</v>
      </c>
      <c r="B29" t="s">
        <v>15</v>
      </c>
      <c r="C29" s="84"/>
      <c r="D29" s="84"/>
      <c r="E29" s="84"/>
      <c r="F29" s="84"/>
      <c r="G29" s="84"/>
      <c r="H29" s="84">
        <v>436723873</v>
      </c>
      <c r="I29" s="84"/>
      <c r="J29" s="84"/>
      <c r="K29" s="84"/>
      <c r="L29" s="84"/>
      <c r="M29" s="84">
        <v>336105251</v>
      </c>
      <c r="N29" s="84"/>
      <c r="O29" s="84">
        <v>149692653</v>
      </c>
      <c r="P29" s="84"/>
      <c r="Q29" s="84"/>
    </row>
    <row r="30" spans="1:17" ht="15" customHeight="1">
      <c r="A30" t="s">
        <v>104</v>
      </c>
      <c r="B30" t="s">
        <v>15</v>
      </c>
      <c r="C30" s="84"/>
      <c r="D30" s="84"/>
      <c r="E30" s="84"/>
      <c r="F30" s="84"/>
      <c r="G30" s="84"/>
      <c r="H30" s="84">
        <v>38458738</v>
      </c>
      <c r="I30" s="84"/>
      <c r="J30" s="84"/>
      <c r="K30" s="84"/>
      <c r="L30" s="84"/>
      <c r="M30" s="84"/>
      <c r="N30" s="84"/>
      <c r="O30" s="84"/>
      <c r="P30" s="84"/>
      <c r="Q30" s="84"/>
    </row>
    <row r="31" spans="1:17" ht="15" customHeight="1">
      <c r="A31" t="s">
        <v>106</v>
      </c>
      <c r="B31" t="s">
        <v>15</v>
      </c>
      <c r="C31" s="84"/>
      <c r="D31" s="84"/>
      <c r="E31" s="84"/>
      <c r="F31" s="84"/>
      <c r="G31" s="84"/>
      <c r="H31" s="84">
        <v>52500000</v>
      </c>
      <c r="I31" s="84"/>
      <c r="J31" s="84"/>
      <c r="K31" s="84"/>
      <c r="L31" s="84"/>
      <c r="M31" s="84"/>
      <c r="N31" s="84"/>
      <c r="O31" s="84">
        <v>219267779</v>
      </c>
      <c r="P31" s="84">
        <v>214681354</v>
      </c>
      <c r="Q31" s="84">
        <v>162217808</v>
      </c>
    </row>
    <row r="32" spans="1:17" ht="15" customHeight="1">
      <c r="A32" t="s">
        <v>130</v>
      </c>
      <c r="B32" t="s">
        <v>15</v>
      </c>
      <c r="C32" s="84"/>
      <c r="D32" s="84"/>
      <c r="E32" s="84"/>
      <c r="F32" s="84"/>
      <c r="G32" s="84"/>
      <c r="H32" s="84"/>
      <c r="I32" s="84">
        <v>2862288888</v>
      </c>
      <c r="J32" s="84"/>
      <c r="K32" s="84"/>
      <c r="L32" s="84"/>
      <c r="M32" s="84">
        <v>863600000</v>
      </c>
      <c r="N32" s="84"/>
      <c r="O32" s="84">
        <v>685734819</v>
      </c>
      <c r="P32" s="84">
        <v>751470941</v>
      </c>
      <c r="Q32" s="84">
        <v>701569941</v>
      </c>
    </row>
    <row r="33" spans="1:17" ht="15" customHeight="1">
      <c r="A33" t="s">
        <v>137</v>
      </c>
      <c r="B33" t="s">
        <v>15</v>
      </c>
      <c r="C33" s="84"/>
      <c r="D33" s="84"/>
      <c r="E33" s="84"/>
      <c r="F33" s="84"/>
      <c r="G33" s="84"/>
      <c r="H33" s="84"/>
      <c r="I33" s="84">
        <v>1355206173</v>
      </c>
      <c r="J33" s="84"/>
      <c r="K33" s="84"/>
      <c r="L33" s="84"/>
      <c r="M33" s="84">
        <v>491455940</v>
      </c>
      <c r="N33" s="84"/>
      <c r="O33" s="84">
        <v>1706728812</v>
      </c>
      <c r="P33" s="84">
        <v>1762666264</v>
      </c>
      <c r="Q33" s="84">
        <v>1866248103</v>
      </c>
    </row>
    <row r="34" spans="1:17" ht="15" customHeight="1">
      <c r="A34" t="s">
        <v>121</v>
      </c>
      <c r="B34" t="s">
        <v>15</v>
      </c>
      <c r="C34" s="84"/>
      <c r="D34" s="84"/>
      <c r="E34" s="84"/>
      <c r="F34" s="84"/>
      <c r="G34" s="84"/>
      <c r="H34" s="84">
        <v>18150794</v>
      </c>
      <c r="I34" s="84"/>
      <c r="J34" s="84"/>
      <c r="K34" s="84"/>
      <c r="L34" s="84"/>
      <c r="M34" s="84"/>
      <c r="N34" s="84"/>
      <c r="O34" s="84"/>
      <c r="P34" s="84">
        <v>5154000</v>
      </c>
      <c r="Q34" s="84"/>
    </row>
    <row r="35" spans="1:17" ht="15" customHeight="1">
      <c r="A35" t="s">
        <v>124</v>
      </c>
      <c r="B35" t="s">
        <v>15</v>
      </c>
      <c r="C35" s="84"/>
      <c r="D35" s="84"/>
      <c r="E35" s="84"/>
      <c r="F35" s="84"/>
      <c r="G35" s="84"/>
      <c r="H35" s="84">
        <v>630700000</v>
      </c>
      <c r="I35" s="84"/>
      <c r="J35" s="84"/>
      <c r="K35" s="84"/>
      <c r="L35" s="84"/>
      <c r="M35" s="84">
        <v>254400000</v>
      </c>
      <c r="N35" s="84"/>
      <c r="O35" s="84">
        <v>436573657</v>
      </c>
      <c r="P35" s="84">
        <v>650921855</v>
      </c>
      <c r="Q35" s="84">
        <v>413420177</v>
      </c>
    </row>
    <row r="36" spans="1:17" ht="15" customHeight="1">
      <c r="A36" t="s">
        <v>128</v>
      </c>
      <c r="B36" t="s">
        <v>15</v>
      </c>
      <c r="C36" s="84"/>
      <c r="D36" s="84"/>
      <c r="E36" s="84"/>
      <c r="F36" s="84"/>
      <c r="G36" s="84"/>
      <c r="H36" s="84">
        <v>290056089</v>
      </c>
      <c r="I36" s="84">
        <v>374300000</v>
      </c>
      <c r="J36" s="84"/>
      <c r="K36" s="84"/>
      <c r="L36" s="84"/>
      <c r="M36" s="84"/>
      <c r="N36" s="84"/>
      <c r="O36" s="84"/>
      <c r="P36" s="84"/>
      <c r="Q36" s="84"/>
    </row>
    <row r="37" spans="1:17" ht="15" customHeight="1">
      <c r="A37" t="s">
        <v>274</v>
      </c>
      <c r="B37" t="s">
        <v>15</v>
      </c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>
        <v>29450000</v>
      </c>
      <c r="P37" s="84">
        <v>115945732</v>
      </c>
      <c r="Q37" s="84"/>
    </row>
    <row r="38" spans="1:17" ht="15" customHeight="1">
      <c r="A38" t="s">
        <v>142</v>
      </c>
      <c r="B38" t="s">
        <v>15</v>
      </c>
      <c r="C38" s="84"/>
      <c r="D38" s="84"/>
      <c r="E38" s="84"/>
      <c r="F38" s="84"/>
      <c r="G38" s="84"/>
      <c r="H38" s="84"/>
      <c r="I38" s="84">
        <v>3798201</v>
      </c>
      <c r="J38" s="84"/>
      <c r="K38" s="84"/>
      <c r="L38" s="84"/>
      <c r="M38" s="84"/>
      <c r="N38" s="84"/>
      <c r="O38" s="84"/>
      <c r="P38" s="84"/>
      <c r="Q38" s="84"/>
    </row>
    <row r="39" spans="1:17" ht="15" customHeight="1">
      <c r="A39" t="s">
        <v>144</v>
      </c>
      <c r="B39" t="s">
        <v>15</v>
      </c>
      <c r="C39" s="84"/>
      <c r="D39" s="84"/>
      <c r="E39" s="84"/>
      <c r="F39" s="84"/>
      <c r="G39" s="84"/>
      <c r="H39" s="84"/>
      <c r="I39" s="84">
        <v>3010945557</v>
      </c>
      <c r="J39" s="84"/>
      <c r="K39" s="84"/>
      <c r="L39" s="84"/>
      <c r="M39" s="84">
        <v>873500000</v>
      </c>
      <c r="N39" s="84"/>
      <c r="O39" s="84">
        <v>552598446</v>
      </c>
      <c r="P39" s="84">
        <v>583906619</v>
      </c>
      <c r="Q39" s="84">
        <v>662192757</v>
      </c>
    </row>
    <row r="40" spans="1:17" ht="15" customHeight="1">
      <c r="A40" t="s">
        <v>156</v>
      </c>
      <c r="B40" t="s">
        <v>15</v>
      </c>
      <c r="C40" s="84"/>
      <c r="D40" s="84"/>
      <c r="E40" s="84"/>
      <c r="F40" s="84"/>
      <c r="G40" s="84"/>
      <c r="H40" s="84"/>
      <c r="I40" s="84">
        <v>1727900000</v>
      </c>
      <c r="J40" s="84">
        <v>2668700000</v>
      </c>
      <c r="K40" s="84"/>
      <c r="L40" s="84"/>
      <c r="M40" s="84">
        <v>789000000</v>
      </c>
      <c r="N40" s="84"/>
      <c r="O40" s="84">
        <v>1127211641</v>
      </c>
      <c r="P40" s="84">
        <v>1311953516</v>
      </c>
      <c r="Q40" s="84">
        <v>860000000</v>
      </c>
    </row>
    <row r="41" spans="1:17" ht="15" customHeight="1">
      <c r="A41" t="s">
        <v>167</v>
      </c>
      <c r="B41" t="s">
        <v>15</v>
      </c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>
        <v>14840854</v>
      </c>
      <c r="N41" s="84"/>
      <c r="O41" s="84"/>
      <c r="P41" s="84"/>
      <c r="Q41" s="84"/>
    </row>
    <row r="42" spans="1:17" ht="15" customHeight="1">
      <c r="A42" t="s">
        <v>146</v>
      </c>
      <c r="B42" t="s">
        <v>15</v>
      </c>
      <c r="C42" s="84"/>
      <c r="D42" s="84"/>
      <c r="E42" s="84"/>
      <c r="F42" s="84"/>
      <c r="G42" s="84"/>
      <c r="H42" s="84"/>
      <c r="I42" s="84">
        <v>546949126</v>
      </c>
      <c r="J42" s="84"/>
      <c r="K42" s="84"/>
      <c r="L42" s="84"/>
      <c r="M42" s="84"/>
      <c r="N42" s="84"/>
      <c r="O42" s="84"/>
      <c r="P42" s="84"/>
      <c r="Q42" s="84"/>
    </row>
    <row r="43" spans="1:17" ht="15" customHeight="1">
      <c r="A43" t="s">
        <v>169</v>
      </c>
      <c r="B43" t="s">
        <v>15</v>
      </c>
      <c r="C43" s="84"/>
      <c r="D43" s="84"/>
      <c r="E43" s="84"/>
      <c r="F43" s="84"/>
      <c r="G43" s="84"/>
      <c r="H43" s="84"/>
      <c r="I43" s="84"/>
      <c r="J43" s="84">
        <v>3884356581</v>
      </c>
      <c r="K43" s="84"/>
      <c r="L43" s="84"/>
      <c r="M43" s="84">
        <v>0</v>
      </c>
      <c r="N43" s="84"/>
      <c r="O43" s="84">
        <v>472308627</v>
      </c>
      <c r="P43" s="84">
        <v>344007921</v>
      </c>
      <c r="Q43" s="84"/>
    </row>
    <row r="44" spans="1:17" ht="15" customHeight="1">
      <c r="A44" t="s">
        <v>151</v>
      </c>
      <c r="B44" t="s">
        <v>15</v>
      </c>
      <c r="C44" s="84"/>
      <c r="D44" s="84"/>
      <c r="E44" s="84"/>
      <c r="F44" s="84"/>
      <c r="G44" s="84"/>
      <c r="H44" s="84"/>
      <c r="I44" s="84">
        <v>39500000</v>
      </c>
      <c r="J44" s="84"/>
      <c r="K44" s="84"/>
      <c r="L44" s="84"/>
      <c r="M44" s="84"/>
      <c r="N44" s="84"/>
      <c r="O44" s="84"/>
      <c r="P44" s="84"/>
      <c r="Q44" s="84"/>
    </row>
    <row r="45" spans="1:17" ht="15" customHeight="1">
      <c r="A45" t="s">
        <v>175</v>
      </c>
      <c r="B45" t="s">
        <v>15</v>
      </c>
      <c r="C45" s="84"/>
      <c r="D45" s="84"/>
      <c r="E45" s="84"/>
      <c r="F45" s="84"/>
      <c r="G45" s="84"/>
      <c r="H45" s="84"/>
      <c r="I45" s="84"/>
      <c r="J45" s="84">
        <v>1029498967</v>
      </c>
      <c r="K45" s="84"/>
      <c r="L45" s="84"/>
      <c r="M45" s="84"/>
      <c r="N45" s="84"/>
      <c r="O45" s="84">
        <v>168906963</v>
      </c>
      <c r="P45" s="84"/>
      <c r="Q45" s="84"/>
    </row>
    <row r="46" spans="1:17" ht="15" customHeight="1">
      <c r="A46" t="s">
        <v>54</v>
      </c>
      <c r="B46" t="s">
        <v>15</v>
      </c>
      <c r="C46" s="84"/>
      <c r="D46" s="84"/>
      <c r="E46" s="84"/>
      <c r="F46" s="84">
        <v>872806562</v>
      </c>
      <c r="G46" s="84"/>
      <c r="H46" s="84"/>
      <c r="I46" s="84">
        <v>107000000</v>
      </c>
      <c r="J46" s="84"/>
      <c r="K46" s="84"/>
      <c r="L46" s="84"/>
      <c r="M46" s="84"/>
      <c r="N46" s="84"/>
      <c r="O46" s="84"/>
      <c r="P46" s="84"/>
      <c r="Q46" s="84"/>
    </row>
    <row r="47" spans="1:17" ht="15" customHeight="1">
      <c r="A47" t="s">
        <v>164</v>
      </c>
      <c r="B47" t="s">
        <v>15</v>
      </c>
      <c r="C47" s="84"/>
      <c r="D47" s="84"/>
      <c r="E47" s="84"/>
      <c r="F47" s="84"/>
      <c r="G47" s="84"/>
      <c r="H47" s="84"/>
      <c r="I47" s="84"/>
      <c r="J47" s="84">
        <v>5611183444</v>
      </c>
      <c r="K47" s="84"/>
      <c r="L47" s="84"/>
      <c r="M47" s="84">
        <v>765567330</v>
      </c>
      <c r="N47" s="84"/>
      <c r="O47" s="84">
        <v>509872202</v>
      </c>
      <c r="P47" s="84">
        <v>1005827508</v>
      </c>
      <c r="Q47" s="84">
        <v>600000000</v>
      </c>
    </row>
    <row r="48" spans="1:17" ht="15" customHeight="1">
      <c r="A48" t="s">
        <v>204</v>
      </c>
      <c r="B48" t="s">
        <v>15</v>
      </c>
      <c r="C48" s="84"/>
      <c r="D48" s="84"/>
      <c r="E48" s="84"/>
      <c r="F48" s="84"/>
      <c r="G48" s="84"/>
      <c r="H48" s="84"/>
      <c r="I48" s="84"/>
      <c r="J48" s="84"/>
      <c r="K48" s="84">
        <v>10933977773</v>
      </c>
      <c r="L48" s="84"/>
      <c r="M48" s="84"/>
      <c r="N48" s="84">
        <v>1400000000</v>
      </c>
      <c r="O48" s="84">
        <v>1936697740</v>
      </c>
      <c r="P48" s="84">
        <v>2782860125</v>
      </c>
      <c r="Q48" s="84">
        <v>2977002338</v>
      </c>
    </row>
    <row r="49" spans="1:17" ht="15" customHeight="1">
      <c r="A49" t="s">
        <v>184</v>
      </c>
      <c r="B49" t="s">
        <v>15</v>
      </c>
      <c r="C49" s="84"/>
      <c r="D49" s="84"/>
      <c r="E49" s="84"/>
      <c r="F49" s="84"/>
      <c r="G49" s="84"/>
      <c r="H49" s="84"/>
      <c r="I49" s="84"/>
      <c r="J49" s="84">
        <v>175500000</v>
      </c>
      <c r="K49" s="84"/>
      <c r="L49" s="84"/>
      <c r="M49" s="84"/>
      <c r="N49" s="84"/>
      <c r="O49" s="84"/>
      <c r="P49" s="84"/>
      <c r="Q49" s="84"/>
    </row>
    <row r="50" spans="1:17" ht="15" customHeight="1">
      <c r="A50" t="s">
        <v>268</v>
      </c>
      <c r="B50" t="s">
        <v>15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>
        <v>114317607</v>
      </c>
      <c r="P50" s="84">
        <v>98416155</v>
      </c>
      <c r="Q50" s="84">
        <v>87000000</v>
      </c>
    </row>
    <row r="51" spans="1:17" ht="15" customHeight="1">
      <c r="A51" t="s">
        <v>154</v>
      </c>
      <c r="B51" t="s">
        <v>15</v>
      </c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>
        <v>14781209</v>
      </c>
      <c r="N51" s="84"/>
      <c r="O51" s="84"/>
      <c r="P51" s="84"/>
      <c r="Q51" s="84"/>
    </row>
    <row r="52" spans="1:17" ht="15" customHeight="1">
      <c r="A52" t="s">
        <v>186</v>
      </c>
      <c r="B52" t="s">
        <v>15</v>
      </c>
      <c r="C52" s="84"/>
      <c r="D52" s="84"/>
      <c r="E52" s="84"/>
      <c r="F52" s="84"/>
      <c r="G52" s="84"/>
      <c r="H52" s="84"/>
      <c r="I52" s="84"/>
      <c r="J52" s="84">
        <v>3544912000</v>
      </c>
      <c r="K52" s="84">
        <v>7186261866</v>
      </c>
      <c r="L52" s="84"/>
      <c r="M52" s="84">
        <v>1030000000</v>
      </c>
      <c r="N52" s="84"/>
      <c r="O52" s="84">
        <v>2267407090</v>
      </c>
      <c r="P52" s="84">
        <v>2599161218</v>
      </c>
      <c r="Q52" s="84">
        <v>1585259297</v>
      </c>
    </row>
    <row r="53" spans="1:17" ht="15" customHeight="1">
      <c r="A53" t="s">
        <v>189</v>
      </c>
      <c r="B53" t="s">
        <v>15</v>
      </c>
      <c r="C53" s="84"/>
      <c r="D53" s="84"/>
      <c r="E53" s="84"/>
      <c r="F53" s="84"/>
      <c r="G53" s="84"/>
      <c r="H53" s="84"/>
      <c r="I53" s="84"/>
      <c r="J53" s="84"/>
      <c r="K53" s="84">
        <v>19012102878</v>
      </c>
      <c r="L53" s="84"/>
      <c r="M53" s="84">
        <v>3040000000</v>
      </c>
      <c r="N53" s="84">
        <v>1819677970</v>
      </c>
      <c r="O53" s="84">
        <v>2572911713</v>
      </c>
      <c r="P53" s="84">
        <v>3006120000</v>
      </c>
      <c r="Q53" s="84">
        <v>2770112044</v>
      </c>
    </row>
    <row r="54" spans="1:17" ht="15" customHeight="1">
      <c r="A54" t="s">
        <v>206</v>
      </c>
      <c r="B54" t="s">
        <v>15</v>
      </c>
      <c r="C54" s="84"/>
      <c r="D54" s="84"/>
      <c r="E54" s="84"/>
      <c r="F54" s="84"/>
      <c r="G54" s="84"/>
      <c r="H54" s="84"/>
      <c r="I54" s="84"/>
      <c r="J54" s="84"/>
      <c r="K54" s="84">
        <v>6550000000</v>
      </c>
      <c r="L54" s="84">
        <v>45056692741</v>
      </c>
      <c r="M54" s="84"/>
      <c r="N54" s="84">
        <v>18541000000</v>
      </c>
      <c r="O54" s="84">
        <v>10525179803</v>
      </c>
      <c r="P54" s="84">
        <v>11668365158</v>
      </c>
      <c r="Q54" s="84">
        <v>9940000000</v>
      </c>
    </row>
    <row r="55" spans="1:17" ht="15" customHeight="1">
      <c r="A55" t="s">
        <v>45</v>
      </c>
      <c r="B55" t="s">
        <v>15</v>
      </c>
      <c r="C55" s="84"/>
      <c r="D55" s="84"/>
      <c r="E55" s="84">
        <v>5501648920</v>
      </c>
      <c r="F55" s="84"/>
      <c r="G55" s="84"/>
      <c r="H55" s="84">
        <v>500000000</v>
      </c>
      <c r="I55" s="84"/>
      <c r="J55" s="84"/>
      <c r="K55" s="84"/>
      <c r="L55" s="84"/>
      <c r="M55" s="84"/>
      <c r="N55" s="84"/>
      <c r="O55" s="84">
        <v>510909899</v>
      </c>
      <c r="P55" s="84">
        <v>920624766</v>
      </c>
      <c r="Q55" s="84">
        <v>1181400000</v>
      </c>
    </row>
    <row r="56" spans="1:17" ht="15" customHeight="1">
      <c r="A56" t="s">
        <v>282</v>
      </c>
      <c r="B56" t="s">
        <v>15</v>
      </c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>
        <v>1006545000</v>
      </c>
      <c r="Q56" s="84"/>
    </row>
    <row r="57" spans="1:17" ht="15" customHeight="1">
      <c r="A57" t="s">
        <v>217</v>
      </c>
      <c r="B57" t="s">
        <v>15</v>
      </c>
      <c r="C57" s="84"/>
      <c r="D57" s="84"/>
      <c r="E57" s="84"/>
      <c r="F57" s="84"/>
      <c r="G57" s="84"/>
      <c r="H57" s="84"/>
      <c r="I57" s="84"/>
      <c r="J57" s="84"/>
      <c r="K57" s="84"/>
      <c r="L57" s="84">
        <v>184398188</v>
      </c>
      <c r="M57" s="84"/>
      <c r="N57" s="84"/>
      <c r="O57" s="84"/>
      <c r="P57" s="84"/>
      <c r="Q57" s="84"/>
    </row>
    <row r="58" spans="1:17" ht="15" customHeight="1">
      <c r="A58" t="s">
        <v>219</v>
      </c>
      <c r="B58" t="s">
        <v>15</v>
      </c>
      <c r="C58" s="84"/>
      <c r="D58" s="84"/>
      <c r="E58" s="84"/>
      <c r="F58" s="84"/>
      <c r="G58" s="84"/>
      <c r="H58" s="84"/>
      <c r="I58" s="84"/>
      <c r="J58" s="84"/>
      <c r="K58" s="84"/>
      <c r="L58" s="84">
        <v>1168800000</v>
      </c>
      <c r="M58" s="84"/>
      <c r="N58" s="84">
        <v>157800000</v>
      </c>
      <c r="O58" s="84">
        <v>6082400871</v>
      </c>
      <c r="P58" s="84">
        <v>5631151943</v>
      </c>
      <c r="Q58" s="84">
        <v>4145702931</v>
      </c>
    </row>
    <row r="59" spans="1:17" ht="15" customHeight="1">
      <c r="A59" t="s">
        <v>223</v>
      </c>
      <c r="B59" t="s">
        <v>15</v>
      </c>
      <c r="C59" s="84"/>
      <c r="D59" s="84"/>
      <c r="E59" s="84"/>
      <c r="F59" s="84"/>
      <c r="G59" s="84"/>
      <c r="H59" s="84"/>
      <c r="I59" s="84"/>
      <c r="J59" s="84"/>
      <c r="K59" s="84"/>
      <c r="L59" s="84">
        <v>960300000</v>
      </c>
      <c r="M59" s="84"/>
      <c r="N59" s="84">
        <v>4299493560</v>
      </c>
      <c r="O59" s="84">
        <v>2581186521</v>
      </c>
      <c r="P59" s="84">
        <v>2434623880</v>
      </c>
      <c r="Q59" s="84">
        <v>2204463790</v>
      </c>
    </row>
    <row r="60" spans="1:17" ht="15" customHeight="1">
      <c r="A60" t="s">
        <v>221</v>
      </c>
      <c r="B60" t="s">
        <v>15</v>
      </c>
      <c r="C60" s="84"/>
      <c r="D60" s="84"/>
      <c r="E60" s="84"/>
      <c r="F60" s="84"/>
      <c r="G60" s="84"/>
      <c r="H60" s="84"/>
      <c r="I60" s="84"/>
      <c r="J60" s="84"/>
      <c r="K60" s="84"/>
      <c r="L60" s="84">
        <v>37700000</v>
      </c>
      <c r="M60" s="84"/>
      <c r="N60" s="84"/>
      <c r="O60" s="84"/>
      <c r="P60" s="84"/>
      <c r="Q60" s="84"/>
    </row>
    <row r="61" spans="1:17" ht="15" customHeight="1">
      <c r="A61" t="s">
        <v>226</v>
      </c>
      <c r="B61" t="s">
        <v>15</v>
      </c>
      <c r="C61" s="84"/>
      <c r="D61" s="84"/>
      <c r="E61" s="84"/>
      <c r="F61" s="84"/>
      <c r="G61" s="84"/>
      <c r="H61" s="84"/>
      <c r="I61" s="84"/>
      <c r="J61" s="84"/>
      <c r="K61" s="84"/>
      <c r="L61" s="84">
        <v>6136000000</v>
      </c>
      <c r="M61" s="84">
        <v>9013903500</v>
      </c>
      <c r="N61" s="84">
        <v>3200000000</v>
      </c>
      <c r="O61" s="84">
        <v>4271938417</v>
      </c>
      <c r="P61" s="84">
        <v>4344155316</v>
      </c>
      <c r="Q61" s="84">
        <v>2705762394</v>
      </c>
    </row>
    <row r="62" spans="1:17" ht="15" customHeight="1">
      <c r="A62" t="s">
        <v>229</v>
      </c>
      <c r="B62" t="s">
        <v>15</v>
      </c>
      <c r="C62" s="84"/>
      <c r="D62" s="84"/>
      <c r="E62" s="84"/>
      <c r="F62" s="84"/>
      <c r="G62" s="84"/>
      <c r="H62" s="84"/>
      <c r="I62" s="84"/>
      <c r="J62" s="84"/>
      <c r="K62" s="84"/>
      <c r="L62" s="84">
        <v>1684015298</v>
      </c>
      <c r="M62" s="84">
        <v>478582358</v>
      </c>
      <c r="N62" s="84">
        <v>0</v>
      </c>
      <c r="O62" s="84"/>
      <c r="P62" s="84"/>
      <c r="Q62" s="84"/>
    </row>
    <row r="63" spans="1:17" ht="13">
      <c r="A63" t="s">
        <v>338</v>
      </c>
      <c r="B63" t="s">
        <v>15</v>
      </c>
      <c r="C63" s="84"/>
      <c r="D63" s="84"/>
      <c r="E63" s="84"/>
      <c r="F63" s="84"/>
      <c r="G63" s="84"/>
      <c r="H63" s="84"/>
      <c r="I63" s="84"/>
      <c r="J63" s="84"/>
      <c r="K63" s="84"/>
      <c r="L63" s="84">
        <v>92100000</v>
      </c>
      <c r="M63" s="84">
        <v>712179158</v>
      </c>
      <c r="N63" s="84">
        <v>68193940</v>
      </c>
      <c r="O63" s="84">
        <v>41579330</v>
      </c>
      <c r="P63" s="84">
        <v>60414277</v>
      </c>
      <c r="Q63" s="84">
        <v>73867855</v>
      </c>
    </row>
  </sheetData>
  <phoneticPr fontId="1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P3"/>
  <sheetViews>
    <sheetView showGridLines="0" workbookViewId="0"/>
  </sheetViews>
  <sheetFormatPr baseColWidth="10" defaultColWidth="12.6640625" defaultRowHeight="15" customHeight="1"/>
  <cols>
    <col min="1" max="1" width="11" customWidth="1"/>
    <col min="2" max="2" width="11.83203125" customWidth="1"/>
    <col min="3" max="4" width="8.1640625" customWidth="1"/>
    <col min="5" max="12" width="9.1640625" customWidth="1"/>
  </cols>
  <sheetData>
    <row r="1" spans="1:16" ht="15" customHeight="1">
      <c r="A1" s="63" t="s">
        <v>285</v>
      </c>
      <c r="B1" s="63" t="s">
        <v>0</v>
      </c>
    </row>
    <row r="2" spans="1:16" ht="15" customHeight="1">
      <c r="A2" s="63" t="s">
        <v>9</v>
      </c>
      <c r="B2">
        <v>2010</v>
      </c>
      <c r="C2">
        <v>2011</v>
      </c>
      <c r="D2">
        <v>2012</v>
      </c>
      <c r="E2">
        <v>2013</v>
      </c>
      <c r="F2">
        <v>2014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O2">
        <v>2023</v>
      </c>
      <c r="P2">
        <v>2024</v>
      </c>
    </row>
    <row r="3" spans="1:16" ht="15" customHeight="1">
      <c r="A3" t="s">
        <v>16</v>
      </c>
      <c r="B3" s="84">
        <v>86650000</v>
      </c>
      <c r="C3" s="84">
        <v>59018148</v>
      </c>
      <c r="D3" s="84">
        <v>53696493</v>
      </c>
      <c r="E3" s="84">
        <v>123376698</v>
      </c>
      <c r="F3" s="84">
        <v>68246000</v>
      </c>
      <c r="G3" s="84">
        <v>121479519</v>
      </c>
      <c r="H3" s="84">
        <v>163072926</v>
      </c>
      <c r="I3" s="84">
        <v>57384736</v>
      </c>
      <c r="J3" s="84">
        <v>219519409</v>
      </c>
      <c r="K3" s="84">
        <v>235453961</v>
      </c>
      <c r="L3" s="84">
        <v>230612904</v>
      </c>
      <c r="M3" s="84">
        <v>312104007</v>
      </c>
      <c r="N3" s="84">
        <v>336223130</v>
      </c>
      <c r="O3" s="84">
        <v>363476474</v>
      </c>
      <c r="P3" s="84">
        <v>302244276</v>
      </c>
    </row>
  </sheetData>
  <phoneticPr fontId="1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Q83"/>
  <sheetViews>
    <sheetView showGridLines="0" workbookViewId="0"/>
  </sheetViews>
  <sheetFormatPr baseColWidth="10" defaultColWidth="12.6640625" defaultRowHeight="15" customHeight="1"/>
  <cols>
    <col min="2" max="2" width="17.1640625" customWidth="1"/>
  </cols>
  <sheetData>
    <row r="1" spans="1:17" ht="15" customHeight="1">
      <c r="A1" s="63" t="s">
        <v>285</v>
      </c>
      <c r="C1" s="63" t="s">
        <v>0</v>
      </c>
    </row>
    <row r="2" spans="1:17" ht="15" customHeight="1">
      <c r="A2" s="63" t="s">
        <v>3</v>
      </c>
      <c r="B2" s="63" t="s">
        <v>4</v>
      </c>
      <c r="C2">
        <v>2010</v>
      </c>
      <c r="D2">
        <v>2011</v>
      </c>
      <c r="E2">
        <v>2012</v>
      </c>
      <c r="F2">
        <v>2013</v>
      </c>
      <c r="G2">
        <v>2014</v>
      </c>
      <c r="H2">
        <v>2015</v>
      </c>
      <c r="I2">
        <v>2016</v>
      </c>
      <c r="J2">
        <v>2017</v>
      </c>
      <c r="K2">
        <v>2018</v>
      </c>
      <c r="L2">
        <v>2019</v>
      </c>
      <c r="M2">
        <v>2020</v>
      </c>
      <c r="N2">
        <v>2021</v>
      </c>
      <c r="O2">
        <v>2022</v>
      </c>
      <c r="P2">
        <v>2023</v>
      </c>
      <c r="Q2">
        <v>2024</v>
      </c>
    </row>
    <row r="3" spans="1:17" ht="15" customHeight="1">
      <c r="A3" t="s">
        <v>11</v>
      </c>
      <c r="B3" t="s">
        <v>16</v>
      </c>
      <c r="C3" s="84">
        <v>58650000</v>
      </c>
      <c r="D3" s="84"/>
      <c r="E3" s="84"/>
      <c r="F3" s="84"/>
      <c r="G3" s="84"/>
      <c r="H3" s="84"/>
      <c r="I3" s="84">
        <v>18400000</v>
      </c>
      <c r="J3" s="84"/>
      <c r="K3" s="84"/>
      <c r="L3" s="84"/>
      <c r="M3" s="84"/>
      <c r="N3" s="84"/>
      <c r="O3" s="84">
        <v>30082953</v>
      </c>
      <c r="P3" s="84">
        <v>37076810</v>
      </c>
      <c r="Q3" s="84">
        <v>30966389</v>
      </c>
    </row>
    <row r="4" spans="1:17" ht="15" customHeight="1">
      <c r="B4" t="s">
        <v>12</v>
      </c>
      <c r="C4" s="84">
        <v>22000000</v>
      </c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</row>
    <row r="5" spans="1:17" ht="15" customHeight="1">
      <c r="A5" t="s">
        <v>31</v>
      </c>
      <c r="B5" t="s">
        <v>16</v>
      </c>
      <c r="C5" s="84"/>
      <c r="D5" s="84">
        <v>7414000</v>
      </c>
      <c r="E5" s="84">
        <v>4013000</v>
      </c>
      <c r="F5" s="84"/>
      <c r="G5" s="84"/>
      <c r="H5" s="84"/>
      <c r="I5" s="84"/>
      <c r="J5" s="84"/>
      <c r="K5" s="84"/>
      <c r="L5" s="84"/>
      <c r="M5" s="84"/>
      <c r="N5" s="84">
        <v>2807830</v>
      </c>
      <c r="O5" s="84">
        <v>1795961</v>
      </c>
      <c r="P5" s="84">
        <v>2666886</v>
      </c>
      <c r="Q5" s="84"/>
    </row>
    <row r="6" spans="1:17" ht="15" customHeight="1">
      <c r="A6" t="s">
        <v>33</v>
      </c>
      <c r="B6" t="s">
        <v>16</v>
      </c>
      <c r="C6" s="84"/>
      <c r="D6" s="84">
        <v>3000000</v>
      </c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</row>
    <row r="7" spans="1:17" ht="15" customHeight="1">
      <c r="A7" t="s">
        <v>25</v>
      </c>
      <c r="B7" t="s">
        <v>16</v>
      </c>
      <c r="C7" s="84"/>
      <c r="D7" s="84">
        <v>9754148</v>
      </c>
      <c r="E7" s="84"/>
      <c r="F7" s="84"/>
      <c r="G7" s="84"/>
      <c r="H7" s="84"/>
      <c r="I7" s="84"/>
      <c r="J7" s="84"/>
      <c r="K7" s="84"/>
      <c r="L7" s="84"/>
      <c r="M7" s="84"/>
      <c r="N7" s="84">
        <v>3533773</v>
      </c>
      <c r="O7" s="84">
        <v>4889324</v>
      </c>
      <c r="P7" s="84">
        <v>4648210</v>
      </c>
      <c r="Q7" s="84">
        <v>6300000</v>
      </c>
    </row>
    <row r="8" spans="1:17" ht="15" customHeight="1">
      <c r="B8" t="s">
        <v>12</v>
      </c>
      <c r="C8" s="84">
        <v>3500000</v>
      </c>
      <c r="D8" s="84">
        <v>3500000</v>
      </c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</row>
    <row r="9" spans="1:17" ht="15" customHeight="1">
      <c r="A9" t="s">
        <v>21</v>
      </c>
      <c r="B9" t="s">
        <v>16</v>
      </c>
      <c r="C9" s="84">
        <v>2500000</v>
      </c>
      <c r="D9" s="84">
        <v>21380000</v>
      </c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</row>
    <row r="10" spans="1:17" ht="15" customHeight="1">
      <c r="A10" t="s">
        <v>42</v>
      </c>
      <c r="B10" t="s">
        <v>16</v>
      </c>
      <c r="C10" s="84"/>
      <c r="D10" s="84"/>
      <c r="E10" s="84">
        <v>13900000</v>
      </c>
      <c r="F10" s="84">
        <v>2900000</v>
      </c>
      <c r="G10" s="84">
        <v>2600000</v>
      </c>
      <c r="H10" s="84"/>
      <c r="I10" s="84"/>
      <c r="J10" s="84"/>
      <c r="K10" s="84"/>
      <c r="L10" s="84"/>
      <c r="M10" s="84"/>
      <c r="N10" s="84">
        <v>2800000</v>
      </c>
      <c r="O10" s="84">
        <v>3053039</v>
      </c>
      <c r="P10" s="84">
        <v>3426462</v>
      </c>
      <c r="Q10" s="84">
        <v>2801810</v>
      </c>
    </row>
    <row r="11" spans="1:17" ht="15" customHeight="1">
      <c r="B11" t="s">
        <v>12</v>
      </c>
      <c r="C11" s="84"/>
      <c r="D11" s="84"/>
      <c r="E11" s="84">
        <v>5141183</v>
      </c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</row>
    <row r="12" spans="1:17" ht="15" customHeight="1">
      <c r="A12" t="s">
        <v>49</v>
      </c>
      <c r="B12" t="s">
        <v>12</v>
      </c>
      <c r="C12" s="84"/>
      <c r="D12" s="84"/>
      <c r="E12" s="84"/>
      <c r="F12" s="84">
        <v>1143502</v>
      </c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</row>
    <row r="13" spans="1:17" ht="15" customHeight="1">
      <c r="A13" t="s">
        <v>39</v>
      </c>
      <c r="B13" t="s">
        <v>16</v>
      </c>
      <c r="C13" s="84"/>
      <c r="D13" s="84">
        <v>13970000</v>
      </c>
      <c r="E13" s="84">
        <v>3400000</v>
      </c>
      <c r="F13" s="84">
        <v>10500000</v>
      </c>
      <c r="G13" s="84"/>
      <c r="H13" s="84"/>
      <c r="I13" s="84"/>
      <c r="J13" s="84"/>
      <c r="K13" s="84"/>
      <c r="L13" s="84"/>
      <c r="M13" s="84"/>
      <c r="N13" s="84">
        <v>4406243</v>
      </c>
      <c r="O13" s="84">
        <v>3934444</v>
      </c>
      <c r="P13" s="84">
        <v>4700311</v>
      </c>
      <c r="Q13" s="84">
        <v>3369526</v>
      </c>
    </row>
    <row r="14" spans="1:17" ht="15" customHeight="1">
      <c r="A14" t="s">
        <v>58</v>
      </c>
      <c r="B14" t="s">
        <v>16</v>
      </c>
      <c r="C14" s="84"/>
      <c r="D14" s="84"/>
      <c r="E14" s="84"/>
      <c r="F14" s="84">
        <v>42500000</v>
      </c>
      <c r="G14" s="84">
        <v>941000</v>
      </c>
      <c r="H14" s="84">
        <v>39868000</v>
      </c>
      <c r="I14" s="84"/>
      <c r="J14" s="84"/>
      <c r="K14" s="84"/>
      <c r="L14" s="84"/>
      <c r="M14" s="84"/>
      <c r="N14" s="84">
        <v>21568167</v>
      </c>
      <c r="O14" s="84">
        <v>28243244</v>
      </c>
      <c r="P14" s="84">
        <v>27797509</v>
      </c>
      <c r="Q14" s="84">
        <v>27256000</v>
      </c>
    </row>
    <row r="15" spans="1:17" ht="15" customHeight="1">
      <c r="B15" t="s">
        <v>12</v>
      </c>
      <c r="C15" s="84"/>
      <c r="D15" s="84"/>
      <c r="E15" s="84"/>
      <c r="F15" s="84">
        <v>27510000</v>
      </c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</row>
    <row r="16" spans="1:17" ht="15" customHeight="1">
      <c r="A16" t="s">
        <v>182</v>
      </c>
      <c r="B16" t="s">
        <v>16</v>
      </c>
      <c r="C16" s="84"/>
      <c r="D16" s="84"/>
      <c r="E16" s="84"/>
      <c r="F16" s="84"/>
      <c r="G16" s="84"/>
      <c r="H16" s="84"/>
      <c r="I16" s="84"/>
      <c r="J16" s="84">
        <v>166000</v>
      </c>
      <c r="K16" s="84"/>
      <c r="L16" s="84"/>
      <c r="M16" s="84">
        <v>1700000</v>
      </c>
      <c r="N16" s="84"/>
      <c r="O16" s="84"/>
      <c r="P16" s="84"/>
      <c r="Q16" s="84"/>
    </row>
    <row r="17" spans="1:17" ht="15" customHeight="1">
      <c r="A17" t="s">
        <v>81</v>
      </c>
      <c r="B17" t="s">
        <v>16</v>
      </c>
      <c r="C17" s="84"/>
      <c r="D17" s="84"/>
      <c r="E17" s="84"/>
      <c r="F17" s="84"/>
      <c r="G17" s="84">
        <v>10400000</v>
      </c>
      <c r="H17" s="84"/>
      <c r="I17" s="84"/>
      <c r="J17" s="84"/>
      <c r="K17" s="84"/>
      <c r="L17" s="84"/>
      <c r="M17" s="84"/>
      <c r="N17" s="84">
        <v>6731041</v>
      </c>
      <c r="O17" s="84">
        <v>7693945</v>
      </c>
      <c r="P17" s="84">
        <v>7711265</v>
      </c>
      <c r="Q17" s="84">
        <v>8307129</v>
      </c>
    </row>
    <row r="18" spans="1:17" ht="15" customHeight="1">
      <c r="A18" t="s">
        <v>51</v>
      </c>
      <c r="B18" t="s">
        <v>16</v>
      </c>
      <c r="C18" s="84"/>
      <c r="D18" s="84"/>
      <c r="E18" s="84"/>
      <c r="F18" s="84">
        <v>9485235</v>
      </c>
      <c r="G18" s="84"/>
      <c r="H18" s="84"/>
      <c r="I18" s="84"/>
      <c r="J18" s="84"/>
      <c r="K18" s="84"/>
      <c r="L18" s="84"/>
      <c r="M18" s="84"/>
      <c r="N18" s="84"/>
      <c r="O18" s="84">
        <v>1090000</v>
      </c>
      <c r="P18" s="84"/>
      <c r="Q18" s="84"/>
    </row>
    <row r="19" spans="1:17" ht="15" customHeight="1">
      <c r="A19" t="s">
        <v>75</v>
      </c>
      <c r="B19" t="s">
        <v>16</v>
      </c>
      <c r="C19" s="84"/>
      <c r="D19" s="84"/>
      <c r="E19" s="84"/>
      <c r="F19" s="84"/>
      <c r="G19" s="84"/>
      <c r="H19" s="84">
        <v>1150000</v>
      </c>
      <c r="I19" s="84">
        <v>150000</v>
      </c>
      <c r="J19" s="84"/>
      <c r="K19" s="84"/>
      <c r="L19" s="84"/>
      <c r="M19" s="84">
        <v>1171417</v>
      </c>
      <c r="N19" s="84"/>
      <c r="O19" s="84"/>
      <c r="P19" s="84"/>
      <c r="Q19" s="84"/>
    </row>
    <row r="20" spans="1:17" ht="15" customHeight="1">
      <c r="B20" t="s">
        <v>12</v>
      </c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>
        <v>626000</v>
      </c>
      <c r="N20" s="84"/>
      <c r="O20" s="84"/>
      <c r="P20" s="84"/>
      <c r="Q20" s="84"/>
    </row>
    <row r="21" spans="1:17" ht="15" customHeight="1">
      <c r="A21" t="s">
        <v>135</v>
      </c>
      <c r="B21" t="s">
        <v>16</v>
      </c>
      <c r="C21" s="84"/>
      <c r="D21" s="84"/>
      <c r="E21" s="84"/>
      <c r="F21" s="84"/>
      <c r="G21" s="84"/>
      <c r="H21" s="84"/>
      <c r="I21" s="84">
        <v>9000000</v>
      </c>
      <c r="J21" s="84"/>
      <c r="K21" s="84"/>
      <c r="L21" s="84"/>
      <c r="M21" s="84"/>
      <c r="N21" s="84"/>
      <c r="O21" s="84"/>
      <c r="P21" s="84"/>
      <c r="Q21" s="84"/>
    </row>
    <row r="22" spans="1:17" ht="15" customHeight="1">
      <c r="A22" t="s">
        <v>79</v>
      </c>
      <c r="B22" t="s">
        <v>16</v>
      </c>
      <c r="C22" s="84"/>
      <c r="D22" s="84"/>
      <c r="E22" s="84"/>
      <c r="F22" s="84"/>
      <c r="G22" s="84">
        <v>29500000</v>
      </c>
      <c r="H22" s="84"/>
      <c r="I22" s="84">
        <v>28100000</v>
      </c>
      <c r="J22" s="84"/>
      <c r="K22" s="84"/>
      <c r="L22" s="84"/>
      <c r="M22" s="84"/>
      <c r="N22" s="84"/>
      <c r="O22" s="84">
        <v>20000000</v>
      </c>
      <c r="P22" s="84">
        <v>28600000</v>
      </c>
      <c r="Q22" s="84">
        <v>21360484</v>
      </c>
    </row>
    <row r="23" spans="1:17" ht="15" customHeight="1">
      <c r="A23" t="s">
        <v>63</v>
      </c>
      <c r="B23" t="s">
        <v>16</v>
      </c>
      <c r="C23" s="84"/>
      <c r="D23" s="84"/>
      <c r="E23" s="84"/>
      <c r="F23" s="84">
        <v>1037961</v>
      </c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</row>
    <row r="24" spans="1:17" ht="15" customHeight="1">
      <c r="A24" t="s">
        <v>65</v>
      </c>
      <c r="B24" t="s">
        <v>16</v>
      </c>
      <c r="C24" s="84"/>
      <c r="D24" s="84"/>
      <c r="E24" s="84"/>
      <c r="F24" s="84"/>
      <c r="G24" s="84">
        <v>1500000</v>
      </c>
      <c r="H24" s="84"/>
      <c r="I24" s="84"/>
      <c r="J24" s="84"/>
      <c r="K24" s="84"/>
      <c r="L24" s="84"/>
      <c r="M24" s="84"/>
      <c r="N24" s="84">
        <v>3800000</v>
      </c>
      <c r="O24" s="84">
        <v>3800000</v>
      </c>
      <c r="P24" s="84">
        <v>5000000</v>
      </c>
      <c r="Q24" s="84">
        <v>5300000</v>
      </c>
    </row>
    <row r="25" spans="1:17" ht="15" customHeight="1">
      <c r="A25" t="s">
        <v>70</v>
      </c>
      <c r="B25" t="s">
        <v>16</v>
      </c>
      <c r="C25" s="84"/>
      <c r="D25" s="84"/>
      <c r="E25" s="84"/>
      <c r="F25" s="84"/>
      <c r="G25" s="84">
        <v>1400000</v>
      </c>
      <c r="H25" s="84"/>
      <c r="I25" s="84"/>
      <c r="J25" s="84"/>
      <c r="K25" s="84"/>
      <c r="L25" s="84"/>
      <c r="M25" s="84"/>
      <c r="N25" s="84">
        <v>5100000</v>
      </c>
      <c r="O25" s="84">
        <v>2800000</v>
      </c>
      <c r="P25" s="84">
        <v>3200000</v>
      </c>
      <c r="Q25" s="84">
        <v>2800000</v>
      </c>
    </row>
    <row r="26" spans="1:17" ht="15" customHeight="1">
      <c r="A26" t="s">
        <v>83</v>
      </c>
      <c r="B26" t="s">
        <v>16</v>
      </c>
      <c r="C26" s="84"/>
      <c r="D26" s="84"/>
      <c r="E26" s="84"/>
      <c r="F26" s="84"/>
      <c r="G26" s="84">
        <v>7917000</v>
      </c>
      <c r="H26" s="84"/>
      <c r="I26" s="84">
        <v>13500000</v>
      </c>
      <c r="J26" s="84"/>
      <c r="K26" s="84"/>
      <c r="L26" s="84"/>
      <c r="M26" s="84"/>
      <c r="N26" s="84">
        <v>4400000</v>
      </c>
      <c r="O26" s="84">
        <v>6496979</v>
      </c>
      <c r="P26" s="84">
        <v>5200000</v>
      </c>
      <c r="Q26" s="84">
        <v>5500000</v>
      </c>
    </row>
    <row r="27" spans="1:17" ht="15" customHeight="1">
      <c r="B27" t="s">
        <v>12</v>
      </c>
      <c r="C27" s="84"/>
      <c r="D27" s="84"/>
      <c r="E27" s="84"/>
      <c r="F27" s="84"/>
      <c r="G27" s="84">
        <v>3288000</v>
      </c>
      <c r="H27" s="84">
        <v>900000</v>
      </c>
      <c r="I27" s="84"/>
      <c r="J27" s="84"/>
      <c r="K27" s="84"/>
      <c r="L27" s="84"/>
      <c r="M27" s="84"/>
      <c r="N27" s="84"/>
      <c r="O27" s="84"/>
      <c r="P27" s="84"/>
      <c r="Q27" s="84"/>
    </row>
    <row r="28" spans="1:17" ht="15" customHeight="1">
      <c r="A28" t="s">
        <v>93</v>
      </c>
      <c r="B28" t="s">
        <v>16</v>
      </c>
      <c r="C28" s="84"/>
      <c r="D28" s="84"/>
      <c r="E28" s="84"/>
      <c r="F28" s="84"/>
      <c r="G28" s="84"/>
      <c r="H28" s="84">
        <v>1500000</v>
      </c>
      <c r="I28" s="84"/>
      <c r="J28" s="84"/>
      <c r="K28" s="84"/>
      <c r="L28" s="84"/>
      <c r="M28" s="84"/>
      <c r="N28" s="84"/>
      <c r="O28" s="84"/>
      <c r="P28" s="84"/>
      <c r="Q28" s="84"/>
    </row>
    <row r="29" spans="1:17" ht="15" customHeight="1">
      <c r="A29" t="s">
        <v>95</v>
      </c>
      <c r="B29" t="s">
        <v>16</v>
      </c>
      <c r="C29" s="84"/>
      <c r="D29" s="84"/>
      <c r="E29" s="84"/>
      <c r="F29" s="84"/>
      <c r="G29" s="84"/>
      <c r="H29" s="84"/>
      <c r="I29" s="84"/>
      <c r="J29" s="84">
        <v>2000000</v>
      </c>
      <c r="K29" s="84">
        <v>40100000</v>
      </c>
      <c r="L29" s="84"/>
      <c r="M29" s="84"/>
      <c r="N29" s="84"/>
      <c r="O29" s="84"/>
      <c r="P29" s="84"/>
      <c r="Q29" s="84"/>
    </row>
    <row r="30" spans="1:17" ht="15" customHeight="1">
      <c r="A30" t="s">
        <v>97</v>
      </c>
      <c r="B30" t="s">
        <v>16</v>
      </c>
      <c r="C30" s="84"/>
      <c r="D30" s="84"/>
      <c r="E30" s="84"/>
      <c r="F30" s="84"/>
      <c r="G30" s="84"/>
      <c r="H30" s="84">
        <v>44100000</v>
      </c>
      <c r="I30" s="84"/>
      <c r="J30" s="84"/>
      <c r="K30" s="84">
        <v>10800000</v>
      </c>
      <c r="L30" s="84"/>
      <c r="M30" s="84"/>
      <c r="N30" s="84">
        <v>4100000</v>
      </c>
      <c r="O30" s="84">
        <v>2454198</v>
      </c>
      <c r="P30" s="84"/>
      <c r="Q30" s="84"/>
    </row>
    <row r="31" spans="1:17" ht="15" customHeight="1">
      <c r="A31" t="s">
        <v>192</v>
      </c>
      <c r="B31" t="s">
        <v>16</v>
      </c>
      <c r="C31" s="84"/>
      <c r="D31" s="84"/>
      <c r="E31" s="84"/>
      <c r="F31" s="84"/>
      <c r="G31" s="84"/>
      <c r="H31" s="84"/>
      <c r="I31" s="84"/>
      <c r="J31" s="84"/>
      <c r="K31" s="84">
        <v>1400000</v>
      </c>
      <c r="L31" s="84"/>
      <c r="M31" s="84"/>
      <c r="N31" s="84"/>
      <c r="O31" s="84"/>
      <c r="P31" s="84"/>
      <c r="Q31" s="84"/>
    </row>
    <row r="32" spans="1:17" ht="15" customHeight="1">
      <c r="A32" t="s">
        <v>113</v>
      </c>
      <c r="B32" t="s">
        <v>16</v>
      </c>
      <c r="C32" s="84"/>
      <c r="D32" s="84"/>
      <c r="E32" s="84"/>
      <c r="F32" s="84"/>
      <c r="G32" s="84"/>
      <c r="H32" s="84"/>
      <c r="I32" s="84"/>
      <c r="J32" s="84"/>
      <c r="K32" s="84">
        <v>13840000</v>
      </c>
      <c r="L32" s="84"/>
      <c r="M32" s="84"/>
      <c r="N32" s="84"/>
      <c r="O32" s="84">
        <v>4460065</v>
      </c>
      <c r="P32" s="84">
        <v>6446835</v>
      </c>
      <c r="Q32" s="84"/>
    </row>
    <row r="33" spans="1:17" ht="15" customHeight="1">
      <c r="B33" t="s">
        <v>12</v>
      </c>
      <c r="C33" s="84"/>
      <c r="D33" s="84"/>
      <c r="E33" s="84"/>
      <c r="F33" s="84"/>
      <c r="G33" s="84"/>
      <c r="H33" s="84">
        <v>6081500</v>
      </c>
      <c r="I33" s="84"/>
      <c r="J33" s="84"/>
      <c r="K33" s="84"/>
      <c r="L33" s="84"/>
      <c r="M33" s="84"/>
      <c r="N33" s="84"/>
      <c r="O33" s="84"/>
      <c r="P33" s="84"/>
      <c r="Q33" s="84"/>
    </row>
    <row r="34" spans="1:17" ht="15" customHeight="1">
      <c r="A34" t="s">
        <v>195</v>
      </c>
      <c r="B34" t="s">
        <v>16</v>
      </c>
      <c r="C34" s="84"/>
      <c r="D34" s="84"/>
      <c r="E34" s="84"/>
      <c r="F34" s="84"/>
      <c r="G34" s="84"/>
      <c r="H34" s="84"/>
      <c r="I34" s="84"/>
      <c r="J34" s="84"/>
      <c r="K34" s="84">
        <v>7000000</v>
      </c>
      <c r="L34" s="84"/>
      <c r="M34" s="84"/>
      <c r="N34" s="84"/>
      <c r="O34" s="84">
        <v>2500000</v>
      </c>
      <c r="P34" s="84">
        <v>3909222</v>
      </c>
      <c r="Q34" s="84"/>
    </row>
    <row r="35" spans="1:17" ht="15" customHeight="1">
      <c r="A35" t="s">
        <v>90</v>
      </c>
      <c r="B35" t="s">
        <v>16</v>
      </c>
      <c r="C35" s="84"/>
      <c r="D35" s="84"/>
      <c r="E35" s="84"/>
      <c r="F35" s="84"/>
      <c r="G35" s="84"/>
      <c r="H35" s="84"/>
      <c r="I35" s="84"/>
      <c r="J35" s="84"/>
      <c r="K35" s="84">
        <v>4440000</v>
      </c>
      <c r="L35" s="84"/>
      <c r="M35" s="84"/>
      <c r="N35" s="84"/>
      <c r="O35" s="84"/>
      <c r="P35" s="84"/>
      <c r="Q35" s="84"/>
    </row>
    <row r="36" spans="1:17" ht="15" customHeight="1">
      <c r="B36" t="s">
        <v>12</v>
      </c>
      <c r="C36" s="84"/>
      <c r="D36" s="84"/>
      <c r="E36" s="84"/>
      <c r="F36" s="84"/>
      <c r="G36" s="84"/>
      <c r="H36" s="84">
        <v>200245</v>
      </c>
      <c r="I36" s="84"/>
      <c r="J36" s="84"/>
      <c r="K36" s="84"/>
      <c r="L36" s="84"/>
      <c r="M36" s="84"/>
      <c r="N36" s="84"/>
      <c r="O36" s="84"/>
      <c r="P36" s="84"/>
      <c r="Q36" s="84"/>
    </row>
    <row r="37" spans="1:17" ht="15" customHeight="1">
      <c r="A37" t="s">
        <v>116</v>
      </c>
      <c r="B37" t="s">
        <v>16</v>
      </c>
      <c r="C37" s="84"/>
      <c r="D37" s="84"/>
      <c r="E37" s="84"/>
      <c r="F37" s="84"/>
      <c r="G37" s="84"/>
      <c r="H37" s="84">
        <v>5131302</v>
      </c>
      <c r="I37" s="84"/>
      <c r="J37" s="84"/>
      <c r="K37" s="84">
        <v>1823000</v>
      </c>
      <c r="L37" s="84"/>
      <c r="M37" s="84"/>
      <c r="N37" s="84">
        <v>1250662</v>
      </c>
      <c r="O37" s="84">
        <v>803587</v>
      </c>
      <c r="P37" s="84">
        <v>883937</v>
      </c>
      <c r="Q37" s="84">
        <v>250000</v>
      </c>
    </row>
    <row r="38" spans="1:17" ht="15" customHeight="1">
      <c r="A38" t="s">
        <v>100</v>
      </c>
      <c r="B38" t="s">
        <v>16</v>
      </c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>
        <v>6992137</v>
      </c>
      <c r="P38" s="84"/>
      <c r="Q38" s="84"/>
    </row>
    <row r="39" spans="1:17" ht="15" customHeight="1">
      <c r="A39" t="s">
        <v>104</v>
      </c>
      <c r="B39" t="s">
        <v>16</v>
      </c>
      <c r="C39" s="84"/>
      <c r="D39" s="84"/>
      <c r="E39" s="84"/>
      <c r="F39" s="84"/>
      <c r="G39" s="84"/>
      <c r="H39" s="84"/>
      <c r="I39" s="84"/>
      <c r="J39" s="84"/>
      <c r="K39" s="84">
        <v>500000</v>
      </c>
      <c r="L39" s="84"/>
      <c r="M39" s="84"/>
      <c r="N39" s="84"/>
      <c r="O39" s="84"/>
      <c r="P39" s="84"/>
      <c r="Q39" s="84"/>
    </row>
    <row r="40" spans="1:17" ht="15" customHeight="1">
      <c r="A40" t="s">
        <v>106</v>
      </c>
      <c r="B40" t="s">
        <v>16</v>
      </c>
      <c r="C40" s="84"/>
      <c r="D40" s="84"/>
      <c r="E40" s="84"/>
      <c r="F40" s="84"/>
      <c r="G40" s="84"/>
      <c r="H40" s="84"/>
      <c r="I40" s="84"/>
      <c r="J40" s="84"/>
      <c r="K40" s="84"/>
      <c r="L40" s="84">
        <v>890000</v>
      </c>
      <c r="M40" s="84"/>
      <c r="N40" s="84">
        <v>1590000</v>
      </c>
      <c r="O40" s="84">
        <v>3300000</v>
      </c>
      <c r="P40" s="84">
        <v>3897188</v>
      </c>
      <c r="Q40" s="84">
        <v>2295813</v>
      </c>
    </row>
    <row r="41" spans="1:17" ht="15" customHeight="1">
      <c r="A41" t="s">
        <v>130</v>
      </c>
      <c r="B41" t="s">
        <v>16</v>
      </c>
      <c r="C41" s="84"/>
      <c r="D41" s="84"/>
      <c r="E41" s="84"/>
      <c r="F41" s="84"/>
      <c r="G41" s="84"/>
      <c r="H41" s="84"/>
      <c r="I41" s="84">
        <v>14400000</v>
      </c>
      <c r="J41" s="84"/>
      <c r="K41" s="84"/>
      <c r="L41" s="84">
        <v>10000000</v>
      </c>
      <c r="M41" s="84"/>
      <c r="N41" s="84">
        <v>5917269</v>
      </c>
      <c r="O41" s="84">
        <v>7522833</v>
      </c>
      <c r="P41" s="84">
        <v>8782254</v>
      </c>
      <c r="Q41" s="84">
        <v>7107194</v>
      </c>
    </row>
    <row r="42" spans="1:17" ht="15" customHeight="1">
      <c r="B42" t="s">
        <v>12</v>
      </c>
      <c r="C42" s="84"/>
      <c r="D42" s="84"/>
      <c r="E42" s="84"/>
      <c r="F42" s="84"/>
      <c r="G42" s="84"/>
      <c r="H42" s="84"/>
      <c r="I42" s="84">
        <v>10803226</v>
      </c>
      <c r="J42" s="84"/>
      <c r="K42" s="84"/>
      <c r="L42" s="84"/>
      <c r="M42" s="84"/>
      <c r="N42" s="84"/>
      <c r="O42" s="84"/>
      <c r="P42" s="84"/>
      <c r="Q42" s="84"/>
    </row>
    <row r="43" spans="1:17" ht="15" customHeight="1">
      <c r="A43" t="s">
        <v>137</v>
      </c>
      <c r="B43" t="s">
        <v>16</v>
      </c>
      <c r="C43" s="84"/>
      <c r="D43" s="84"/>
      <c r="E43" s="84"/>
      <c r="F43" s="84"/>
      <c r="G43" s="84"/>
      <c r="H43" s="84"/>
      <c r="I43" s="84">
        <v>3400700</v>
      </c>
      <c r="J43" s="84"/>
      <c r="K43" s="84"/>
      <c r="L43" s="84">
        <v>1901000</v>
      </c>
      <c r="M43" s="84"/>
      <c r="N43" s="84">
        <v>1035782</v>
      </c>
      <c r="O43" s="84">
        <v>15829198</v>
      </c>
      <c r="P43" s="84">
        <v>19135503</v>
      </c>
      <c r="Q43" s="84">
        <v>20140021</v>
      </c>
    </row>
    <row r="44" spans="1:17" ht="15" customHeight="1">
      <c r="A44" t="s">
        <v>121</v>
      </c>
      <c r="B44" t="s">
        <v>16</v>
      </c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>
        <v>213000</v>
      </c>
      <c r="Q44" s="84"/>
    </row>
    <row r="45" spans="1:17" ht="15" customHeight="1">
      <c r="A45" t="s">
        <v>124</v>
      </c>
      <c r="B45" t="s">
        <v>16</v>
      </c>
      <c r="C45" s="84"/>
      <c r="D45" s="84"/>
      <c r="E45" s="84"/>
      <c r="F45" s="84"/>
      <c r="G45" s="84"/>
      <c r="H45" s="84"/>
      <c r="I45" s="84"/>
      <c r="J45" s="84"/>
      <c r="K45" s="84"/>
      <c r="L45" s="84">
        <v>10400000</v>
      </c>
      <c r="M45" s="84"/>
      <c r="N45" s="84">
        <v>1326777</v>
      </c>
      <c r="O45" s="84">
        <v>2133310</v>
      </c>
      <c r="P45" s="84">
        <v>2986482</v>
      </c>
      <c r="Q45" s="84">
        <v>2252973</v>
      </c>
    </row>
    <row r="46" spans="1:17" ht="15" customHeight="1">
      <c r="A46" t="s">
        <v>128</v>
      </c>
      <c r="B46" t="s">
        <v>16</v>
      </c>
      <c r="C46" s="84"/>
      <c r="D46" s="84"/>
      <c r="E46" s="84"/>
      <c r="F46" s="84"/>
      <c r="G46" s="84"/>
      <c r="H46" s="84"/>
      <c r="I46" s="84">
        <v>2692000</v>
      </c>
      <c r="J46" s="84"/>
      <c r="K46" s="84"/>
      <c r="L46" s="84"/>
      <c r="M46" s="84"/>
      <c r="N46" s="84"/>
      <c r="O46" s="84"/>
      <c r="P46" s="84"/>
      <c r="Q46" s="84"/>
    </row>
    <row r="47" spans="1:17" ht="15" customHeight="1">
      <c r="B47" t="s">
        <v>12</v>
      </c>
      <c r="C47" s="84"/>
      <c r="D47" s="84"/>
      <c r="E47" s="84"/>
      <c r="F47" s="84"/>
      <c r="G47" s="84"/>
      <c r="H47" s="84">
        <v>1248472</v>
      </c>
      <c r="I47" s="84"/>
      <c r="J47" s="84"/>
      <c r="K47" s="84"/>
      <c r="L47" s="84"/>
      <c r="M47" s="84"/>
      <c r="N47" s="84"/>
      <c r="O47" s="84"/>
      <c r="P47" s="84"/>
      <c r="Q47" s="84"/>
    </row>
    <row r="48" spans="1:17" ht="15" customHeight="1">
      <c r="A48" t="s">
        <v>274</v>
      </c>
      <c r="B48" t="s">
        <v>16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>
        <v>679919</v>
      </c>
      <c r="P48" s="84">
        <v>5858113</v>
      </c>
      <c r="Q48" s="84"/>
    </row>
    <row r="49" spans="1:17" ht="15" customHeight="1">
      <c r="A49" t="s">
        <v>144</v>
      </c>
      <c r="B49" t="s">
        <v>16</v>
      </c>
      <c r="C49" s="84"/>
      <c r="D49" s="84"/>
      <c r="E49" s="84"/>
      <c r="F49" s="84"/>
      <c r="G49" s="84"/>
      <c r="H49" s="84"/>
      <c r="I49" s="84">
        <v>14900000</v>
      </c>
      <c r="J49" s="84"/>
      <c r="K49" s="84"/>
      <c r="L49" s="84"/>
      <c r="M49" s="84">
        <v>6000000</v>
      </c>
      <c r="N49" s="84">
        <v>3821659</v>
      </c>
      <c r="O49" s="84">
        <v>3654445</v>
      </c>
      <c r="P49" s="84">
        <v>4319484</v>
      </c>
      <c r="Q49" s="84">
        <v>4500000</v>
      </c>
    </row>
    <row r="50" spans="1:17" ht="15" customHeight="1">
      <c r="B50" t="s">
        <v>12</v>
      </c>
      <c r="C50" s="84"/>
      <c r="D50" s="84"/>
      <c r="E50" s="84"/>
      <c r="F50" s="84"/>
      <c r="G50" s="84"/>
      <c r="H50" s="84"/>
      <c r="I50" s="84">
        <v>9827000</v>
      </c>
      <c r="J50" s="84"/>
      <c r="K50" s="84"/>
      <c r="L50" s="84"/>
      <c r="M50" s="84"/>
      <c r="N50" s="84"/>
      <c r="O50" s="84"/>
      <c r="P50" s="84"/>
      <c r="Q50" s="84"/>
    </row>
    <row r="51" spans="1:17" ht="15" customHeight="1">
      <c r="A51" t="s">
        <v>156</v>
      </c>
      <c r="B51" t="s">
        <v>16</v>
      </c>
      <c r="C51" s="84"/>
      <c r="D51" s="84"/>
      <c r="E51" s="84"/>
      <c r="F51" s="84"/>
      <c r="G51" s="84"/>
      <c r="H51" s="84"/>
      <c r="I51" s="84">
        <v>35100000</v>
      </c>
      <c r="J51" s="84">
        <v>8993473</v>
      </c>
      <c r="K51" s="84"/>
      <c r="L51" s="84"/>
      <c r="M51" s="84">
        <v>17700000</v>
      </c>
      <c r="N51" s="84">
        <v>8700000</v>
      </c>
      <c r="O51" s="84">
        <v>8364426</v>
      </c>
      <c r="P51" s="84">
        <v>8300000</v>
      </c>
      <c r="Q51" s="84">
        <v>7900000</v>
      </c>
    </row>
    <row r="52" spans="1:17" ht="15" customHeight="1">
      <c r="A52" t="s">
        <v>146</v>
      </c>
      <c r="B52" t="s">
        <v>16</v>
      </c>
      <c r="C52" s="84"/>
      <c r="D52" s="84"/>
      <c r="E52" s="84"/>
      <c r="F52" s="84"/>
      <c r="G52" s="84"/>
      <c r="H52" s="84"/>
      <c r="I52" s="84">
        <v>2800000</v>
      </c>
      <c r="J52" s="84"/>
      <c r="K52" s="84"/>
      <c r="L52" s="84"/>
      <c r="M52" s="84"/>
      <c r="N52" s="84">
        <v>4900000</v>
      </c>
      <c r="O52" s="84"/>
      <c r="P52" s="84"/>
      <c r="Q52" s="84"/>
    </row>
    <row r="53" spans="1:17" ht="15" customHeight="1">
      <c r="A53" t="s">
        <v>169</v>
      </c>
      <c r="B53" t="s">
        <v>16</v>
      </c>
      <c r="C53" s="84"/>
      <c r="D53" s="84"/>
      <c r="E53" s="84"/>
      <c r="F53" s="84"/>
      <c r="G53" s="84"/>
      <c r="H53" s="84"/>
      <c r="I53" s="84"/>
      <c r="J53" s="84">
        <v>6100000</v>
      </c>
      <c r="K53" s="84"/>
      <c r="L53" s="84"/>
      <c r="M53" s="84">
        <v>6710000</v>
      </c>
      <c r="N53" s="84">
        <v>11000000</v>
      </c>
      <c r="O53" s="84">
        <v>20605258</v>
      </c>
      <c r="P53" s="84">
        <v>20605258</v>
      </c>
      <c r="Q53" s="84"/>
    </row>
    <row r="54" spans="1:17" ht="15" customHeight="1">
      <c r="A54" t="s">
        <v>175</v>
      </c>
      <c r="B54" t="s">
        <v>16</v>
      </c>
      <c r="C54" s="84"/>
      <c r="D54" s="84"/>
      <c r="E54" s="84"/>
      <c r="F54" s="84"/>
      <c r="G54" s="84"/>
      <c r="H54" s="84"/>
      <c r="I54" s="84"/>
      <c r="J54" s="84">
        <v>3259000</v>
      </c>
      <c r="K54" s="84"/>
      <c r="L54" s="84"/>
      <c r="M54" s="84">
        <v>39000000</v>
      </c>
      <c r="N54" s="84"/>
      <c r="O54" s="84">
        <v>2400000</v>
      </c>
      <c r="P54" s="84"/>
      <c r="Q54" s="84"/>
    </row>
    <row r="55" spans="1:17" ht="15" customHeight="1">
      <c r="B55" t="s">
        <v>12</v>
      </c>
      <c r="C55" s="84"/>
      <c r="D55" s="84"/>
      <c r="E55" s="84"/>
      <c r="F55" s="84"/>
      <c r="G55" s="84"/>
      <c r="H55" s="84"/>
      <c r="I55" s="84"/>
      <c r="J55" s="84">
        <v>1100000</v>
      </c>
      <c r="K55" s="84"/>
      <c r="L55" s="84"/>
      <c r="M55" s="84"/>
      <c r="N55" s="84"/>
      <c r="O55" s="84"/>
      <c r="P55" s="84"/>
      <c r="Q55" s="84"/>
    </row>
    <row r="56" spans="1:17" ht="15" customHeight="1">
      <c r="A56" t="s">
        <v>54</v>
      </c>
      <c r="B56" t="s">
        <v>16</v>
      </c>
      <c r="C56" s="84"/>
      <c r="D56" s="84"/>
      <c r="E56" s="84"/>
      <c r="F56" s="84">
        <v>28300000</v>
      </c>
      <c r="G56" s="84"/>
      <c r="H56" s="84">
        <v>21300000</v>
      </c>
      <c r="I56" s="84"/>
      <c r="J56" s="84"/>
      <c r="K56" s="84"/>
      <c r="L56" s="84"/>
      <c r="M56" s="84"/>
      <c r="N56" s="84"/>
      <c r="O56" s="84"/>
      <c r="P56" s="84"/>
      <c r="Q56" s="84"/>
    </row>
    <row r="57" spans="1:17" ht="15" customHeight="1">
      <c r="A57" t="s">
        <v>164</v>
      </c>
      <c r="B57" t="s">
        <v>16</v>
      </c>
      <c r="C57" s="84"/>
      <c r="D57" s="84"/>
      <c r="E57" s="84"/>
      <c r="F57" s="84"/>
      <c r="G57" s="84"/>
      <c r="H57" s="84"/>
      <c r="I57" s="84"/>
      <c r="J57" s="84">
        <v>10600000</v>
      </c>
      <c r="K57" s="84"/>
      <c r="L57" s="84"/>
      <c r="M57" s="84">
        <v>4900000</v>
      </c>
      <c r="N57" s="84">
        <v>2400000</v>
      </c>
      <c r="O57" s="84">
        <v>2075542</v>
      </c>
      <c r="P57" s="84">
        <v>3100000</v>
      </c>
      <c r="Q57" s="84">
        <v>2700000</v>
      </c>
    </row>
    <row r="58" spans="1:17" ht="15" customHeight="1">
      <c r="B58" t="s">
        <v>12</v>
      </c>
      <c r="C58" s="84"/>
      <c r="D58" s="84"/>
      <c r="E58" s="84"/>
      <c r="F58" s="84"/>
      <c r="G58" s="84"/>
      <c r="H58" s="84"/>
      <c r="I58" s="84"/>
      <c r="J58" s="84">
        <v>6114398</v>
      </c>
      <c r="K58" s="84"/>
      <c r="L58" s="84"/>
      <c r="M58" s="84"/>
      <c r="N58" s="84"/>
      <c r="O58" s="84"/>
      <c r="P58" s="84"/>
      <c r="Q58" s="84"/>
    </row>
    <row r="59" spans="1:17" ht="15" customHeight="1">
      <c r="A59" t="s">
        <v>204</v>
      </c>
      <c r="B59" t="s">
        <v>16</v>
      </c>
      <c r="C59" s="84"/>
      <c r="D59" s="84"/>
      <c r="E59" s="84"/>
      <c r="F59" s="84"/>
      <c r="G59" s="84"/>
      <c r="H59" s="84"/>
      <c r="I59" s="84"/>
      <c r="J59" s="84"/>
      <c r="K59" s="84">
        <v>23000000</v>
      </c>
      <c r="L59" s="84"/>
      <c r="M59" s="84">
        <v>17900000</v>
      </c>
      <c r="N59" s="84">
        <v>13446501</v>
      </c>
      <c r="O59" s="84">
        <v>14257653</v>
      </c>
      <c r="P59" s="84">
        <v>25261639</v>
      </c>
      <c r="Q59" s="84">
        <v>28072305</v>
      </c>
    </row>
    <row r="60" spans="1:17" ht="15" customHeight="1">
      <c r="B60" t="s">
        <v>12</v>
      </c>
      <c r="C60" s="84"/>
      <c r="D60" s="84"/>
      <c r="E60" s="84"/>
      <c r="F60" s="84"/>
      <c r="G60" s="84"/>
      <c r="H60" s="84"/>
      <c r="I60" s="84"/>
      <c r="J60" s="84"/>
      <c r="K60" s="84">
        <v>15050000</v>
      </c>
      <c r="L60" s="84"/>
      <c r="M60" s="84"/>
      <c r="N60" s="84"/>
      <c r="O60" s="84"/>
      <c r="P60" s="84"/>
      <c r="Q60" s="84"/>
    </row>
    <row r="61" spans="1:17" ht="15" customHeight="1">
      <c r="A61" t="s">
        <v>184</v>
      </c>
      <c r="B61" t="s">
        <v>16</v>
      </c>
      <c r="C61" s="84"/>
      <c r="D61" s="84"/>
      <c r="E61" s="84"/>
      <c r="F61" s="84"/>
      <c r="G61" s="84"/>
      <c r="H61" s="84"/>
      <c r="I61" s="84"/>
      <c r="J61" s="84">
        <v>9515461</v>
      </c>
      <c r="K61" s="84"/>
      <c r="L61" s="84"/>
      <c r="M61" s="84"/>
      <c r="N61" s="84"/>
      <c r="O61" s="84"/>
      <c r="P61" s="84"/>
      <c r="Q61" s="84"/>
    </row>
    <row r="62" spans="1:17" ht="15" customHeight="1">
      <c r="A62" t="s">
        <v>268</v>
      </c>
      <c r="B62" t="s">
        <v>16</v>
      </c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>
        <v>1700000</v>
      </c>
      <c r="O62" s="84">
        <v>1700000</v>
      </c>
      <c r="P62" s="84">
        <v>1115122</v>
      </c>
      <c r="Q62" s="84">
        <v>1100000</v>
      </c>
    </row>
    <row r="63" spans="1:17" ht="13">
      <c r="A63" t="s">
        <v>186</v>
      </c>
      <c r="B63" t="s">
        <v>16</v>
      </c>
      <c r="C63" s="84"/>
      <c r="D63" s="84"/>
      <c r="E63" s="84"/>
      <c r="F63" s="84"/>
      <c r="G63" s="84"/>
      <c r="H63" s="84"/>
      <c r="I63" s="84"/>
      <c r="J63" s="84">
        <v>3180000</v>
      </c>
      <c r="K63" s="84">
        <v>20200000</v>
      </c>
      <c r="L63" s="84"/>
      <c r="M63" s="84">
        <v>9400000</v>
      </c>
      <c r="N63" s="84">
        <v>5932722</v>
      </c>
      <c r="O63" s="84">
        <v>7846888</v>
      </c>
      <c r="P63" s="84">
        <v>8250301</v>
      </c>
      <c r="Q63" s="84">
        <v>6869716</v>
      </c>
    </row>
    <row r="64" spans="1:17" ht="13">
      <c r="B64" t="s">
        <v>12</v>
      </c>
      <c r="C64" s="84"/>
      <c r="D64" s="84"/>
      <c r="E64" s="84"/>
      <c r="F64" s="84"/>
      <c r="G64" s="84"/>
      <c r="H64" s="84"/>
      <c r="I64" s="84"/>
      <c r="J64" s="84">
        <v>6356404</v>
      </c>
      <c r="K64" s="84">
        <v>3810000</v>
      </c>
      <c r="L64" s="84"/>
      <c r="M64" s="84"/>
      <c r="N64" s="84"/>
      <c r="O64" s="84"/>
      <c r="P64" s="84"/>
      <c r="Q64" s="84"/>
    </row>
    <row r="65" spans="1:17" ht="13">
      <c r="A65" t="s">
        <v>189</v>
      </c>
      <c r="B65" t="s">
        <v>16</v>
      </c>
      <c r="C65" s="84"/>
      <c r="D65" s="84"/>
      <c r="E65" s="84"/>
      <c r="F65" s="84"/>
      <c r="G65" s="84"/>
      <c r="H65" s="84"/>
      <c r="I65" s="84"/>
      <c r="J65" s="84"/>
      <c r="K65" s="84">
        <v>34469409</v>
      </c>
      <c r="L65" s="84"/>
      <c r="M65" s="84">
        <v>17420000</v>
      </c>
      <c r="N65" s="84">
        <v>12415533</v>
      </c>
      <c r="O65" s="84">
        <v>11433346</v>
      </c>
      <c r="P65" s="84">
        <v>13245100</v>
      </c>
      <c r="Q65" s="84">
        <v>13619715</v>
      </c>
    </row>
    <row r="66" spans="1:17" ht="13">
      <c r="B66" t="s">
        <v>12</v>
      </c>
      <c r="C66" s="84"/>
      <c r="D66" s="84"/>
      <c r="E66" s="84"/>
      <c r="F66" s="84"/>
      <c r="G66" s="84"/>
      <c r="H66" s="84"/>
      <c r="I66" s="84"/>
      <c r="J66" s="84"/>
      <c r="K66" s="84">
        <v>6587000</v>
      </c>
      <c r="L66" s="84"/>
      <c r="M66" s="84"/>
      <c r="N66" s="84"/>
      <c r="O66" s="84"/>
      <c r="P66" s="84"/>
      <c r="Q66" s="84"/>
    </row>
    <row r="67" spans="1:17" ht="13">
      <c r="A67" t="s">
        <v>206</v>
      </c>
      <c r="B67" t="s">
        <v>16</v>
      </c>
      <c r="C67" s="84"/>
      <c r="D67" s="84"/>
      <c r="E67" s="84"/>
      <c r="F67" s="84"/>
      <c r="G67" s="84"/>
      <c r="H67" s="84"/>
      <c r="I67" s="84"/>
      <c r="J67" s="84"/>
      <c r="K67" s="84">
        <v>36500000</v>
      </c>
      <c r="L67" s="84">
        <v>58703877</v>
      </c>
      <c r="M67" s="84">
        <v>38400000</v>
      </c>
      <c r="N67" s="84">
        <v>23316142</v>
      </c>
      <c r="O67" s="84">
        <v>34672376</v>
      </c>
      <c r="P67" s="84">
        <v>28823714</v>
      </c>
      <c r="Q67" s="84">
        <v>32500000</v>
      </c>
    </row>
    <row r="68" spans="1:17" ht="13">
      <c r="B68" t="s">
        <v>12</v>
      </c>
      <c r="C68" s="84"/>
      <c r="D68" s="84"/>
      <c r="E68" s="84"/>
      <c r="F68" s="84"/>
      <c r="G68" s="84"/>
      <c r="H68" s="84"/>
      <c r="I68" s="84"/>
      <c r="J68" s="84"/>
      <c r="K68" s="84"/>
      <c r="L68" s="84">
        <v>12100000</v>
      </c>
      <c r="M68" s="84"/>
      <c r="N68" s="84"/>
      <c r="O68" s="84"/>
      <c r="P68" s="84"/>
      <c r="Q68" s="84"/>
    </row>
    <row r="69" spans="1:17" ht="13">
      <c r="A69" t="s">
        <v>45</v>
      </c>
      <c r="B69" t="s">
        <v>16</v>
      </c>
      <c r="C69" s="84"/>
      <c r="D69" s="84"/>
      <c r="E69" s="84">
        <v>17770000</v>
      </c>
      <c r="F69" s="84"/>
      <c r="G69" s="84">
        <v>10700000</v>
      </c>
      <c r="H69" s="84"/>
      <c r="I69" s="84"/>
      <c r="J69" s="84"/>
      <c r="K69" s="84"/>
      <c r="L69" s="84"/>
      <c r="M69" s="84"/>
      <c r="N69" s="84">
        <v>5496653</v>
      </c>
      <c r="O69" s="84">
        <v>6149509</v>
      </c>
      <c r="P69" s="84">
        <v>7672650</v>
      </c>
      <c r="Q69" s="84">
        <v>5800000</v>
      </c>
    </row>
    <row r="70" spans="1:17" ht="13">
      <c r="B70" t="s">
        <v>12</v>
      </c>
      <c r="C70" s="84"/>
      <c r="D70" s="84"/>
      <c r="E70" s="84">
        <v>9472310</v>
      </c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</row>
    <row r="71" spans="1:17" ht="13">
      <c r="A71" t="s">
        <v>249</v>
      </c>
      <c r="B71" t="s">
        <v>16</v>
      </c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>
        <v>3500000</v>
      </c>
      <c r="N71" s="84"/>
      <c r="O71" s="84"/>
      <c r="P71" s="84"/>
      <c r="Q71" s="84"/>
    </row>
    <row r="72" spans="1:17" ht="13">
      <c r="A72" t="s">
        <v>282</v>
      </c>
      <c r="B72" t="s">
        <v>16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>
        <v>0</v>
      </c>
      <c r="Q72" s="84"/>
    </row>
    <row r="73" spans="1:17" ht="13">
      <c r="A73" t="s">
        <v>247</v>
      </c>
      <c r="B73" t="s">
        <v>16</v>
      </c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>
        <v>11100000</v>
      </c>
      <c r="N73" s="84"/>
      <c r="O73" s="84"/>
      <c r="P73" s="84"/>
      <c r="Q73" s="84"/>
    </row>
    <row r="74" spans="1:17" ht="13">
      <c r="A74" t="s">
        <v>217</v>
      </c>
      <c r="B74" t="s">
        <v>16</v>
      </c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>
        <v>13570000</v>
      </c>
      <c r="N74" s="84"/>
      <c r="O74" s="84"/>
      <c r="P74" s="84"/>
      <c r="Q74" s="84"/>
    </row>
    <row r="75" spans="1:17" ht="13">
      <c r="A75" t="s">
        <v>219</v>
      </c>
      <c r="B75" t="s">
        <v>16</v>
      </c>
      <c r="C75" s="84"/>
      <c r="D75" s="84"/>
      <c r="E75" s="84"/>
      <c r="F75" s="84"/>
      <c r="G75" s="84"/>
      <c r="H75" s="84"/>
      <c r="I75" s="84"/>
      <c r="J75" s="84"/>
      <c r="K75" s="84"/>
      <c r="L75" s="84">
        <v>11700000</v>
      </c>
      <c r="M75" s="84"/>
      <c r="N75" s="84">
        <v>10300000</v>
      </c>
      <c r="O75" s="84">
        <v>22886744</v>
      </c>
      <c r="P75" s="84">
        <v>21604676</v>
      </c>
      <c r="Q75" s="84">
        <v>16867301</v>
      </c>
    </row>
    <row r="76" spans="1:17" ht="13">
      <c r="A76" t="s">
        <v>223</v>
      </c>
      <c r="B76" t="s">
        <v>16</v>
      </c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>
        <v>37903586</v>
      </c>
      <c r="O76" s="84">
        <v>15859400</v>
      </c>
      <c r="P76" s="84">
        <v>16179814</v>
      </c>
      <c r="Q76" s="84">
        <v>16260421</v>
      </c>
    </row>
    <row r="77" spans="1:17" ht="13">
      <c r="A77" t="s">
        <v>226</v>
      </c>
      <c r="B77" t="s">
        <v>16</v>
      </c>
      <c r="C77" s="84"/>
      <c r="D77" s="84"/>
      <c r="E77" s="84"/>
      <c r="F77" s="84"/>
      <c r="G77" s="84"/>
      <c r="H77" s="84"/>
      <c r="I77" s="84"/>
      <c r="J77" s="84"/>
      <c r="K77" s="84"/>
      <c r="L77" s="84">
        <v>70600000</v>
      </c>
      <c r="M77" s="84">
        <v>22363980</v>
      </c>
      <c r="N77" s="84">
        <v>69100000</v>
      </c>
      <c r="O77" s="84">
        <v>23458603</v>
      </c>
      <c r="P77" s="84">
        <v>21640000</v>
      </c>
      <c r="Q77" s="84">
        <v>18182658</v>
      </c>
    </row>
    <row r="78" spans="1:17" ht="13">
      <c r="B78" t="s">
        <v>12</v>
      </c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>
        <v>17616675</v>
      </c>
      <c r="N78" s="84"/>
      <c r="O78" s="84"/>
      <c r="P78" s="84"/>
      <c r="Q78" s="84"/>
    </row>
    <row r="79" spans="1:17" ht="13">
      <c r="A79" t="s">
        <v>260</v>
      </c>
      <c r="B79" t="s">
        <v>16</v>
      </c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>
        <v>9790000</v>
      </c>
      <c r="O79" s="84"/>
      <c r="P79" s="84"/>
      <c r="Q79" s="84"/>
    </row>
    <row r="80" spans="1:17" ht="13">
      <c r="A80" t="s">
        <v>229</v>
      </c>
      <c r="B80" t="s">
        <v>16</v>
      </c>
      <c r="C80" s="84"/>
      <c r="D80" s="84"/>
      <c r="E80" s="84"/>
      <c r="F80" s="84"/>
      <c r="G80" s="84"/>
      <c r="H80" s="84"/>
      <c r="I80" s="84"/>
      <c r="J80" s="84"/>
      <c r="K80" s="84"/>
      <c r="L80" s="84">
        <v>4300000</v>
      </c>
      <c r="M80" s="84"/>
      <c r="N80" s="84">
        <v>19600000</v>
      </c>
      <c r="O80" s="84"/>
      <c r="P80" s="84"/>
      <c r="Q80" s="84"/>
    </row>
    <row r="81" spans="1:17" ht="13">
      <c r="B81" t="s">
        <v>12</v>
      </c>
      <c r="C81" s="84"/>
      <c r="D81" s="84"/>
      <c r="E81" s="84"/>
      <c r="F81" s="84"/>
      <c r="G81" s="84"/>
      <c r="H81" s="84"/>
      <c r="I81" s="84"/>
      <c r="J81" s="84"/>
      <c r="K81" s="84"/>
      <c r="L81" s="84">
        <v>14259084</v>
      </c>
      <c r="M81" s="84"/>
      <c r="N81" s="84"/>
      <c r="O81" s="84"/>
      <c r="P81" s="84"/>
      <c r="Q81" s="84"/>
    </row>
    <row r="82" spans="1:17" ht="13">
      <c r="A82" t="s">
        <v>338</v>
      </c>
      <c r="B82" t="s">
        <v>16</v>
      </c>
      <c r="C82" s="84"/>
      <c r="D82" s="84"/>
      <c r="E82" s="84"/>
      <c r="F82" s="84"/>
      <c r="G82" s="84"/>
      <c r="H82" s="84"/>
      <c r="I82" s="84"/>
      <c r="J82" s="84"/>
      <c r="K82" s="84"/>
      <c r="L82" s="84">
        <v>40600000</v>
      </c>
      <c r="M82" s="84"/>
      <c r="N82" s="84">
        <v>1913667</v>
      </c>
      <c r="O82" s="84">
        <v>303804</v>
      </c>
      <c r="P82" s="84">
        <v>1218729</v>
      </c>
      <c r="Q82" s="84">
        <v>1864821</v>
      </c>
    </row>
    <row r="83" spans="1:17" ht="13">
      <c r="B83" t="s">
        <v>12</v>
      </c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>
        <v>1534832</v>
      </c>
      <c r="N83" s="84"/>
      <c r="O83" s="84"/>
      <c r="P83" s="84"/>
      <c r="Q83" s="84"/>
    </row>
  </sheetData>
  <phoneticPr fontId="1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showGridLines="0" workbookViewId="0"/>
  </sheetViews>
  <sheetFormatPr baseColWidth="10" defaultRowHeight="13"/>
  <sheetData/>
  <sheetProtection sheet="1" objects="1" selectLockedCells="1" selectUnlockedCells="1"/>
  <phoneticPr fontId="14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I66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/>
  <cols>
    <col min="4" max="4" width="16.6640625" customWidth="1"/>
  </cols>
  <sheetData>
    <row r="1" spans="1:9" ht="15" customHeight="1">
      <c r="A1" s="6" t="s">
        <v>0</v>
      </c>
      <c r="B1" s="6" t="s">
        <v>1</v>
      </c>
      <c r="C1" s="6" t="s">
        <v>2</v>
      </c>
      <c r="D1" s="6" t="s">
        <v>4</v>
      </c>
      <c r="E1" s="52" t="s">
        <v>5</v>
      </c>
      <c r="F1" s="6" t="s">
        <v>6</v>
      </c>
      <c r="G1" s="6" t="s">
        <v>7</v>
      </c>
      <c r="H1" s="6" t="s">
        <v>286</v>
      </c>
      <c r="I1" s="6" t="s">
        <v>287</v>
      </c>
    </row>
    <row r="2" spans="1:9" ht="15" customHeight="1">
      <c r="A2" s="5">
        <v>2011</v>
      </c>
      <c r="B2" s="5" t="s">
        <v>10</v>
      </c>
      <c r="C2" s="6" t="s">
        <v>10</v>
      </c>
      <c r="D2" s="5" t="s">
        <v>14</v>
      </c>
      <c r="E2" s="52">
        <v>426528103</v>
      </c>
      <c r="F2" s="5" t="s">
        <v>10</v>
      </c>
      <c r="G2" s="6" t="s">
        <v>288</v>
      </c>
    </row>
    <row r="3" spans="1:9" ht="15" customHeight="1">
      <c r="A3" s="5">
        <v>2011</v>
      </c>
      <c r="B3" s="5" t="s">
        <v>10</v>
      </c>
      <c r="C3" s="6" t="s">
        <v>10</v>
      </c>
      <c r="D3" s="5" t="s">
        <v>15</v>
      </c>
      <c r="E3" s="52">
        <v>582318627</v>
      </c>
      <c r="F3" s="5" t="s">
        <v>10</v>
      </c>
      <c r="G3" s="6" t="s">
        <v>288</v>
      </c>
    </row>
    <row r="4" spans="1:9" ht="15" customHeight="1">
      <c r="A4" s="5">
        <v>2011</v>
      </c>
      <c r="B4" s="5" t="s">
        <v>41</v>
      </c>
      <c r="C4" s="6" t="s">
        <v>41</v>
      </c>
      <c r="D4" s="5" t="s">
        <v>14</v>
      </c>
      <c r="E4" s="52">
        <v>65171054</v>
      </c>
      <c r="F4" s="5" t="s">
        <v>41</v>
      </c>
      <c r="G4" s="6" t="s">
        <v>288</v>
      </c>
    </row>
    <row r="5" spans="1:9" ht="15" customHeight="1">
      <c r="A5" s="5">
        <v>2011</v>
      </c>
      <c r="B5" s="5" t="s">
        <v>41</v>
      </c>
      <c r="C5" s="6" t="s">
        <v>41</v>
      </c>
      <c r="D5" s="5" t="s">
        <v>15</v>
      </c>
      <c r="E5" s="52">
        <v>141947471</v>
      </c>
      <c r="F5" s="5" t="s">
        <v>41</v>
      </c>
      <c r="G5" s="6" t="s">
        <v>288</v>
      </c>
    </row>
    <row r="6" spans="1:9" ht="15" customHeight="1">
      <c r="A6" s="5">
        <v>2011</v>
      </c>
      <c r="B6" s="5" t="s">
        <v>44</v>
      </c>
      <c r="C6" s="6" t="s">
        <v>44</v>
      </c>
      <c r="D6" s="5" t="s">
        <v>14</v>
      </c>
      <c r="E6" s="52">
        <v>314112102</v>
      </c>
      <c r="F6" s="5" t="s">
        <v>44</v>
      </c>
      <c r="G6" s="6" t="s">
        <v>288</v>
      </c>
    </row>
    <row r="7" spans="1:9" ht="15" customHeight="1">
      <c r="A7" s="5">
        <v>2011</v>
      </c>
      <c r="B7" s="5" t="s">
        <v>44</v>
      </c>
      <c r="C7" s="6" t="s">
        <v>44</v>
      </c>
      <c r="D7" s="5" t="s">
        <v>15</v>
      </c>
      <c r="E7" s="52">
        <v>535276140</v>
      </c>
      <c r="F7" s="5" t="s">
        <v>44</v>
      </c>
      <c r="G7" s="6" t="s">
        <v>288</v>
      </c>
    </row>
    <row r="8" spans="1:9" ht="15" customHeight="1">
      <c r="A8" s="5">
        <v>2011</v>
      </c>
      <c r="B8" s="5" t="s">
        <v>57</v>
      </c>
      <c r="C8" s="6" t="s">
        <v>57</v>
      </c>
      <c r="D8" s="5" t="s">
        <v>14</v>
      </c>
      <c r="E8" s="52">
        <v>488391703</v>
      </c>
      <c r="F8" s="5" t="s">
        <v>57</v>
      </c>
      <c r="G8" s="6" t="s">
        <v>288</v>
      </c>
    </row>
    <row r="9" spans="1:9" ht="15" customHeight="1">
      <c r="A9" s="5">
        <v>2011</v>
      </c>
      <c r="B9" s="5" t="s">
        <v>57</v>
      </c>
      <c r="C9" s="6" t="s">
        <v>57</v>
      </c>
      <c r="D9" s="5" t="s">
        <v>15</v>
      </c>
      <c r="E9" s="52">
        <v>735754098</v>
      </c>
      <c r="F9" s="5" t="s">
        <v>57</v>
      </c>
      <c r="G9" s="6" t="s">
        <v>288</v>
      </c>
    </row>
    <row r="10" spans="1:9" ht="15" customHeight="1">
      <c r="A10" s="5">
        <v>2011</v>
      </c>
      <c r="B10" s="5" t="s">
        <v>77</v>
      </c>
      <c r="C10" s="6" t="s">
        <v>74</v>
      </c>
      <c r="D10" s="5" t="s">
        <v>14</v>
      </c>
      <c r="E10" s="52">
        <v>19370114</v>
      </c>
      <c r="F10" s="5" t="s">
        <v>77</v>
      </c>
      <c r="G10" s="6" t="s">
        <v>288</v>
      </c>
    </row>
    <row r="11" spans="1:9" ht="15" customHeight="1">
      <c r="A11" s="5">
        <v>2011</v>
      </c>
      <c r="B11" s="5" t="s">
        <v>77</v>
      </c>
      <c r="C11" s="6" t="s">
        <v>74</v>
      </c>
      <c r="D11" s="5" t="s">
        <v>15</v>
      </c>
      <c r="E11" s="52">
        <v>33264338</v>
      </c>
      <c r="F11" s="5" t="s">
        <v>77</v>
      </c>
      <c r="G11" s="6" t="s">
        <v>288</v>
      </c>
    </row>
    <row r="12" spans="1:9" ht="15" customHeight="1">
      <c r="A12" s="5">
        <v>2011</v>
      </c>
      <c r="B12" s="5" t="s">
        <v>152</v>
      </c>
      <c r="C12" s="6" t="s">
        <v>153</v>
      </c>
      <c r="D12" s="5" t="s">
        <v>14</v>
      </c>
      <c r="E12" s="52">
        <v>5981608</v>
      </c>
      <c r="F12" s="5" t="s">
        <v>152</v>
      </c>
      <c r="G12" s="6" t="s">
        <v>67</v>
      </c>
    </row>
    <row r="13" spans="1:9" ht="15" customHeight="1">
      <c r="A13" s="5">
        <v>2011</v>
      </c>
      <c r="B13" s="5" t="s">
        <v>152</v>
      </c>
      <c r="C13" s="6" t="s">
        <v>153</v>
      </c>
      <c r="D13" s="5" t="s">
        <v>15</v>
      </c>
      <c r="E13" s="52">
        <v>14781209</v>
      </c>
      <c r="F13" s="5" t="s">
        <v>152</v>
      </c>
      <c r="G13" s="6" t="s">
        <v>67</v>
      </c>
    </row>
    <row r="14" spans="1:9" ht="15" customHeight="1">
      <c r="A14" s="5">
        <v>2011</v>
      </c>
      <c r="B14" s="5" t="s">
        <v>82</v>
      </c>
      <c r="C14" s="6" t="s">
        <v>82</v>
      </c>
      <c r="D14" s="5" t="s">
        <v>14</v>
      </c>
      <c r="E14" s="52">
        <v>220820927</v>
      </c>
      <c r="F14" s="5" t="s">
        <v>82</v>
      </c>
      <c r="G14" s="6" t="s">
        <v>288</v>
      </c>
    </row>
    <row r="15" spans="1:9" ht="15" customHeight="1">
      <c r="A15" s="5">
        <v>2011</v>
      </c>
      <c r="B15" s="5" t="s">
        <v>82</v>
      </c>
      <c r="C15" s="6" t="s">
        <v>82</v>
      </c>
      <c r="D15" s="5" t="s">
        <v>15</v>
      </c>
      <c r="E15" s="52">
        <v>382390619</v>
      </c>
      <c r="F15" s="5" t="s">
        <v>82</v>
      </c>
      <c r="G15" s="6" t="s">
        <v>288</v>
      </c>
    </row>
    <row r="16" spans="1:9" ht="15" customHeight="1">
      <c r="A16" s="5">
        <v>2011</v>
      </c>
      <c r="B16" s="5" t="s">
        <v>111</v>
      </c>
      <c r="C16" s="6" t="s">
        <v>112</v>
      </c>
      <c r="D16" s="5" t="s">
        <v>14</v>
      </c>
      <c r="E16" s="52">
        <v>532438919</v>
      </c>
      <c r="F16" s="5" t="s">
        <v>111</v>
      </c>
      <c r="G16" s="6" t="s">
        <v>288</v>
      </c>
    </row>
    <row r="17" spans="1:7" ht="15" customHeight="1">
      <c r="A17" s="5">
        <v>2011</v>
      </c>
      <c r="B17" s="5" t="s">
        <v>111</v>
      </c>
      <c r="C17" s="6" t="s">
        <v>112</v>
      </c>
      <c r="D17" s="5" t="s">
        <v>15</v>
      </c>
      <c r="E17" s="52">
        <v>741818150</v>
      </c>
      <c r="F17" s="5" t="s">
        <v>111</v>
      </c>
      <c r="G17" s="6" t="s">
        <v>288</v>
      </c>
    </row>
    <row r="18" spans="1:7" ht="15" customHeight="1">
      <c r="A18" s="5">
        <v>2011</v>
      </c>
      <c r="B18" s="5" t="s">
        <v>118</v>
      </c>
      <c r="C18" s="6" t="s">
        <v>289</v>
      </c>
      <c r="D18" s="5" t="s">
        <v>14</v>
      </c>
      <c r="E18" s="52">
        <v>279208324</v>
      </c>
      <c r="F18" s="5" t="s">
        <v>118</v>
      </c>
      <c r="G18" s="6" t="s">
        <v>67</v>
      </c>
    </row>
    <row r="19" spans="1:7" ht="15" customHeight="1">
      <c r="A19" s="5">
        <v>2011</v>
      </c>
      <c r="B19" s="5" t="s">
        <v>118</v>
      </c>
      <c r="C19" s="6" t="s">
        <v>289</v>
      </c>
      <c r="D19" s="5" t="s">
        <v>15</v>
      </c>
      <c r="E19" s="52">
        <v>336182831</v>
      </c>
      <c r="F19" s="5" t="s">
        <v>118</v>
      </c>
      <c r="G19" s="6" t="s">
        <v>67</v>
      </c>
    </row>
    <row r="20" spans="1:7" ht="15" customHeight="1">
      <c r="A20" s="5">
        <v>2011</v>
      </c>
      <c r="B20" s="5" t="s">
        <v>140</v>
      </c>
      <c r="C20" s="6" t="s">
        <v>141</v>
      </c>
      <c r="D20" s="5" t="s">
        <v>14</v>
      </c>
      <c r="E20" s="52">
        <v>1682185</v>
      </c>
      <c r="F20" s="5" t="s">
        <v>140</v>
      </c>
      <c r="G20" s="6" t="s">
        <v>67</v>
      </c>
    </row>
    <row r="21" spans="1:7" ht="15" customHeight="1">
      <c r="A21" s="5">
        <v>2011</v>
      </c>
      <c r="B21" s="5" t="s">
        <v>140</v>
      </c>
      <c r="C21" s="6" t="s">
        <v>141</v>
      </c>
      <c r="D21" s="5" t="s">
        <v>15</v>
      </c>
      <c r="E21" s="52">
        <v>3798201</v>
      </c>
      <c r="F21" s="5" t="s">
        <v>140</v>
      </c>
      <c r="G21" s="6" t="s">
        <v>67</v>
      </c>
    </row>
    <row r="22" spans="1:7" ht="15" customHeight="1">
      <c r="A22" s="5">
        <v>2011</v>
      </c>
      <c r="B22" s="5" t="s">
        <v>165</v>
      </c>
      <c r="C22" s="6" t="s">
        <v>166</v>
      </c>
      <c r="D22" s="5" t="s">
        <v>14</v>
      </c>
      <c r="E22" s="52">
        <v>5357651</v>
      </c>
      <c r="F22" s="5" t="s">
        <v>165</v>
      </c>
      <c r="G22" s="6" t="s">
        <v>67</v>
      </c>
    </row>
    <row r="23" spans="1:7" ht="15" customHeight="1">
      <c r="A23" s="5">
        <v>2011</v>
      </c>
      <c r="B23" s="5" t="s">
        <v>165</v>
      </c>
      <c r="C23" s="6" t="s">
        <v>166</v>
      </c>
      <c r="D23" s="5" t="s">
        <v>15</v>
      </c>
      <c r="E23" s="52">
        <v>14840854</v>
      </c>
      <c r="F23" s="5" t="s">
        <v>165</v>
      </c>
      <c r="G23" s="6" t="s">
        <v>67</v>
      </c>
    </row>
    <row r="24" spans="1:7" ht="13">
      <c r="A24" s="5">
        <v>2011</v>
      </c>
      <c r="B24" s="5" t="s">
        <v>143</v>
      </c>
      <c r="C24" s="6" t="s">
        <v>143</v>
      </c>
      <c r="D24" s="5" t="s">
        <v>14</v>
      </c>
      <c r="E24" s="52">
        <v>116113607</v>
      </c>
      <c r="F24" s="5" t="s">
        <v>143</v>
      </c>
      <c r="G24" s="6" t="s">
        <v>288</v>
      </c>
    </row>
    <row r="25" spans="1:7" ht="13">
      <c r="A25" s="5">
        <v>2011</v>
      </c>
      <c r="B25" s="5" t="s">
        <v>143</v>
      </c>
      <c r="C25" s="6" t="s">
        <v>143</v>
      </c>
      <c r="D25" s="5" t="s">
        <v>15</v>
      </c>
      <c r="E25" s="52">
        <v>215926795</v>
      </c>
      <c r="F25" s="5" t="s">
        <v>143</v>
      </c>
      <c r="G25" s="6" t="s">
        <v>288</v>
      </c>
    </row>
    <row r="26" spans="1:7" ht="13">
      <c r="A26" s="5">
        <v>2011</v>
      </c>
      <c r="B26" s="5" t="s">
        <v>163</v>
      </c>
      <c r="C26" s="6" t="s">
        <v>163</v>
      </c>
      <c r="D26" s="5" t="s">
        <v>14</v>
      </c>
      <c r="E26" s="52">
        <v>306522537</v>
      </c>
      <c r="F26" s="5" t="s">
        <v>163</v>
      </c>
      <c r="G26" s="6" t="s">
        <v>288</v>
      </c>
    </row>
    <row r="27" spans="1:7" ht="13">
      <c r="A27" s="5">
        <v>2011</v>
      </c>
      <c r="B27" s="5" t="s">
        <v>163</v>
      </c>
      <c r="C27" s="6" t="s">
        <v>163</v>
      </c>
      <c r="D27" s="5" t="s">
        <v>15</v>
      </c>
      <c r="E27" s="52">
        <v>536927963</v>
      </c>
      <c r="F27" s="5" t="s">
        <v>163</v>
      </c>
      <c r="G27" s="6" t="s">
        <v>288</v>
      </c>
    </row>
    <row r="28" spans="1:7" ht="13">
      <c r="A28" s="5">
        <v>2011</v>
      </c>
      <c r="B28" s="5" t="s">
        <v>173</v>
      </c>
      <c r="C28" s="6" t="s">
        <v>168</v>
      </c>
      <c r="D28" s="5" t="s">
        <v>14</v>
      </c>
      <c r="E28" s="52">
        <v>157097790</v>
      </c>
      <c r="F28" s="5" t="s">
        <v>173</v>
      </c>
      <c r="G28" s="6" t="s">
        <v>67</v>
      </c>
    </row>
    <row r="29" spans="1:7" ht="13">
      <c r="A29" s="5">
        <v>2011</v>
      </c>
      <c r="B29" s="5" t="s">
        <v>173</v>
      </c>
      <c r="C29" s="6" t="s">
        <v>168</v>
      </c>
      <c r="D29" s="5" t="s">
        <v>15</v>
      </c>
      <c r="E29" s="52">
        <v>356759669</v>
      </c>
      <c r="F29" s="5" t="s">
        <v>173</v>
      </c>
      <c r="G29" s="6" t="s">
        <v>67</v>
      </c>
    </row>
    <row r="30" spans="1:7" ht="13">
      <c r="A30" s="5">
        <v>2011</v>
      </c>
      <c r="B30" s="5" t="s">
        <v>187</v>
      </c>
      <c r="C30" s="6" t="s">
        <v>187</v>
      </c>
      <c r="D30" s="5" t="s">
        <v>14</v>
      </c>
      <c r="E30" s="52">
        <v>379211301</v>
      </c>
      <c r="F30" s="5" t="s">
        <v>187</v>
      </c>
      <c r="G30" s="6" t="s">
        <v>288</v>
      </c>
    </row>
    <row r="31" spans="1:7" ht="13">
      <c r="A31" s="5">
        <v>2011</v>
      </c>
      <c r="B31" s="5" t="s">
        <v>187</v>
      </c>
      <c r="C31" s="6" t="s">
        <v>187</v>
      </c>
      <c r="D31" s="5" t="s">
        <v>15</v>
      </c>
      <c r="E31" s="52">
        <v>619673235</v>
      </c>
      <c r="F31" s="5" t="s">
        <v>187</v>
      </c>
      <c r="G31" s="6" t="s">
        <v>288</v>
      </c>
    </row>
    <row r="32" spans="1:7" ht="13">
      <c r="A32" s="5">
        <v>2011</v>
      </c>
      <c r="B32" s="5" t="s">
        <v>185</v>
      </c>
      <c r="C32" s="6" t="s">
        <v>185</v>
      </c>
      <c r="D32" s="5" t="s">
        <v>14</v>
      </c>
      <c r="E32" s="52">
        <v>879901029</v>
      </c>
      <c r="F32" s="5" t="s">
        <v>185</v>
      </c>
      <c r="G32" s="6" t="s">
        <v>288</v>
      </c>
    </row>
    <row r="33" spans="1:9" ht="13">
      <c r="A33" s="5">
        <v>2011</v>
      </c>
      <c r="B33" s="5" t="s">
        <v>185</v>
      </c>
      <c r="C33" s="6" t="s">
        <v>185</v>
      </c>
      <c r="D33" s="5" t="s">
        <v>15</v>
      </c>
      <c r="E33" s="52">
        <v>1003322063</v>
      </c>
      <c r="F33" s="5" t="s">
        <v>185</v>
      </c>
      <c r="G33" s="6" t="s">
        <v>288</v>
      </c>
    </row>
    <row r="34" spans="1:9" ht="13">
      <c r="A34" s="5">
        <v>2011</v>
      </c>
      <c r="B34" s="5" t="s">
        <v>227</v>
      </c>
      <c r="C34" s="6" t="s">
        <v>99</v>
      </c>
      <c r="D34" s="5" t="s">
        <v>14</v>
      </c>
      <c r="E34" s="52">
        <v>26626535</v>
      </c>
      <c r="F34" s="5" t="s">
        <v>227</v>
      </c>
      <c r="G34" s="6" t="s">
        <v>67</v>
      </c>
    </row>
    <row r="35" spans="1:9" ht="13">
      <c r="A35" s="5">
        <v>2011</v>
      </c>
      <c r="B35" s="5" t="s">
        <v>227</v>
      </c>
      <c r="C35" s="6" t="s">
        <v>99</v>
      </c>
      <c r="D35" s="5" t="s">
        <v>15</v>
      </c>
      <c r="E35" s="52">
        <v>46358480</v>
      </c>
      <c r="F35" s="5" t="s">
        <v>227</v>
      </c>
      <c r="G35" s="6" t="s">
        <v>67</v>
      </c>
    </row>
    <row r="36" spans="1:9" ht="13">
      <c r="A36" s="5">
        <v>2011</v>
      </c>
      <c r="B36" s="5" t="s">
        <v>203</v>
      </c>
      <c r="C36" s="6" t="s">
        <v>203</v>
      </c>
      <c r="D36" s="5" t="s">
        <v>14</v>
      </c>
      <c r="E36" s="52">
        <v>812424912</v>
      </c>
      <c r="F36" s="5" t="s">
        <v>203</v>
      </c>
      <c r="G36" s="6" t="s">
        <v>288</v>
      </c>
    </row>
    <row r="37" spans="1:9" ht="13">
      <c r="A37" s="5">
        <v>2011</v>
      </c>
      <c r="B37" s="5" t="s">
        <v>203</v>
      </c>
      <c r="C37" s="6" t="s">
        <v>203</v>
      </c>
      <c r="D37" s="5" t="s">
        <v>15</v>
      </c>
      <c r="E37" s="52">
        <v>1132952016</v>
      </c>
      <c r="F37" s="5" t="s">
        <v>203</v>
      </c>
      <c r="G37" s="6" t="s">
        <v>288</v>
      </c>
    </row>
    <row r="38" spans="1:9" ht="13">
      <c r="A38" s="5">
        <v>2011</v>
      </c>
      <c r="B38" s="5" t="s">
        <v>238</v>
      </c>
      <c r="C38" s="6" t="s">
        <v>225</v>
      </c>
      <c r="D38" s="5" t="s">
        <v>14</v>
      </c>
      <c r="E38" s="52">
        <v>194389288</v>
      </c>
      <c r="F38" s="5" t="s">
        <v>238</v>
      </c>
      <c r="G38" s="6" t="s">
        <v>288</v>
      </c>
    </row>
    <row r="39" spans="1:9" ht="13">
      <c r="A39" s="5">
        <v>2011</v>
      </c>
      <c r="B39" s="5" t="s">
        <v>238</v>
      </c>
      <c r="C39" s="6" t="s">
        <v>225</v>
      </c>
      <c r="D39" s="5" t="s">
        <v>15</v>
      </c>
      <c r="E39" s="52">
        <v>292309700</v>
      </c>
      <c r="F39" s="5" t="s">
        <v>238</v>
      </c>
      <c r="G39" s="6" t="s">
        <v>288</v>
      </c>
    </row>
    <row r="40" spans="1:9" ht="13">
      <c r="A40" s="5">
        <v>2011</v>
      </c>
      <c r="B40" s="5" t="s">
        <v>228</v>
      </c>
      <c r="C40" s="6" t="s">
        <v>228</v>
      </c>
      <c r="D40" s="5" t="s">
        <v>14</v>
      </c>
      <c r="E40" s="52">
        <v>221723553</v>
      </c>
      <c r="F40" s="5" t="s">
        <v>228</v>
      </c>
      <c r="G40" s="6" t="s">
        <v>288</v>
      </c>
    </row>
    <row r="41" spans="1:9" ht="13">
      <c r="A41" s="5">
        <v>2011</v>
      </c>
      <c r="B41" s="5" t="s">
        <v>228</v>
      </c>
      <c r="C41" s="6" t="s">
        <v>228</v>
      </c>
      <c r="D41" s="5" t="s">
        <v>15</v>
      </c>
      <c r="E41" s="52">
        <v>478582358</v>
      </c>
      <c r="F41" s="5" t="s">
        <v>228</v>
      </c>
      <c r="G41" s="6" t="s">
        <v>288</v>
      </c>
    </row>
    <row r="42" spans="1:9" ht="13">
      <c r="A42" s="53">
        <v>2011</v>
      </c>
      <c r="B42" s="6" t="s">
        <v>290</v>
      </c>
      <c r="C42" s="6" t="s">
        <v>10</v>
      </c>
      <c r="D42" s="6" t="s">
        <v>291</v>
      </c>
      <c r="E42" s="54">
        <v>2700000</v>
      </c>
      <c r="F42" s="6" t="s">
        <v>290</v>
      </c>
      <c r="G42" s="6" t="s">
        <v>288</v>
      </c>
      <c r="H42" s="15" t="str">
        <f>HYPERLINK("https://reliefweb.int/sites/reliefweb.int/files/resources/C50A72831232EC19852577EE007A56CF-Full_Report.pdf","Page 67, https://reliefweb.int/sites/reliefweb.int/files/resources/C50A72831232EC19852577EE007A56CF-Full_Report.pdf")</f>
        <v>Page 67, https://reliefweb.int/sites/reliefweb.int/files/resources/C50A72831232EC19852577EE007A56CF-Full_Report.pdf</v>
      </c>
    </row>
    <row r="43" spans="1:9" ht="13">
      <c r="A43" s="53">
        <v>2011</v>
      </c>
      <c r="B43" s="6" t="s">
        <v>111</v>
      </c>
      <c r="C43" s="6" t="s">
        <v>112</v>
      </c>
      <c r="D43" s="6" t="s">
        <v>291</v>
      </c>
      <c r="E43" s="54">
        <v>8600000</v>
      </c>
      <c r="F43" s="6" t="s">
        <v>111</v>
      </c>
      <c r="G43" s="6" t="s">
        <v>288</v>
      </c>
      <c r="H43" s="15" t="str">
        <f>HYPERLINK("https://www.humanitarianresponse.info/sites/www.humanitarianresponse.info/files/documents/files/2011_kenya_ehrp.pdf","Page 54, https://www.humanitarianresponse.info/sites/www.humanitarianresponse.info/files/documents/files/2011_kenya_ehrp.pdf")</f>
        <v>Page 54, https://www.humanitarianresponse.info/sites/www.humanitarianresponse.info/files/documents/files/2011_kenya_ehrp.pdf</v>
      </c>
    </row>
    <row r="44" spans="1:9" ht="13">
      <c r="A44" s="53">
        <v>2011</v>
      </c>
      <c r="B44" s="6" t="s">
        <v>292</v>
      </c>
      <c r="C44" s="6" t="s">
        <v>41</v>
      </c>
      <c r="D44" s="6" t="s">
        <v>291</v>
      </c>
      <c r="E44" s="54">
        <v>205500</v>
      </c>
      <c r="F44" s="6" t="s">
        <v>293</v>
      </c>
      <c r="G44" s="6" t="s">
        <v>288</v>
      </c>
      <c r="H44" s="15" t="str">
        <f>HYPERLINK("https://reliefweb.int/sites/reliefweb.int/files/resources/F0BF469C9204ADE3852577EC007D3E81-Full_Report.pdf","Page 49, https://reliefweb.int/sites/reliefweb.int/files/resources/F0BF469C9204ADE3852577EC007D3E81-Full_Report.pdf")</f>
        <v>Page 49, https://reliefweb.int/sites/reliefweb.int/files/resources/F0BF469C9204ADE3852577EC007D3E81-Full_Report.pdf</v>
      </c>
    </row>
    <row r="45" spans="1:9" ht="13">
      <c r="A45" s="53">
        <v>2011</v>
      </c>
      <c r="B45" s="6" t="s">
        <v>294</v>
      </c>
      <c r="C45" s="6" t="s">
        <v>44</v>
      </c>
      <c r="D45" s="6" t="s">
        <v>291</v>
      </c>
      <c r="E45" s="52">
        <v>3153000</v>
      </c>
      <c r="F45" s="55" t="s">
        <v>294</v>
      </c>
      <c r="G45" s="6" t="s">
        <v>288</v>
      </c>
      <c r="H45" s="15" t="str">
        <f>HYPERLINK("https://reliefweb.int/sites/reliefweb.int/files/resources/8BCDA253B314D0E2852577FF007C7A7A-Full_Report.pdf","Page 85, https://reliefweb.int/sites/reliefweb.int/files/resources/8BCDA253B314D0E2852577FF007C7A7A-Full_Report.pdf")</f>
        <v>Page 85, https://reliefweb.int/sites/reliefweb.int/files/resources/8BCDA253B314D0E2852577FF007C7A7A-Full_Report.pdf</v>
      </c>
      <c r="I45" s="6" t="s">
        <v>295</v>
      </c>
    </row>
    <row r="46" spans="1:9" ht="13">
      <c r="A46" s="53">
        <v>2011</v>
      </c>
      <c r="B46" s="6" t="s">
        <v>296</v>
      </c>
      <c r="C46" s="6" t="s">
        <v>143</v>
      </c>
      <c r="D46" s="6" t="s">
        <v>291</v>
      </c>
      <c r="E46" s="54">
        <v>8200000</v>
      </c>
      <c r="F46" s="6" t="s">
        <v>296</v>
      </c>
      <c r="G46" s="6" t="s">
        <v>288</v>
      </c>
      <c r="H46" s="15" t="str">
        <f>HYPERLINK("https://reliefweb.int/sites/reliefweb.int/files/resources/E6B647B9DDB00A1D852577FF007D9C04-Rapport_complet.pdf","Page 45, https://reliefweb.int/sites/reliefweb.int/files/resources/E6B647B9DDB00A1D852577FF007D9C04-Rapport_complet.pdf")</f>
        <v>Page 45, https://reliefweb.int/sites/reliefweb.int/files/resources/E6B647B9DDB00A1D852577FF007D9C04-Rapport_complet.pdf</v>
      </c>
    </row>
    <row r="47" spans="1:9" ht="13">
      <c r="A47" s="53">
        <v>2011</v>
      </c>
      <c r="B47" s="6" t="s">
        <v>297</v>
      </c>
      <c r="C47" s="6" t="s">
        <v>188</v>
      </c>
      <c r="D47" s="6" t="s">
        <v>291</v>
      </c>
      <c r="E47" s="52">
        <v>3316425</v>
      </c>
      <c r="F47" s="6" t="s">
        <v>297</v>
      </c>
      <c r="G47" s="6" t="s">
        <v>288</v>
      </c>
      <c r="H47" s="15" t="str">
        <f>HYPERLINK("https://reliefweb.int/sites/reliefweb.int/files/resources/Full_report_124.pdf","Page 33, https://reliefweb.int/sites/reliefweb.int/files/resources/Full_report_124.pdf")</f>
        <v>Page 33, https://reliefweb.int/sites/reliefweb.int/files/resources/Full_report_124.pdf</v>
      </c>
    </row>
    <row r="48" spans="1:9" ht="13">
      <c r="A48" s="53">
        <v>2011</v>
      </c>
      <c r="B48" s="6" t="s">
        <v>298</v>
      </c>
      <c r="C48" s="6" t="s">
        <v>185</v>
      </c>
      <c r="D48" s="6" t="s">
        <v>16</v>
      </c>
      <c r="E48" s="54">
        <v>2000000</v>
      </c>
      <c r="F48" s="6" t="s">
        <v>299</v>
      </c>
      <c r="G48" s="6" t="s">
        <v>288</v>
      </c>
      <c r="H48" s="15" t="str">
        <f>HYPERLINK("https://reliefweb.int/sites/reliefweb.int/files/resources/B33BBEAC2E6346E1852577FF007EC7A8-Full_Report.pdf","Page 75, https://reliefweb.int/sites/reliefweb.int/files/resources/B33BBEAC2E6346E1852577FF007EC7A8-Full_Report.pdf")</f>
        <v>Page 75, https://reliefweb.int/sites/reliefweb.int/files/resources/B33BBEAC2E6346E1852577FF007EC7A8-Full_Report.pdf</v>
      </c>
    </row>
    <row r="49" spans="1:9" ht="13">
      <c r="A49" s="53">
        <v>2011</v>
      </c>
      <c r="B49" s="6" t="s">
        <v>300</v>
      </c>
      <c r="C49" s="6" t="s">
        <v>225</v>
      </c>
      <c r="D49" s="6" t="s">
        <v>291</v>
      </c>
      <c r="E49" s="54">
        <v>1350000</v>
      </c>
      <c r="F49" s="6" t="s">
        <v>300</v>
      </c>
      <c r="G49" s="6" t="s">
        <v>288</v>
      </c>
      <c r="H49" s="15" t="str">
        <f>HYPERLINK("https://reliefweb.int/sites/reliefweb.int/files/resources/ADC1E2313BF187D0852577EE007BAFFE-Full_Report.pdf","Page 64, https://reliefweb.int/sites/reliefweb.int/files/resources/ADC1E2313BF187D0852577EE007BAFFE-Full_Report.pdf")</f>
        <v>Page 64, https://reliefweb.int/sites/reliefweb.int/files/resources/ADC1E2313BF187D0852577EE007BAFFE-Full_Report.pdf</v>
      </c>
      <c r="I49" s="6" t="s">
        <v>301</v>
      </c>
    </row>
    <row r="50" spans="1:9" ht="13">
      <c r="A50" s="5">
        <v>2012</v>
      </c>
      <c r="B50" s="6" t="s">
        <v>10</v>
      </c>
      <c r="C50" s="6" t="s">
        <v>10</v>
      </c>
      <c r="D50" s="5" t="s">
        <v>14</v>
      </c>
      <c r="E50" s="52">
        <v>223824925</v>
      </c>
      <c r="F50" s="6" t="s">
        <v>10</v>
      </c>
      <c r="G50" s="6" t="s">
        <v>288</v>
      </c>
    </row>
    <row r="51" spans="1:9" ht="13">
      <c r="A51" s="5">
        <v>2012</v>
      </c>
      <c r="B51" s="6" t="s">
        <v>10</v>
      </c>
      <c r="C51" s="6" t="s">
        <v>10</v>
      </c>
      <c r="D51" s="5" t="s">
        <v>15</v>
      </c>
      <c r="E51" s="52">
        <v>448551322</v>
      </c>
      <c r="F51" s="6" t="s">
        <v>10</v>
      </c>
      <c r="G51" s="6" t="s">
        <v>288</v>
      </c>
    </row>
    <row r="52" spans="1:9" ht="13">
      <c r="A52" s="5">
        <v>2012</v>
      </c>
      <c r="B52" s="6" t="s">
        <v>24</v>
      </c>
      <c r="C52" s="6" t="s">
        <v>24</v>
      </c>
      <c r="D52" s="5" t="s">
        <v>14</v>
      </c>
      <c r="E52" s="52">
        <v>85944494</v>
      </c>
      <c r="F52" s="6" t="s">
        <v>24</v>
      </c>
      <c r="G52" s="6" t="s">
        <v>288</v>
      </c>
    </row>
    <row r="53" spans="1:9" ht="13">
      <c r="A53" s="5">
        <v>2012</v>
      </c>
      <c r="B53" s="6" t="s">
        <v>24</v>
      </c>
      <c r="C53" s="6" t="s">
        <v>24</v>
      </c>
      <c r="D53" s="5" t="s">
        <v>15</v>
      </c>
      <c r="E53" s="52">
        <v>126062151</v>
      </c>
      <c r="F53" s="6" t="s">
        <v>24</v>
      </c>
      <c r="G53" s="6" t="s">
        <v>288</v>
      </c>
    </row>
    <row r="54" spans="1:9" ht="13">
      <c r="A54" s="5">
        <v>2012</v>
      </c>
      <c r="B54" s="6" t="s">
        <v>41</v>
      </c>
      <c r="C54" s="6" t="s">
        <v>41</v>
      </c>
      <c r="D54" s="5" t="s">
        <v>14</v>
      </c>
      <c r="E54" s="52">
        <v>76649802</v>
      </c>
      <c r="F54" s="6" t="s">
        <v>41</v>
      </c>
      <c r="G54" s="6" t="s">
        <v>288</v>
      </c>
    </row>
    <row r="55" spans="1:9" ht="13">
      <c r="A55" s="5">
        <v>2012</v>
      </c>
      <c r="B55" s="6" t="s">
        <v>41</v>
      </c>
      <c r="C55" s="6" t="s">
        <v>41</v>
      </c>
      <c r="D55" s="5" t="s">
        <v>15</v>
      </c>
      <c r="E55" s="52">
        <v>124011764</v>
      </c>
      <c r="F55" s="6" t="s">
        <v>41</v>
      </c>
      <c r="G55" s="6" t="s">
        <v>288</v>
      </c>
    </row>
    <row r="56" spans="1:9" ht="13">
      <c r="A56" s="5">
        <v>2012</v>
      </c>
      <c r="B56" s="6" t="s">
        <v>44</v>
      </c>
      <c r="C56" s="6" t="s">
        <v>44</v>
      </c>
      <c r="D56" s="5" t="s">
        <v>14</v>
      </c>
      <c r="E56" s="52">
        <v>356072026</v>
      </c>
      <c r="F56" s="6" t="s">
        <v>44</v>
      </c>
      <c r="G56" s="6" t="s">
        <v>288</v>
      </c>
    </row>
    <row r="57" spans="1:9" ht="13">
      <c r="A57" s="5">
        <v>2012</v>
      </c>
      <c r="B57" s="6" t="s">
        <v>44</v>
      </c>
      <c r="C57" s="6" t="s">
        <v>44</v>
      </c>
      <c r="D57" s="5" t="s">
        <v>15</v>
      </c>
      <c r="E57" s="52">
        <v>571946997</v>
      </c>
      <c r="F57" s="6" t="s">
        <v>44</v>
      </c>
      <c r="G57" s="6" t="s">
        <v>288</v>
      </c>
    </row>
    <row r="58" spans="1:9" ht="13">
      <c r="A58" s="5">
        <v>2012</v>
      </c>
      <c r="B58" s="6" t="s">
        <v>48</v>
      </c>
      <c r="C58" s="6" t="s">
        <v>48</v>
      </c>
      <c r="D58" s="5" t="s">
        <v>14</v>
      </c>
      <c r="E58" s="52">
        <v>101406953</v>
      </c>
      <c r="F58" s="6" t="s">
        <v>48</v>
      </c>
      <c r="G58" s="6" t="s">
        <v>288</v>
      </c>
    </row>
    <row r="59" spans="1:9" ht="13">
      <c r="A59" s="5">
        <v>2012</v>
      </c>
      <c r="B59" s="6" t="s">
        <v>48</v>
      </c>
      <c r="C59" s="6" t="s">
        <v>48</v>
      </c>
      <c r="D59" s="5" t="s">
        <v>15</v>
      </c>
      <c r="E59" s="52">
        <v>160691683</v>
      </c>
      <c r="F59" s="6" t="s">
        <v>48</v>
      </c>
      <c r="G59" s="6" t="s">
        <v>288</v>
      </c>
    </row>
    <row r="60" spans="1:9" ht="13">
      <c r="A60" s="5">
        <v>2012</v>
      </c>
      <c r="B60" s="6" t="s">
        <v>57</v>
      </c>
      <c r="C60" s="6" t="s">
        <v>57</v>
      </c>
      <c r="D60" s="5" t="s">
        <v>14</v>
      </c>
      <c r="E60" s="52">
        <v>584431727</v>
      </c>
      <c r="F60" s="6" t="s">
        <v>57</v>
      </c>
      <c r="G60" s="6" t="s">
        <v>288</v>
      </c>
    </row>
    <row r="61" spans="1:9" ht="13">
      <c r="A61" s="5">
        <v>2012</v>
      </c>
      <c r="B61" s="6" t="s">
        <v>57</v>
      </c>
      <c r="C61" s="6" t="s">
        <v>57</v>
      </c>
      <c r="D61" s="5" t="s">
        <v>15</v>
      </c>
      <c r="E61" s="52">
        <v>791331026</v>
      </c>
      <c r="F61" s="6" t="s">
        <v>57</v>
      </c>
      <c r="G61" s="6" t="s">
        <v>288</v>
      </c>
    </row>
    <row r="62" spans="1:9" ht="13">
      <c r="A62" s="5">
        <v>2012</v>
      </c>
      <c r="B62" s="6" t="s">
        <v>76</v>
      </c>
      <c r="C62" s="6" t="s">
        <v>74</v>
      </c>
      <c r="D62" s="5" t="s">
        <v>14</v>
      </c>
      <c r="E62" s="52">
        <v>40222828</v>
      </c>
      <c r="F62" s="6" t="s">
        <v>76</v>
      </c>
      <c r="G62" s="6" t="s">
        <v>288</v>
      </c>
    </row>
    <row r="63" spans="1:9" ht="13">
      <c r="A63" s="5">
        <v>2012</v>
      </c>
      <c r="B63" s="6" t="s">
        <v>76</v>
      </c>
      <c r="C63" s="6" t="s">
        <v>74</v>
      </c>
      <c r="D63" s="5" t="s">
        <v>15</v>
      </c>
      <c r="E63" s="52">
        <v>79310556</v>
      </c>
      <c r="F63" s="6" t="s">
        <v>76</v>
      </c>
      <c r="G63" s="6" t="s">
        <v>288</v>
      </c>
    </row>
    <row r="64" spans="1:9" ht="13">
      <c r="A64" s="5">
        <v>2012</v>
      </c>
      <c r="B64" s="6" t="s">
        <v>82</v>
      </c>
      <c r="C64" s="6" t="s">
        <v>82</v>
      </c>
      <c r="D64" s="5" t="s">
        <v>14</v>
      </c>
      <c r="E64" s="52">
        <v>70311344</v>
      </c>
      <c r="F64" s="6" t="s">
        <v>82</v>
      </c>
      <c r="G64" s="6" t="s">
        <v>288</v>
      </c>
    </row>
    <row r="65" spans="1:7" ht="13">
      <c r="A65" s="5">
        <v>2012</v>
      </c>
      <c r="B65" s="6" t="s">
        <v>82</v>
      </c>
      <c r="C65" s="6" t="s">
        <v>82</v>
      </c>
      <c r="D65" s="5" t="s">
        <v>15</v>
      </c>
      <c r="E65" s="52">
        <v>151080810</v>
      </c>
      <c r="F65" s="6" t="s">
        <v>82</v>
      </c>
      <c r="G65" s="6" t="s">
        <v>288</v>
      </c>
    </row>
    <row r="66" spans="1:7" ht="13">
      <c r="A66" s="5">
        <v>2012</v>
      </c>
      <c r="B66" s="6" t="s">
        <v>111</v>
      </c>
      <c r="C66" s="6" t="s">
        <v>112</v>
      </c>
      <c r="D66" s="5" t="s">
        <v>14</v>
      </c>
      <c r="E66" s="52">
        <v>545023141</v>
      </c>
      <c r="F66" s="6" t="s">
        <v>111</v>
      </c>
      <c r="G66" s="6" t="s">
        <v>288</v>
      </c>
    </row>
    <row r="67" spans="1:7" ht="13">
      <c r="A67" s="5">
        <v>2012</v>
      </c>
      <c r="B67" s="6" t="s">
        <v>111</v>
      </c>
      <c r="C67" s="6" t="s">
        <v>112</v>
      </c>
      <c r="D67" s="5" t="s">
        <v>15</v>
      </c>
      <c r="E67" s="52">
        <v>796807640</v>
      </c>
      <c r="F67" s="6" t="s">
        <v>111</v>
      </c>
      <c r="G67" s="6" t="s">
        <v>288</v>
      </c>
    </row>
    <row r="68" spans="1:7" ht="13">
      <c r="A68" s="5">
        <v>2012</v>
      </c>
      <c r="B68" s="6" t="s">
        <v>102</v>
      </c>
      <c r="C68" s="6" t="s">
        <v>103</v>
      </c>
      <c r="D68" s="5" t="s">
        <v>14</v>
      </c>
      <c r="E68" s="52">
        <v>23805699</v>
      </c>
      <c r="F68" s="6" t="s">
        <v>102</v>
      </c>
      <c r="G68" s="6" t="s">
        <v>67</v>
      </c>
    </row>
    <row r="69" spans="1:7" ht="13">
      <c r="A69" s="5">
        <v>2012</v>
      </c>
      <c r="B69" s="6" t="s">
        <v>102</v>
      </c>
      <c r="C69" s="6" t="s">
        <v>103</v>
      </c>
      <c r="D69" s="5" t="s">
        <v>15</v>
      </c>
      <c r="E69" s="52">
        <v>38458738</v>
      </c>
      <c r="F69" s="6" t="s">
        <v>102</v>
      </c>
      <c r="G69" s="6" t="s">
        <v>67</v>
      </c>
    </row>
    <row r="70" spans="1:7" ht="13">
      <c r="A70" s="5">
        <v>2012</v>
      </c>
      <c r="B70" s="6" t="s">
        <v>89</v>
      </c>
      <c r="C70" s="6" t="s">
        <v>89</v>
      </c>
      <c r="D70" s="5" t="s">
        <v>14</v>
      </c>
      <c r="E70" s="52">
        <v>37229017</v>
      </c>
      <c r="F70" s="6" t="s">
        <v>89</v>
      </c>
      <c r="G70" s="6" t="s">
        <v>288</v>
      </c>
    </row>
    <row r="71" spans="1:7" ht="13">
      <c r="A71" s="5">
        <v>2012</v>
      </c>
      <c r="B71" s="6" t="s">
        <v>89</v>
      </c>
      <c r="C71" s="6" t="s">
        <v>89</v>
      </c>
      <c r="D71" s="5" t="s">
        <v>15</v>
      </c>
      <c r="E71" s="52">
        <v>97912181</v>
      </c>
      <c r="F71" s="6" t="s">
        <v>89</v>
      </c>
      <c r="G71" s="6" t="s">
        <v>288</v>
      </c>
    </row>
    <row r="72" spans="1:7" ht="13">
      <c r="A72" s="5">
        <v>2012</v>
      </c>
      <c r="B72" s="6" t="s">
        <v>129</v>
      </c>
      <c r="C72" s="6" t="s">
        <v>129</v>
      </c>
      <c r="D72" s="5" t="s">
        <v>14</v>
      </c>
      <c r="E72" s="52">
        <v>152898473</v>
      </c>
      <c r="F72" s="6" t="s">
        <v>129</v>
      </c>
      <c r="G72" s="6" t="s">
        <v>288</v>
      </c>
    </row>
    <row r="73" spans="1:7" ht="13">
      <c r="A73" s="5">
        <v>2012</v>
      </c>
      <c r="B73" s="6" t="s">
        <v>129</v>
      </c>
      <c r="C73" s="6" t="s">
        <v>129</v>
      </c>
      <c r="D73" s="5" t="s">
        <v>15</v>
      </c>
      <c r="E73" s="52">
        <v>214562367</v>
      </c>
      <c r="F73" s="6" t="s">
        <v>129</v>
      </c>
      <c r="G73" s="6" t="s">
        <v>288</v>
      </c>
    </row>
    <row r="74" spans="1:7" ht="13">
      <c r="A74" s="5">
        <v>2012</v>
      </c>
      <c r="B74" s="6" t="s">
        <v>127</v>
      </c>
      <c r="C74" s="6" t="s">
        <v>127</v>
      </c>
      <c r="D74" s="5" t="s">
        <v>14</v>
      </c>
      <c r="E74" s="52">
        <v>57341522</v>
      </c>
      <c r="F74" s="6" t="s">
        <v>127</v>
      </c>
      <c r="G74" s="6" t="s">
        <v>288</v>
      </c>
    </row>
    <row r="75" spans="1:7" ht="13">
      <c r="A75" s="5">
        <v>2012</v>
      </c>
      <c r="B75" s="6" t="s">
        <v>127</v>
      </c>
      <c r="C75" s="6" t="s">
        <v>127</v>
      </c>
      <c r="D75" s="5" t="s">
        <v>15</v>
      </c>
      <c r="E75" s="52">
        <v>92362781</v>
      </c>
      <c r="F75" s="6" t="s">
        <v>127</v>
      </c>
      <c r="G75" s="6" t="s">
        <v>288</v>
      </c>
    </row>
    <row r="76" spans="1:7" ht="13">
      <c r="A76" s="5">
        <v>2012</v>
      </c>
      <c r="B76" s="6" t="s">
        <v>143</v>
      </c>
      <c r="C76" s="6" t="s">
        <v>143</v>
      </c>
      <c r="D76" s="5" t="s">
        <v>14</v>
      </c>
      <c r="E76" s="52">
        <v>312729054</v>
      </c>
      <c r="F76" s="6" t="s">
        <v>143</v>
      </c>
      <c r="G76" s="6" t="s">
        <v>288</v>
      </c>
    </row>
    <row r="77" spans="1:7" ht="13">
      <c r="A77" s="5">
        <v>2012</v>
      </c>
      <c r="B77" s="6" t="s">
        <v>143</v>
      </c>
      <c r="C77" s="6" t="s">
        <v>143</v>
      </c>
      <c r="D77" s="5" t="s">
        <v>15</v>
      </c>
      <c r="E77" s="52">
        <v>489640803</v>
      </c>
      <c r="F77" s="6" t="s">
        <v>143</v>
      </c>
      <c r="G77" s="6" t="s">
        <v>288</v>
      </c>
    </row>
    <row r="78" spans="1:7" ht="13">
      <c r="A78" s="5">
        <v>2012</v>
      </c>
      <c r="B78" s="6" t="s">
        <v>163</v>
      </c>
      <c r="C78" s="6" t="s">
        <v>163</v>
      </c>
      <c r="D78" s="5" t="s">
        <v>14</v>
      </c>
      <c r="E78" s="52">
        <v>311466307</v>
      </c>
      <c r="F78" s="6" t="s">
        <v>163</v>
      </c>
      <c r="G78" s="6" t="s">
        <v>288</v>
      </c>
    </row>
    <row r="79" spans="1:7" ht="13">
      <c r="A79" s="5">
        <v>2012</v>
      </c>
      <c r="B79" s="6" t="s">
        <v>163</v>
      </c>
      <c r="C79" s="6" t="s">
        <v>163</v>
      </c>
      <c r="D79" s="5" t="s">
        <v>15</v>
      </c>
      <c r="E79" s="52">
        <v>419907202</v>
      </c>
      <c r="F79" s="6" t="s">
        <v>163</v>
      </c>
      <c r="G79" s="6" t="s">
        <v>288</v>
      </c>
    </row>
    <row r="80" spans="1:7" ht="13">
      <c r="A80" s="5">
        <v>2012</v>
      </c>
      <c r="B80" s="6" t="s">
        <v>177</v>
      </c>
      <c r="C80" s="6" t="s">
        <v>174</v>
      </c>
      <c r="D80" s="5" t="s">
        <v>14</v>
      </c>
      <c r="E80" s="52">
        <v>35260463</v>
      </c>
      <c r="F80" s="6" t="s">
        <v>177</v>
      </c>
      <c r="G80" s="6" t="s">
        <v>288</v>
      </c>
    </row>
    <row r="81" spans="1:9" ht="13">
      <c r="A81" s="5">
        <v>2012</v>
      </c>
      <c r="B81" s="6" t="s">
        <v>177</v>
      </c>
      <c r="C81" s="6" t="s">
        <v>174</v>
      </c>
      <c r="D81" s="5" t="s">
        <v>15</v>
      </c>
      <c r="E81" s="52">
        <v>51231830</v>
      </c>
      <c r="F81" s="6" t="s">
        <v>177</v>
      </c>
      <c r="G81" s="6" t="s">
        <v>288</v>
      </c>
    </row>
    <row r="82" spans="1:9" ht="13">
      <c r="A82" s="5">
        <v>2012</v>
      </c>
      <c r="B82" s="6" t="s">
        <v>187</v>
      </c>
      <c r="C82" s="6" t="s">
        <v>187</v>
      </c>
      <c r="D82" s="5" t="s">
        <v>14</v>
      </c>
      <c r="E82" s="52">
        <v>787572734</v>
      </c>
      <c r="F82" s="6" t="s">
        <v>187</v>
      </c>
      <c r="G82" s="6" t="s">
        <v>288</v>
      </c>
    </row>
    <row r="83" spans="1:9" ht="13">
      <c r="A83" s="5">
        <v>2012</v>
      </c>
      <c r="B83" s="6" t="s">
        <v>187</v>
      </c>
      <c r="C83" s="6" t="s">
        <v>187</v>
      </c>
      <c r="D83" s="5" t="s">
        <v>15</v>
      </c>
      <c r="E83" s="52">
        <v>1176892213</v>
      </c>
      <c r="F83" s="6" t="s">
        <v>187</v>
      </c>
      <c r="G83" s="6" t="s">
        <v>288</v>
      </c>
    </row>
    <row r="84" spans="1:9" ht="13">
      <c r="A84" s="5">
        <v>2012</v>
      </c>
      <c r="B84" s="6" t="s">
        <v>185</v>
      </c>
      <c r="C84" s="6" t="s">
        <v>185</v>
      </c>
      <c r="D84" s="5" t="s">
        <v>14</v>
      </c>
      <c r="E84" s="52">
        <v>657301394</v>
      </c>
      <c r="F84" s="6" t="s">
        <v>185</v>
      </c>
      <c r="G84" s="6" t="s">
        <v>288</v>
      </c>
    </row>
    <row r="85" spans="1:9" ht="13">
      <c r="A85" s="5">
        <v>2012</v>
      </c>
      <c r="B85" s="6" t="s">
        <v>185</v>
      </c>
      <c r="C85" s="6" t="s">
        <v>185</v>
      </c>
      <c r="D85" s="5" t="s">
        <v>15</v>
      </c>
      <c r="E85" s="52">
        <v>1167739803</v>
      </c>
      <c r="F85" s="6" t="s">
        <v>185</v>
      </c>
      <c r="G85" s="6" t="s">
        <v>288</v>
      </c>
    </row>
    <row r="86" spans="1:9" ht="13">
      <c r="A86" s="5">
        <v>2012</v>
      </c>
      <c r="B86" s="6" t="s">
        <v>203</v>
      </c>
      <c r="C86" s="6" t="s">
        <v>203</v>
      </c>
      <c r="D86" s="5" t="s">
        <v>14</v>
      </c>
      <c r="E86" s="52">
        <v>585279169</v>
      </c>
      <c r="F86" s="6" t="s">
        <v>203</v>
      </c>
      <c r="G86" s="6" t="s">
        <v>288</v>
      </c>
    </row>
    <row r="87" spans="1:9" ht="13">
      <c r="A87" s="5">
        <v>2012</v>
      </c>
      <c r="B87" s="6" t="s">
        <v>203</v>
      </c>
      <c r="C87" s="6" t="s">
        <v>203</v>
      </c>
      <c r="D87" s="5" t="s">
        <v>15</v>
      </c>
      <c r="E87" s="52">
        <v>1051018271</v>
      </c>
      <c r="F87" s="6" t="s">
        <v>203</v>
      </c>
      <c r="G87" s="6" t="s">
        <v>288</v>
      </c>
    </row>
    <row r="88" spans="1:9" ht="13">
      <c r="A88" s="5">
        <v>2012</v>
      </c>
      <c r="B88" s="6" t="s">
        <v>208</v>
      </c>
      <c r="C88" s="6" t="s">
        <v>205</v>
      </c>
      <c r="D88" s="5" t="s">
        <v>14</v>
      </c>
      <c r="E88" s="52">
        <v>215915475</v>
      </c>
      <c r="F88" s="6" t="s">
        <v>208</v>
      </c>
      <c r="G88" s="6" t="s">
        <v>288</v>
      </c>
    </row>
    <row r="89" spans="1:9" ht="13">
      <c r="A89" s="5">
        <v>2012</v>
      </c>
      <c r="B89" s="6" t="s">
        <v>208</v>
      </c>
      <c r="C89" s="6" t="s">
        <v>205</v>
      </c>
      <c r="D89" s="5" t="s">
        <v>15</v>
      </c>
      <c r="E89" s="52">
        <v>348340163</v>
      </c>
      <c r="F89" s="6" t="s">
        <v>208</v>
      </c>
      <c r="G89" s="6" t="s">
        <v>288</v>
      </c>
    </row>
    <row r="90" spans="1:9" ht="13">
      <c r="A90" s="5">
        <v>2012</v>
      </c>
      <c r="B90" s="6" t="s">
        <v>238</v>
      </c>
      <c r="C90" s="6" t="s">
        <v>225</v>
      </c>
      <c r="D90" s="5" t="s">
        <v>14</v>
      </c>
      <c r="E90" s="52">
        <v>326374446</v>
      </c>
      <c r="F90" s="6" t="s">
        <v>238</v>
      </c>
      <c r="G90" s="6" t="s">
        <v>288</v>
      </c>
    </row>
    <row r="91" spans="1:9" ht="13">
      <c r="A91" s="5">
        <v>2012</v>
      </c>
      <c r="B91" s="6" t="s">
        <v>238</v>
      </c>
      <c r="C91" s="6" t="s">
        <v>225</v>
      </c>
      <c r="D91" s="5" t="s">
        <v>15</v>
      </c>
      <c r="E91" s="52">
        <v>585602868</v>
      </c>
      <c r="F91" s="6" t="s">
        <v>238</v>
      </c>
      <c r="G91" s="6" t="s">
        <v>288</v>
      </c>
    </row>
    <row r="92" spans="1:9" ht="13">
      <c r="A92" s="5">
        <v>2012</v>
      </c>
      <c r="B92" s="6" t="s">
        <v>228</v>
      </c>
      <c r="C92" s="6" t="s">
        <v>228</v>
      </c>
      <c r="D92" s="5" t="s">
        <v>14</v>
      </c>
      <c r="E92" s="52">
        <v>206902892</v>
      </c>
      <c r="F92" s="6" t="s">
        <v>228</v>
      </c>
      <c r="G92" s="6" t="s">
        <v>288</v>
      </c>
    </row>
    <row r="93" spans="1:9" ht="13">
      <c r="A93" s="5">
        <v>2012</v>
      </c>
      <c r="B93" s="6" t="s">
        <v>228</v>
      </c>
      <c r="C93" s="6" t="s">
        <v>228</v>
      </c>
      <c r="D93" s="5" t="s">
        <v>15</v>
      </c>
      <c r="E93" s="52">
        <v>238444169</v>
      </c>
      <c r="F93" s="6" t="s">
        <v>228</v>
      </c>
      <c r="G93" s="6" t="s">
        <v>288</v>
      </c>
    </row>
    <row r="94" spans="1:9" ht="13">
      <c r="A94" s="5">
        <v>2012</v>
      </c>
      <c r="B94" s="56" t="s">
        <v>302</v>
      </c>
      <c r="C94" s="6" t="s">
        <v>10</v>
      </c>
      <c r="D94" s="6" t="s">
        <v>16</v>
      </c>
      <c r="E94" s="51">
        <v>9267000</v>
      </c>
      <c r="F94" s="5" t="s">
        <v>302</v>
      </c>
      <c r="G94" s="5" t="s">
        <v>288</v>
      </c>
      <c r="H94" s="15" t="str">
        <f>HYPERLINK("https://reliefweb.int/sites/reliefweb.int/files/resources/full_report_116.pdf","Page 113, https://reliefweb.int/sites/reliefweb.int/files/resources/full_report_116.pdf")</f>
        <v>Page 113, https://reliefweb.int/sites/reliefweb.int/files/resources/full_report_116.pdf</v>
      </c>
      <c r="I94" s="6" t="s">
        <v>303</v>
      </c>
    </row>
    <row r="95" spans="1:9" ht="13">
      <c r="A95" s="57">
        <v>2012</v>
      </c>
      <c r="B95" s="56" t="s">
        <v>292</v>
      </c>
      <c r="C95" s="6" t="s">
        <v>304</v>
      </c>
      <c r="D95" s="6" t="s">
        <v>16</v>
      </c>
      <c r="E95" s="58">
        <v>1872</v>
      </c>
      <c r="F95" s="56" t="s">
        <v>292</v>
      </c>
      <c r="G95" s="5" t="s">
        <v>288</v>
      </c>
      <c r="H95" s="15" t="str">
        <f>HYPERLINK("https://www.unocha.org/sites/unocha/files/CAP_2013_0.pdf","Page 23, https://www.unocha.org/sites/unocha/files/CAP_2013_0.pdf")</f>
        <v>Page 23, https://www.unocha.org/sites/unocha/files/CAP_2013_0.pdf</v>
      </c>
      <c r="I95" s="6" t="s">
        <v>305</v>
      </c>
    </row>
    <row r="96" spans="1:9" ht="13">
      <c r="A96" s="57">
        <v>2012</v>
      </c>
      <c r="B96" s="5" t="s">
        <v>294</v>
      </c>
      <c r="C96" s="6" t="s">
        <v>44</v>
      </c>
      <c r="D96" s="5" t="s">
        <v>16</v>
      </c>
      <c r="E96" s="58">
        <v>5480000</v>
      </c>
      <c r="F96" s="56" t="s">
        <v>306</v>
      </c>
      <c r="G96" s="5" t="s">
        <v>288</v>
      </c>
      <c r="H96" s="15" t="str">
        <f>HYPERLINK("https://www.unocha.org/sites/unocha/files/CAP_2013_0.pdf","Page 28, https://www.unocha.org/sites/unocha/files/CAP_2013_0.pdf")</f>
        <v>Page 28, https://www.unocha.org/sites/unocha/files/CAP_2013_0.pdf</v>
      </c>
      <c r="I96" s="6" t="s">
        <v>307</v>
      </c>
    </row>
    <row r="97" spans="1:9" ht="13">
      <c r="A97" s="57">
        <v>2012</v>
      </c>
      <c r="B97" s="6" t="s">
        <v>111</v>
      </c>
      <c r="C97" s="6" t="s">
        <v>112</v>
      </c>
      <c r="D97" s="5" t="s">
        <v>291</v>
      </c>
      <c r="E97" s="58">
        <v>7500</v>
      </c>
      <c r="F97" s="6" t="s">
        <v>111</v>
      </c>
      <c r="G97" s="5" t="s">
        <v>288</v>
      </c>
      <c r="H97" s="15" t="str">
        <f>HYPERLINK("https://www.unocha.org/sites/unocha/files/CAP_2013_0.pdf","Page 37, https://www.unocha.org/sites/unocha/files/CAP_2013_0.pdf")</f>
        <v>Page 37, https://www.unocha.org/sites/unocha/files/CAP_2013_0.pdf</v>
      </c>
      <c r="I97" s="6" t="s">
        <v>307</v>
      </c>
    </row>
    <row r="98" spans="1:9" ht="13">
      <c r="A98" s="57">
        <v>2012</v>
      </c>
      <c r="B98" s="5" t="s">
        <v>308</v>
      </c>
      <c r="C98" s="6" t="s">
        <v>309</v>
      </c>
      <c r="D98" s="5" t="s">
        <v>16</v>
      </c>
      <c r="E98" s="58">
        <v>2158609</v>
      </c>
      <c r="F98" s="5" t="s">
        <v>163</v>
      </c>
      <c r="G98" s="5" t="s">
        <v>288</v>
      </c>
      <c r="H98" s="15" t="str">
        <f>HYPERLINK("https://www.unocha.org/sites/unocha/files/CAP_2013_0.pdf","Page 53, https://www.unocha.org/sites/unocha/files/CAP_2013_0.pdf")</f>
        <v>Page 53, https://www.unocha.org/sites/unocha/files/CAP_2013_0.pdf</v>
      </c>
      <c r="I98" s="6" t="s">
        <v>310</v>
      </c>
    </row>
    <row r="99" spans="1:9" ht="13">
      <c r="A99" s="57">
        <v>2012</v>
      </c>
      <c r="B99" s="5" t="s">
        <v>238</v>
      </c>
      <c r="C99" s="6" t="s">
        <v>225</v>
      </c>
      <c r="D99" s="5" t="s">
        <v>16</v>
      </c>
      <c r="E99" s="58">
        <v>12778151</v>
      </c>
      <c r="F99" s="5" t="s">
        <v>238</v>
      </c>
      <c r="G99" s="5" t="s">
        <v>269</v>
      </c>
      <c r="H99" s="15" t="str">
        <f>HYPERLINK("https://www.unocha.org/sites/unocha/files/CAP_2013_0.pdf","Page 74, https://www.unocha.org/sites/unocha/files/CAP_2013_0.pdf")</f>
        <v>Page 74, https://www.unocha.org/sites/unocha/files/CAP_2013_0.pdf</v>
      </c>
      <c r="I99" s="6" t="s">
        <v>305</v>
      </c>
    </row>
    <row r="100" spans="1:9" ht="13">
      <c r="A100" s="53">
        <v>2012</v>
      </c>
      <c r="B100" s="6" t="s">
        <v>311</v>
      </c>
      <c r="C100" s="6" t="s">
        <v>24</v>
      </c>
      <c r="D100" s="6" t="s">
        <v>16</v>
      </c>
      <c r="E100" s="54">
        <v>2163000</v>
      </c>
      <c r="F100" s="6" t="s">
        <v>311</v>
      </c>
      <c r="G100" s="6" t="s">
        <v>288</v>
      </c>
      <c r="H100" s="15" t="str">
        <f>HYPERLINK("https://www.unocha.org/sites/unocha/files/CAP_2013_0.pdf","Page 19, https://www.unocha.org/sites/unocha/files/CAP_2013_0.pdf")</f>
        <v>Page 19, https://www.unocha.org/sites/unocha/files/CAP_2013_0.pdf</v>
      </c>
      <c r="I100" s="6" t="s">
        <v>312</v>
      </c>
    </row>
    <row r="101" spans="1:9" ht="13">
      <c r="A101" s="53">
        <v>2012</v>
      </c>
      <c r="B101" s="6" t="s">
        <v>313</v>
      </c>
      <c r="C101" s="6" t="s">
        <v>129</v>
      </c>
      <c r="D101" s="6" t="s">
        <v>291</v>
      </c>
      <c r="E101" s="54">
        <v>4600000</v>
      </c>
      <c r="F101" s="6" t="s">
        <v>313</v>
      </c>
      <c r="G101" s="6" t="s">
        <v>288</v>
      </c>
      <c r="H101" s="15" t="str">
        <f>HYPERLINK("https://www.unocha.org/sites/unocha/files/CAP_2013_0.pdf","Page 41, https://www.unocha.org/sites/unocha/files/CAP_2013_0.pdf")</f>
        <v>Page 41, https://www.unocha.org/sites/unocha/files/CAP_2013_0.pdf</v>
      </c>
      <c r="I101" s="6" t="s">
        <v>314</v>
      </c>
    </row>
    <row r="102" spans="1:9" ht="13">
      <c r="A102" s="53">
        <v>2012</v>
      </c>
      <c r="B102" s="6" t="s">
        <v>296</v>
      </c>
      <c r="C102" s="6" t="s">
        <v>143</v>
      </c>
      <c r="D102" s="6" t="s">
        <v>291</v>
      </c>
      <c r="E102" s="54">
        <v>5500</v>
      </c>
      <c r="F102" s="55" t="s">
        <v>296</v>
      </c>
      <c r="G102" s="6" t="s">
        <v>288</v>
      </c>
      <c r="H102" s="15" t="str">
        <f>HYPERLINK("https://www.unocha.org/sites/unocha/files/CAP_2013_0.pdf","Page 48, https://www.unocha.org/sites/unocha/files/CAP_2013_0.pdf")</f>
        <v>Page 48, https://www.unocha.org/sites/unocha/files/CAP_2013_0.pdf</v>
      </c>
      <c r="I102" s="6" t="s">
        <v>315</v>
      </c>
    </row>
    <row r="103" spans="1:9" ht="13">
      <c r="A103" s="53">
        <v>2012</v>
      </c>
      <c r="B103" s="6" t="s">
        <v>316</v>
      </c>
      <c r="C103" s="56" t="s">
        <v>317</v>
      </c>
      <c r="D103" s="6" t="s">
        <v>16</v>
      </c>
      <c r="E103" s="54">
        <v>806</v>
      </c>
      <c r="F103" s="6" t="s">
        <v>316</v>
      </c>
      <c r="G103" s="6" t="s">
        <v>318</v>
      </c>
      <c r="H103" s="15" t="str">
        <f>HYPERLINK("https://www.unocha.org/sites/unocha/files/CAP_2013_0.pdf","Page 57, https://www.unocha.org/sites/unocha/files/CAP_2013_0.pdf")</f>
        <v>Page 57, https://www.unocha.org/sites/unocha/files/CAP_2013_0.pdf</v>
      </c>
      <c r="I103" s="6" t="s">
        <v>315</v>
      </c>
    </row>
    <row r="104" spans="1:9" ht="13">
      <c r="A104" s="53">
        <v>2012</v>
      </c>
      <c r="B104" s="6" t="s">
        <v>298</v>
      </c>
      <c r="C104" s="6" t="s">
        <v>185</v>
      </c>
      <c r="D104" s="6" t="s">
        <v>16</v>
      </c>
      <c r="E104" s="54">
        <v>4045</v>
      </c>
      <c r="F104" s="6" t="s">
        <v>298</v>
      </c>
      <c r="G104" s="6" t="s">
        <v>288</v>
      </c>
      <c r="H104" s="15" t="str">
        <f>HYPERLINK("https://www.unocha.org/sites/unocha/files/CAP_2013_0.pdf","Page 62, https://www.unocha.org/sites/unocha/files/CAP_2013_0.pdf")</f>
        <v>Page 62, https://www.unocha.org/sites/unocha/files/CAP_2013_0.pdf</v>
      </c>
      <c r="I104" s="6" t="s">
        <v>319</v>
      </c>
    </row>
    <row r="105" spans="1:9" ht="13">
      <c r="A105" s="5">
        <v>2013</v>
      </c>
      <c r="B105" s="6" t="s">
        <v>10</v>
      </c>
      <c r="C105" s="6" t="s">
        <v>10</v>
      </c>
      <c r="D105" s="5" t="s">
        <v>14</v>
      </c>
      <c r="E105" s="52">
        <v>345246607</v>
      </c>
      <c r="F105" s="6" t="s">
        <v>10</v>
      </c>
      <c r="G105" s="6" t="s">
        <v>288</v>
      </c>
    </row>
    <row r="106" spans="1:9" ht="13">
      <c r="A106" s="5">
        <v>2013</v>
      </c>
      <c r="B106" s="6" t="s">
        <v>10</v>
      </c>
      <c r="C106" s="6" t="s">
        <v>10</v>
      </c>
      <c r="D106" s="5" t="s">
        <v>15</v>
      </c>
      <c r="E106" s="52">
        <v>474428380</v>
      </c>
      <c r="F106" s="6" t="s">
        <v>10</v>
      </c>
      <c r="G106" s="6" t="s">
        <v>288</v>
      </c>
    </row>
    <row r="107" spans="1:9" ht="13">
      <c r="A107" s="5">
        <v>2013</v>
      </c>
      <c r="B107" s="6" t="s">
        <v>24</v>
      </c>
      <c r="C107" s="6" t="s">
        <v>24</v>
      </c>
      <c r="D107" s="5" t="s">
        <v>14</v>
      </c>
      <c r="E107" s="52">
        <v>76004187</v>
      </c>
      <c r="F107" s="6" t="s">
        <v>24</v>
      </c>
      <c r="G107" s="6" t="s">
        <v>288</v>
      </c>
    </row>
    <row r="108" spans="1:9" ht="13">
      <c r="A108" s="5">
        <v>2013</v>
      </c>
      <c r="B108" s="6" t="s">
        <v>24</v>
      </c>
      <c r="C108" s="6" t="s">
        <v>24</v>
      </c>
      <c r="D108" s="5" t="s">
        <v>15</v>
      </c>
      <c r="E108" s="52">
        <v>138977186</v>
      </c>
      <c r="F108" s="6" t="s">
        <v>24</v>
      </c>
      <c r="G108" s="6" t="s">
        <v>288</v>
      </c>
    </row>
    <row r="109" spans="1:9" ht="13">
      <c r="A109" s="5">
        <v>2013</v>
      </c>
      <c r="B109" s="6" t="s">
        <v>41</v>
      </c>
      <c r="C109" s="6" t="s">
        <v>320</v>
      </c>
      <c r="D109" s="5" t="s">
        <v>14</v>
      </c>
      <c r="E109" s="52">
        <v>102801363</v>
      </c>
      <c r="F109" s="6" t="s">
        <v>41</v>
      </c>
      <c r="G109" s="6" t="s">
        <v>288</v>
      </c>
    </row>
    <row r="110" spans="1:9" ht="13">
      <c r="A110" s="5">
        <v>2013</v>
      </c>
      <c r="B110" s="6" t="s">
        <v>41</v>
      </c>
      <c r="C110" s="6" t="s">
        <v>320</v>
      </c>
      <c r="D110" s="5" t="s">
        <v>15</v>
      </c>
      <c r="E110" s="52">
        <v>195136527</v>
      </c>
      <c r="F110" s="6" t="s">
        <v>41</v>
      </c>
      <c r="G110" s="6" t="s">
        <v>288</v>
      </c>
    </row>
    <row r="111" spans="1:9" ht="13">
      <c r="A111" s="5">
        <v>2013</v>
      </c>
      <c r="B111" s="6" t="s">
        <v>44</v>
      </c>
      <c r="C111" s="6" t="s">
        <v>44</v>
      </c>
      <c r="D111" s="5" t="s">
        <v>14</v>
      </c>
      <c r="E111" s="52">
        <v>297860990</v>
      </c>
      <c r="F111" s="6" t="s">
        <v>44</v>
      </c>
      <c r="G111" s="6" t="s">
        <v>288</v>
      </c>
    </row>
    <row r="112" spans="1:9" ht="13">
      <c r="A112" s="5">
        <v>2013</v>
      </c>
      <c r="B112" s="6" t="s">
        <v>44</v>
      </c>
      <c r="C112" s="6" t="s">
        <v>44</v>
      </c>
      <c r="D112" s="5" t="s">
        <v>15</v>
      </c>
      <c r="E112" s="52">
        <v>509937289</v>
      </c>
      <c r="F112" s="6" t="s">
        <v>44</v>
      </c>
      <c r="G112" s="6" t="s">
        <v>288</v>
      </c>
    </row>
    <row r="113" spans="1:7" ht="13">
      <c r="A113" s="5">
        <v>2013</v>
      </c>
      <c r="B113" s="6" t="s">
        <v>57</v>
      </c>
      <c r="C113" s="6" t="s">
        <v>321</v>
      </c>
      <c r="D113" s="5" t="s">
        <v>14</v>
      </c>
      <c r="E113" s="52">
        <v>629381833</v>
      </c>
      <c r="F113" s="6" t="s">
        <v>57</v>
      </c>
      <c r="G113" s="6" t="s">
        <v>288</v>
      </c>
    </row>
    <row r="114" spans="1:7" ht="13">
      <c r="A114" s="5">
        <v>2013</v>
      </c>
      <c r="B114" s="6" t="s">
        <v>57</v>
      </c>
      <c r="C114" s="6" t="s">
        <v>321</v>
      </c>
      <c r="D114" s="5" t="s">
        <v>15</v>
      </c>
      <c r="E114" s="52">
        <v>892643970</v>
      </c>
      <c r="F114" s="6" t="s">
        <v>57</v>
      </c>
      <c r="G114" s="6" t="s">
        <v>288</v>
      </c>
    </row>
    <row r="115" spans="1:7" ht="13">
      <c r="A115" s="5">
        <v>2013</v>
      </c>
      <c r="B115" s="6" t="s">
        <v>74</v>
      </c>
      <c r="C115" s="6" t="s">
        <v>74</v>
      </c>
      <c r="D115" s="5" t="s">
        <v>14</v>
      </c>
      <c r="E115" s="52">
        <v>24753575</v>
      </c>
      <c r="F115" s="6" t="s">
        <v>74</v>
      </c>
      <c r="G115" s="6" t="s">
        <v>288</v>
      </c>
    </row>
    <row r="116" spans="1:7" ht="13">
      <c r="A116" s="5">
        <v>2013</v>
      </c>
      <c r="B116" s="6" t="s">
        <v>74</v>
      </c>
      <c r="C116" s="6" t="s">
        <v>74</v>
      </c>
      <c r="D116" s="5" t="s">
        <v>15</v>
      </c>
      <c r="E116" s="52">
        <v>69982984</v>
      </c>
      <c r="F116" s="6" t="s">
        <v>74</v>
      </c>
      <c r="G116" s="6" t="s">
        <v>288</v>
      </c>
    </row>
    <row r="117" spans="1:7" ht="13">
      <c r="A117" s="5">
        <v>2013</v>
      </c>
      <c r="B117" s="6" t="s">
        <v>85</v>
      </c>
      <c r="C117" s="6" t="s">
        <v>82</v>
      </c>
      <c r="D117" s="5" t="s">
        <v>14</v>
      </c>
      <c r="E117" s="52">
        <v>72771635</v>
      </c>
      <c r="F117" s="6" t="s">
        <v>85</v>
      </c>
      <c r="G117" s="6" t="s">
        <v>288</v>
      </c>
    </row>
    <row r="118" spans="1:7" ht="13">
      <c r="A118" s="5">
        <v>2013</v>
      </c>
      <c r="B118" s="6" t="s">
        <v>85</v>
      </c>
      <c r="C118" s="6" t="s">
        <v>82</v>
      </c>
      <c r="D118" s="5" t="s">
        <v>15</v>
      </c>
      <c r="E118" s="52">
        <v>152343810</v>
      </c>
      <c r="F118" s="6" t="s">
        <v>85</v>
      </c>
      <c r="G118" s="6" t="s">
        <v>288</v>
      </c>
    </row>
    <row r="119" spans="1:7" ht="13">
      <c r="A119" s="5">
        <v>2013</v>
      </c>
      <c r="B119" s="6" t="s">
        <v>111</v>
      </c>
      <c r="C119" s="6" t="s">
        <v>112</v>
      </c>
      <c r="D119" s="5" t="s">
        <v>14</v>
      </c>
      <c r="E119" s="52">
        <v>372462747</v>
      </c>
      <c r="F119" s="6" t="s">
        <v>111</v>
      </c>
      <c r="G119" s="6" t="s">
        <v>288</v>
      </c>
    </row>
    <row r="120" spans="1:7" ht="13">
      <c r="A120" s="5">
        <v>2013</v>
      </c>
      <c r="B120" s="6" t="s">
        <v>111</v>
      </c>
      <c r="C120" s="6" t="s">
        <v>112</v>
      </c>
      <c r="D120" s="5" t="s">
        <v>15</v>
      </c>
      <c r="E120" s="52">
        <v>663311782</v>
      </c>
      <c r="F120" s="6" t="s">
        <v>111</v>
      </c>
      <c r="G120" s="6" t="s">
        <v>288</v>
      </c>
    </row>
    <row r="121" spans="1:7" ht="13">
      <c r="A121" s="5">
        <v>2013</v>
      </c>
      <c r="B121" s="6" t="s">
        <v>129</v>
      </c>
      <c r="C121" s="6" t="s">
        <v>129</v>
      </c>
      <c r="D121" s="5" t="s">
        <v>14</v>
      </c>
      <c r="E121" s="52">
        <v>264726309</v>
      </c>
      <c r="F121" s="6" t="s">
        <v>129</v>
      </c>
      <c r="G121" s="6" t="s">
        <v>288</v>
      </c>
    </row>
    <row r="122" spans="1:7" ht="13">
      <c r="A122" s="5">
        <v>2013</v>
      </c>
      <c r="B122" s="6" t="s">
        <v>129</v>
      </c>
      <c r="C122" s="6" t="s">
        <v>129</v>
      </c>
      <c r="D122" s="5" t="s">
        <v>15</v>
      </c>
      <c r="E122" s="52">
        <v>476926521</v>
      </c>
      <c r="F122" s="6" t="s">
        <v>129</v>
      </c>
      <c r="G122" s="6" t="s">
        <v>288</v>
      </c>
    </row>
    <row r="123" spans="1:7" ht="13">
      <c r="A123" s="5">
        <v>2013</v>
      </c>
      <c r="B123" s="6" t="s">
        <v>127</v>
      </c>
      <c r="C123" s="6" t="s">
        <v>127</v>
      </c>
      <c r="D123" s="5" t="s">
        <v>14</v>
      </c>
      <c r="E123" s="52">
        <v>88512172</v>
      </c>
      <c r="F123" s="6" t="s">
        <v>127</v>
      </c>
      <c r="G123" s="6" t="s">
        <v>288</v>
      </c>
    </row>
    <row r="124" spans="1:7" ht="13">
      <c r="A124" s="5">
        <v>2013</v>
      </c>
      <c r="B124" s="6" t="s">
        <v>127</v>
      </c>
      <c r="C124" s="6" t="s">
        <v>127</v>
      </c>
      <c r="D124" s="5" t="s">
        <v>15</v>
      </c>
      <c r="E124" s="52">
        <v>106793308</v>
      </c>
      <c r="F124" s="6" t="s">
        <v>127</v>
      </c>
      <c r="G124" s="6" t="s">
        <v>288</v>
      </c>
    </row>
    <row r="125" spans="1:7" ht="13">
      <c r="A125" s="5">
        <v>2013</v>
      </c>
      <c r="B125" s="6" t="s">
        <v>143</v>
      </c>
      <c r="C125" s="6" t="s">
        <v>143</v>
      </c>
      <c r="D125" s="5" t="s">
        <v>14</v>
      </c>
      <c r="E125" s="52">
        <v>288128878</v>
      </c>
      <c r="F125" s="6" t="s">
        <v>143</v>
      </c>
      <c r="G125" s="6" t="s">
        <v>288</v>
      </c>
    </row>
    <row r="126" spans="1:7" ht="13">
      <c r="A126" s="5">
        <v>2013</v>
      </c>
      <c r="B126" s="6" t="s">
        <v>143</v>
      </c>
      <c r="C126" s="6" t="s">
        <v>143</v>
      </c>
      <c r="D126" s="5" t="s">
        <v>15</v>
      </c>
      <c r="E126" s="52">
        <v>355277959</v>
      </c>
      <c r="F126" s="6" t="s">
        <v>143</v>
      </c>
      <c r="G126" s="6" t="s">
        <v>288</v>
      </c>
    </row>
    <row r="127" spans="1:7" ht="13">
      <c r="A127" s="5">
        <v>2013</v>
      </c>
      <c r="B127" s="6" t="s">
        <v>163</v>
      </c>
      <c r="C127" s="6" t="s">
        <v>163</v>
      </c>
      <c r="D127" s="5" t="s">
        <v>14</v>
      </c>
      <c r="E127" s="52">
        <v>270048717</v>
      </c>
      <c r="F127" s="6" t="s">
        <v>163</v>
      </c>
      <c r="G127" s="6" t="s">
        <v>288</v>
      </c>
    </row>
    <row r="128" spans="1:7" ht="13">
      <c r="A128" s="5">
        <v>2013</v>
      </c>
      <c r="B128" s="6" t="s">
        <v>163</v>
      </c>
      <c r="C128" s="6" t="s">
        <v>163</v>
      </c>
      <c r="D128" s="5" t="s">
        <v>15</v>
      </c>
      <c r="E128" s="52">
        <v>400839740</v>
      </c>
      <c r="F128" s="6" t="s">
        <v>163</v>
      </c>
      <c r="G128" s="6" t="s">
        <v>288</v>
      </c>
    </row>
    <row r="129" spans="1:8" ht="13">
      <c r="A129" s="5">
        <v>2013</v>
      </c>
      <c r="B129" s="6" t="s">
        <v>178</v>
      </c>
      <c r="C129" s="6" t="s">
        <v>174</v>
      </c>
      <c r="D129" s="5" t="s">
        <v>14</v>
      </c>
      <c r="E129" s="52">
        <v>53544941</v>
      </c>
      <c r="F129" s="6" t="s">
        <v>178</v>
      </c>
      <c r="G129" s="6" t="s">
        <v>288</v>
      </c>
    </row>
    <row r="130" spans="1:8" ht="13">
      <c r="A130" s="5">
        <v>2013</v>
      </c>
      <c r="B130" s="6" t="s">
        <v>178</v>
      </c>
      <c r="C130" s="6" t="s">
        <v>174</v>
      </c>
      <c r="D130" s="5" t="s">
        <v>15</v>
      </c>
      <c r="E130" s="52">
        <v>95508967</v>
      </c>
      <c r="F130" s="6" t="s">
        <v>178</v>
      </c>
      <c r="G130" s="6" t="s">
        <v>288</v>
      </c>
    </row>
    <row r="131" spans="1:8" ht="13">
      <c r="A131" s="5">
        <v>2013</v>
      </c>
      <c r="B131" s="6" t="s">
        <v>187</v>
      </c>
      <c r="C131" s="6" t="s">
        <v>187</v>
      </c>
      <c r="D131" s="5" t="s">
        <v>14</v>
      </c>
      <c r="E131" s="52">
        <v>771920359</v>
      </c>
      <c r="F131" s="6" t="s">
        <v>187</v>
      </c>
      <c r="G131" s="6" t="s">
        <v>288</v>
      </c>
    </row>
    <row r="132" spans="1:8" ht="13">
      <c r="A132" s="5">
        <v>2013</v>
      </c>
      <c r="B132" s="6" t="s">
        <v>187</v>
      </c>
      <c r="C132" s="6" t="s">
        <v>187</v>
      </c>
      <c r="D132" s="5" t="s">
        <v>15</v>
      </c>
      <c r="E132" s="52">
        <v>1072037430</v>
      </c>
      <c r="F132" s="6" t="s">
        <v>187</v>
      </c>
      <c r="G132" s="6" t="s">
        <v>288</v>
      </c>
    </row>
    <row r="133" spans="1:8" ht="13">
      <c r="A133" s="5">
        <v>2013</v>
      </c>
      <c r="B133" s="6" t="s">
        <v>185</v>
      </c>
      <c r="C133" s="6" t="s">
        <v>185</v>
      </c>
      <c r="D133" s="5" t="s">
        <v>14</v>
      </c>
      <c r="E133" s="52">
        <v>586131426</v>
      </c>
      <c r="F133" s="6" t="s">
        <v>185</v>
      </c>
      <c r="G133" s="6" t="s">
        <v>288</v>
      </c>
    </row>
    <row r="134" spans="1:8" ht="13">
      <c r="A134" s="5">
        <v>2013</v>
      </c>
      <c r="B134" s="6" t="s">
        <v>185</v>
      </c>
      <c r="C134" s="6" t="s">
        <v>185</v>
      </c>
      <c r="D134" s="5" t="s">
        <v>15</v>
      </c>
      <c r="E134" s="52">
        <v>1153087668</v>
      </c>
      <c r="F134" s="6" t="s">
        <v>185</v>
      </c>
      <c r="G134" s="6" t="s">
        <v>288</v>
      </c>
    </row>
    <row r="135" spans="1:8" ht="13">
      <c r="A135" s="5">
        <v>2013</v>
      </c>
      <c r="B135" s="6" t="s">
        <v>203</v>
      </c>
      <c r="C135" s="6" t="s">
        <v>203</v>
      </c>
      <c r="D135" s="5" t="s">
        <v>14</v>
      </c>
      <c r="E135" s="52">
        <v>550846869</v>
      </c>
      <c r="F135" s="6" t="s">
        <v>203</v>
      </c>
      <c r="G135" s="6" t="s">
        <v>288</v>
      </c>
    </row>
    <row r="136" spans="1:8" ht="13">
      <c r="A136" s="5">
        <v>2013</v>
      </c>
      <c r="B136" s="6" t="s">
        <v>203</v>
      </c>
      <c r="C136" s="6" t="s">
        <v>203</v>
      </c>
      <c r="D136" s="5" t="s">
        <v>15</v>
      </c>
      <c r="E136" s="52">
        <v>985120878</v>
      </c>
      <c r="F136" s="6" t="s">
        <v>203</v>
      </c>
      <c r="G136" s="6" t="s">
        <v>288</v>
      </c>
    </row>
    <row r="137" spans="1:8" ht="13">
      <c r="A137" s="5">
        <v>2013</v>
      </c>
      <c r="B137" s="6" t="s">
        <v>208</v>
      </c>
      <c r="C137" s="6" t="s">
        <v>205</v>
      </c>
      <c r="D137" s="5" t="s">
        <v>14</v>
      </c>
      <c r="E137" s="52">
        <v>959284768</v>
      </c>
      <c r="F137" s="6" t="s">
        <v>208</v>
      </c>
      <c r="G137" s="6" t="s">
        <v>288</v>
      </c>
    </row>
    <row r="138" spans="1:8" ht="13">
      <c r="A138" s="5">
        <v>2013</v>
      </c>
      <c r="B138" s="6" t="s">
        <v>212</v>
      </c>
      <c r="C138" s="6" t="s">
        <v>205</v>
      </c>
      <c r="D138" s="5" t="s">
        <v>14</v>
      </c>
      <c r="E138" s="52">
        <v>2180971363</v>
      </c>
      <c r="F138" s="6" t="s">
        <v>212</v>
      </c>
      <c r="G138" s="6" t="s">
        <v>73</v>
      </c>
    </row>
    <row r="139" spans="1:8" ht="13">
      <c r="A139" s="5">
        <v>2013</v>
      </c>
      <c r="B139" s="6" t="s">
        <v>208</v>
      </c>
      <c r="C139" s="6" t="s">
        <v>205</v>
      </c>
      <c r="D139" s="5" t="s">
        <v>15</v>
      </c>
      <c r="E139" s="52">
        <v>1409812466</v>
      </c>
      <c r="F139" s="6" t="s">
        <v>208</v>
      </c>
      <c r="G139" s="6" t="s">
        <v>288</v>
      </c>
    </row>
    <row r="140" spans="1:8" ht="13">
      <c r="A140" s="5">
        <v>2013</v>
      </c>
      <c r="B140" s="6" t="s">
        <v>212</v>
      </c>
      <c r="C140" s="6" t="s">
        <v>205</v>
      </c>
      <c r="D140" s="5" t="s">
        <v>15</v>
      </c>
      <c r="E140" s="52">
        <v>2981640112</v>
      </c>
      <c r="F140" s="6" t="s">
        <v>212</v>
      </c>
      <c r="G140" s="6" t="s">
        <v>73</v>
      </c>
    </row>
    <row r="141" spans="1:8" ht="13">
      <c r="A141" s="5">
        <v>2013</v>
      </c>
      <c r="B141" s="6" t="s">
        <v>238</v>
      </c>
      <c r="C141" s="6" t="s">
        <v>225</v>
      </c>
      <c r="D141" s="5" t="s">
        <v>14</v>
      </c>
      <c r="E141" s="52">
        <v>395844880</v>
      </c>
      <c r="F141" s="6" t="s">
        <v>238</v>
      </c>
      <c r="G141" s="6" t="s">
        <v>288</v>
      </c>
    </row>
    <row r="142" spans="1:8" ht="13">
      <c r="A142" s="5">
        <v>2013</v>
      </c>
      <c r="B142" s="6" t="s">
        <v>238</v>
      </c>
      <c r="C142" s="6" t="s">
        <v>225</v>
      </c>
      <c r="D142" s="5" t="s">
        <v>15</v>
      </c>
      <c r="E142" s="52">
        <v>705769562</v>
      </c>
      <c r="F142" s="6" t="s">
        <v>238</v>
      </c>
      <c r="G142" s="6" t="s">
        <v>288</v>
      </c>
    </row>
    <row r="143" spans="1:8" ht="13">
      <c r="A143" s="5">
        <v>2013</v>
      </c>
      <c r="B143" s="56" t="s">
        <v>292</v>
      </c>
      <c r="C143" s="6" t="s">
        <v>304</v>
      </c>
      <c r="D143" s="6" t="s">
        <v>16</v>
      </c>
      <c r="E143" s="51">
        <v>664000</v>
      </c>
      <c r="F143" s="56" t="s">
        <v>292</v>
      </c>
      <c r="G143" s="5" t="s">
        <v>288</v>
      </c>
      <c r="H143" s="15" t="str">
        <f>HYPERLINK("https://www.unocha.org/sites/unocha/files/CAP_2013_0.pdf","Page 24, https://www.unocha.org/sites/unocha/files/CAP_2013_0.pdf")</f>
        <v>Page 24, https://www.unocha.org/sites/unocha/files/CAP_2013_0.pdf</v>
      </c>
    </row>
    <row r="144" spans="1:8" ht="13">
      <c r="A144" s="5">
        <v>2013</v>
      </c>
      <c r="B144" s="5" t="s">
        <v>294</v>
      </c>
      <c r="C144" s="6" t="s">
        <v>44</v>
      </c>
      <c r="D144" s="5" t="s">
        <v>291</v>
      </c>
      <c r="E144" s="51">
        <v>4400000</v>
      </c>
      <c r="F144" s="56" t="s">
        <v>306</v>
      </c>
      <c r="G144" s="5" t="s">
        <v>288</v>
      </c>
      <c r="H144" s="15" t="str">
        <f>HYPERLINK("https://www.unocha.org/sites/unocha/files/CAP_2013_0.pdf","Page 31, https://www.unocha.org/sites/unocha/files/CAP_2013_0.pdf")</f>
        <v>Page 31, https://www.unocha.org/sites/unocha/files/CAP_2013_0.pdf</v>
      </c>
    </row>
    <row r="145" spans="1:9" ht="13">
      <c r="A145" s="5">
        <v>2013</v>
      </c>
      <c r="B145" s="5" t="s">
        <v>322</v>
      </c>
      <c r="C145" s="6" t="s">
        <v>112</v>
      </c>
      <c r="D145" s="5" t="s">
        <v>291</v>
      </c>
      <c r="E145" s="51">
        <v>2800800</v>
      </c>
      <c r="F145" s="5" t="s">
        <v>322</v>
      </c>
      <c r="G145" s="5" t="s">
        <v>288</v>
      </c>
      <c r="H145" s="15" t="str">
        <f>HYPERLINK("https://www.unocha.org/sites/unocha/files/CAP_2013_0.pdf","Page 40, https://www.unocha.org/sites/unocha/files/CAP_2013_0.pdf")</f>
        <v>Page 40, https://www.unocha.org/sites/unocha/files/CAP_2013_0.pdf</v>
      </c>
    </row>
    <row r="146" spans="1:9" ht="13">
      <c r="A146" s="5">
        <v>2013</v>
      </c>
      <c r="B146" s="5" t="s">
        <v>308</v>
      </c>
      <c r="C146" s="6" t="s">
        <v>309</v>
      </c>
      <c r="D146" s="5" t="s">
        <v>291</v>
      </c>
      <c r="E146" s="51">
        <v>2100100</v>
      </c>
      <c r="F146" s="5" t="s">
        <v>163</v>
      </c>
      <c r="G146" s="5" t="s">
        <v>288</v>
      </c>
      <c r="H146" s="15" t="str">
        <f>HYPERLINK("https://www.unocha.org/sites/unocha/files/CAP_2013_0.pdf","Page 56, https://www.unocha.org/sites/unocha/files/CAP_2013_0.pdf")</f>
        <v>Page 56, https://www.unocha.org/sites/unocha/files/CAP_2013_0.pdf</v>
      </c>
    </row>
    <row r="147" spans="1:9" ht="13">
      <c r="A147" s="5">
        <v>2013</v>
      </c>
      <c r="B147" s="5" t="s">
        <v>323</v>
      </c>
      <c r="C147" s="6" t="s">
        <v>187</v>
      </c>
      <c r="D147" s="5" t="s">
        <v>16</v>
      </c>
      <c r="E147" s="51">
        <v>4600000</v>
      </c>
      <c r="F147" s="5" t="s">
        <v>187</v>
      </c>
      <c r="G147" s="5" t="s">
        <v>288</v>
      </c>
      <c r="H147" s="15" t="str">
        <f>HYPERLINK("https://www.unocha.org/sites/unocha/files/CAP_2013_0.pdf","Page 69, https://www.unocha.org/sites/unocha/files/CAP_2013_0.pdf")</f>
        <v>Page 69, https://www.unocha.org/sites/unocha/files/CAP_2013_0.pdf</v>
      </c>
    </row>
    <row r="148" spans="1:9" ht="13">
      <c r="A148" s="5">
        <v>2013</v>
      </c>
      <c r="B148" s="5" t="s">
        <v>324</v>
      </c>
      <c r="C148" s="6" t="s">
        <v>225</v>
      </c>
      <c r="D148" s="5" t="s">
        <v>291</v>
      </c>
      <c r="E148" s="51">
        <v>13100000</v>
      </c>
      <c r="F148" s="5" t="s">
        <v>324</v>
      </c>
      <c r="G148" s="5" t="s">
        <v>288</v>
      </c>
      <c r="H148" s="15" t="str">
        <f>HYPERLINK("https://www.unocha.org/sites/unocha/files/CAP_2013_0.pdf","Page 77, https://www.unocha.org/sites/unocha/files/CAP_2013_0.pdf")</f>
        <v>Page 77, https://www.unocha.org/sites/unocha/files/CAP_2013_0.pdf</v>
      </c>
    </row>
    <row r="149" spans="1:9" ht="13">
      <c r="A149" s="57">
        <v>2013</v>
      </c>
      <c r="B149" s="56" t="s">
        <v>292</v>
      </c>
      <c r="C149" s="6" t="s">
        <v>304</v>
      </c>
      <c r="D149" s="6" t="s">
        <v>16</v>
      </c>
      <c r="E149" s="58">
        <v>619</v>
      </c>
      <c r="F149" s="56" t="s">
        <v>292</v>
      </c>
      <c r="G149" s="5" t="s">
        <v>288</v>
      </c>
      <c r="H149" s="15" t="str">
        <f>HYPERLINK("https://www.unocha.org/sites/unocha/files/CAP_2013_0.pdf","Page 23, https://www.unocha.org/sites/unocha/files/CAP_2013_0.pdf")</f>
        <v>Page 23, https://www.unocha.org/sites/unocha/files/CAP_2013_0.pdf</v>
      </c>
      <c r="I149" s="6" t="s">
        <v>305</v>
      </c>
    </row>
    <row r="150" spans="1:9" ht="13">
      <c r="A150" s="57">
        <v>2013</v>
      </c>
      <c r="B150" s="5" t="s">
        <v>294</v>
      </c>
      <c r="C150" s="6" t="s">
        <v>44</v>
      </c>
      <c r="D150" s="5" t="s">
        <v>16</v>
      </c>
      <c r="E150" s="58">
        <v>2631052</v>
      </c>
      <c r="F150" s="56" t="s">
        <v>306</v>
      </c>
      <c r="G150" s="5" t="s">
        <v>288</v>
      </c>
      <c r="H150" s="15" t="str">
        <f>HYPERLINK("https://www.unocha.org/sites/unocha/files/CAP_2013_0.pdf","Page 28, https://www.unocha.org/sites/unocha/files/CAP_2013_0.pdf")</f>
        <v>Page 28, https://www.unocha.org/sites/unocha/files/CAP_2013_0.pdf</v>
      </c>
      <c r="I150" s="6" t="s">
        <v>315</v>
      </c>
    </row>
    <row r="151" spans="1:9" ht="13">
      <c r="A151" s="57">
        <v>2013</v>
      </c>
      <c r="B151" s="6" t="s">
        <v>111</v>
      </c>
      <c r="C151" s="6" t="s">
        <v>112</v>
      </c>
      <c r="D151" s="5" t="s">
        <v>16</v>
      </c>
      <c r="E151" s="58">
        <v>4590</v>
      </c>
      <c r="F151" s="6" t="s">
        <v>111</v>
      </c>
      <c r="G151" s="5" t="s">
        <v>288</v>
      </c>
      <c r="H151" s="15" t="str">
        <f>HYPERLINK("https://www.unocha.org/sites/unocha/files/CAP_2013_0.pdf","Page 37, https://www.unocha.org/sites/unocha/files/CAP_2013_0.pdf")</f>
        <v>Page 37, https://www.unocha.org/sites/unocha/files/CAP_2013_0.pdf</v>
      </c>
      <c r="I151" s="6" t="s">
        <v>325</v>
      </c>
    </row>
    <row r="152" spans="1:9" ht="13">
      <c r="A152" s="57">
        <v>2013</v>
      </c>
      <c r="B152" s="5" t="s">
        <v>308</v>
      </c>
      <c r="C152" s="6" t="s">
        <v>309</v>
      </c>
      <c r="D152" s="5" t="s">
        <v>16</v>
      </c>
      <c r="E152" s="58">
        <v>2248804</v>
      </c>
      <c r="F152" s="5" t="s">
        <v>163</v>
      </c>
      <c r="G152" s="5" t="s">
        <v>288</v>
      </c>
      <c r="H152" s="15" t="str">
        <f>HYPERLINK("https://www.unocha.org/sites/unocha/files/CAP_2013_0.pdf","Page 53, https://www.unocha.org/sites/unocha/files/CAP_2013_0.pdf")</f>
        <v>Page 53, https://www.unocha.org/sites/unocha/files/CAP_2013_0.pdf</v>
      </c>
      <c r="I152" s="6" t="s">
        <v>310</v>
      </c>
    </row>
    <row r="153" spans="1:9" ht="13">
      <c r="A153" s="57">
        <v>2013</v>
      </c>
      <c r="B153" s="5" t="s">
        <v>323</v>
      </c>
      <c r="C153" s="6" t="s">
        <v>187</v>
      </c>
      <c r="D153" s="5" t="s">
        <v>16</v>
      </c>
      <c r="E153" s="58">
        <v>4600000</v>
      </c>
      <c r="F153" s="5" t="s">
        <v>187</v>
      </c>
      <c r="G153" s="5" t="s">
        <v>288</v>
      </c>
      <c r="H153" s="15" t="str">
        <f>HYPERLINK("https://www.unocha.org/sites/unocha/files/CAP_2013_0.pdf","Page 69, https://www.unocha.org/sites/unocha/files/CAP_2013_0.pdf")</f>
        <v>Page 69, https://www.unocha.org/sites/unocha/files/CAP_2013_0.pdf</v>
      </c>
    </row>
    <row r="154" spans="1:9" ht="13">
      <c r="A154" s="57">
        <v>2013</v>
      </c>
      <c r="B154" s="5" t="s">
        <v>238</v>
      </c>
      <c r="C154" s="6" t="s">
        <v>225</v>
      </c>
      <c r="D154" s="5" t="s">
        <v>16</v>
      </c>
      <c r="E154" s="58">
        <v>13173850</v>
      </c>
      <c r="F154" s="5" t="s">
        <v>238</v>
      </c>
      <c r="G154" s="5" t="s">
        <v>269</v>
      </c>
      <c r="H154" s="15" t="str">
        <f>HYPERLINK("https://www.unocha.org/sites/unocha/files/CAP_2013_0.pdf","Page 74, https://www.unocha.org/sites/unocha/files/CAP_2013_0.pdf")</f>
        <v>Page 74, https://www.unocha.org/sites/unocha/files/CAP_2013_0.pdf</v>
      </c>
      <c r="I154" s="6" t="s">
        <v>305</v>
      </c>
    </row>
    <row r="155" spans="1:9" ht="13">
      <c r="A155" s="5">
        <v>2013</v>
      </c>
      <c r="B155" s="5" t="s">
        <v>326</v>
      </c>
      <c r="C155" s="6" t="s">
        <v>10</v>
      </c>
      <c r="D155" s="5" t="s">
        <v>291</v>
      </c>
      <c r="E155" s="54">
        <v>18258504</v>
      </c>
      <c r="F155" s="5" t="s">
        <v>326</v>
      </c>
      <c r="G155" s="5" t="s">
        <v>318</v>
      </c>
      <c r="H155" s="15" t="str">
        <f>HYPERLINK("https://www.unocha.org/sites/unocha/files/CAP_2013_0.pdf","Page 14, https://www.unocha.org/sites/unocha/files/CAP_2013_0.pdf")</f>
        <v>Page 14, https://www.unocha.org/sites/unocha/files/CAP_2013_0.pdf</v>
      </c>
      <c r="I155" s="6" t="s">
        <v>327</v>
      </c>
    </row>
    <row r="156" spans="1:9" ht="13">
      <c r="A156" s="53">
        <v>2013</v>
      </c>
      <c r="B156" s="6" t="s">
        <v>311</v>
      </c>
      <c r="C156" s="6" t="s">
        <v>24</v>
      </c>
      <c r="D156" s="6" t="s">
        <v>16</v>
      </c>
      <c r="E156" s="54">
        <v>7405530</v>
      </c>
      <c r="F156" s="6" t="s">
        <v>311</v>
      </c>
      <c r="G156" s="6" t="s">
        <v>288</v>
      </c>
      <c r="H156" s="15" t="str">
        <f>HYPERLINK("https://www.unocha.org/sites/unocha/files/CAP_2013_0.pdf","Page 19, https://www.unocha.org/sites/unocha/files/CAP_2013_0.pdf")</f>
        <v>Page 19, https://www.unocha.org/sites/unocha/files/CAP_2013_0.pdf</v>
      </c>
      <c r="I156" s="6" t="s">
        <v>307</v>
      </c>
    </row>
    <row r="157" spans="1:9" ht="13">
      <c r="A157" s="53">
        <v>2013</v>
      </c>
      <c r="B157" s="6" t="s">
        <v>328</v>
      </c>
      <c r="C157" s="6" t="s">
        <v>57</v>
      </c>
      <c r="D157" s="6" t="s">
        <v>291</v>
      </c>
      <c r="E157" s="54">
        <v>24318</v>
      </c>
      <c r="F157" s="6" t="s">
        <v>328</v>
      </c>
      <c r="G157" s="6" t="s">
        <v>318</v>
      </c>
      <c r="H157" s="15" t="str">
        <f>HYPERLINK("https://www.unocha.org/sites/unocha/files/CAP_2013_0.pdf","Page 33, https://www.unocha.org/sites/unocha/files/CAP_2013_0.pdf")</f>
        <v>Page 33, https://www.unocha.org/sites/unocha/files/CAP_2013_0.pdf</v>
      </c>
      <c r="I157" s="6" t="s">
        <v>307</v>
      </c>
    </row>
    <row r="158" spans="1:9" ht="13">
      <c r="A158" s="53">
        <v>2013</v>
      </c>
      <c r="B158" s="6" t="s">
        <v>313</v>
      </c>
      <c r="C158" s="6" t="s">
        <v>129</v>
      </c>
      <c r="D158" s="6" t="s">
        <v>291</v>
      </c>
      <c r="E158" s="54">
        <v>4290000</v>
      </c>
      <c r="F158" s="6" t="s">
        <v>313</v>
      </c>
      <c r="G158" s="6" t="s">
        <v>288</v>
      </c>
      <c r="H158" s="15" t="str">
        <f>HYPERLINK("https://www.unocha.org/sites/unocha/files/CAP_2013_0.pdf","Page 39, https://www.unocha.org/sites/unocha/files/CAP_2013_0.pdf")</f>
        <v>Page 39, https://www.unocha.org/sites/unocha/files/CAP_2013_0.pdf</v>
      </c>
    </row>
    <row r="159" spans="1:9" ht="13">
      <c r="A159" s="53">
        <v>2013</v>
      </c>
      <c r="B159" s="6" t="s">
        <v>329</v>
      </c>
      <c r="C159" s="6" t="s">
        <v>127</v>
      </c>
      <c r="D159" s="6" t="s">
        <v>16</v>
      </c>
      <c r="E159" s="54">
        <v>1480000</v>
      </c>
      <c r="F159" s="6" t="s">
        <v>329</v>
      </c>
      <c r="G159" s="6" t="s">
        <v>288</v>
      </c>
      <c r="H159" s="15" t="str">
        <f>HYPERLINK("https://www.unocha.org/sites/unocha/files/CAP_2013_0.pdf","Page 45, https://www.unocha.org/sites/unocha/files/CAP_2013_0.pdf")</f>
        <v>Page 45, https://www.unocha.org/sites/unocha/files/CAP_2013_0.pdf</v>
      </c>
      <c r="I159" s="6" t="s">
        <v>314</v>
      </c>
    </row>
    <row r="160" spans="1:9" ht="13">
      <c r="A160" s="53">
        <v>2013</v>
      </c>
      <c r="B160" s="6" t="s">
        <v>316</v>
      </c>
      <c r="C160" s="56" t="s">
        <v>317</v>
      </c>
      <c r="D160" s="6" t="s">
        <v>16</v>
      </c>
      <c r="E160" s="54">
        <v>950000</v>
      </c>
      <c r="F160" s="6" t="s">
        <v>316</v>
      </c>
      <c r="G160" s="6" t="s">
        <v>318</v>
      </c>
      <c r="H160" s="15" t="str">
        <f>HYPERLINK("https://www.unocha.org/sites/unocha/files/CAP_2013_0.pdf","Page 57, https://www.unocha.org/sites/unocha/files/CAP_2013_0.pdf")</f>
        <v>Page 57, https://www.unocha.org/sites/unocha/files/CAP_2013_0.pdf</v>
      </c>
      <c r="I160" s="6" t="s">
        <v>315</v>
      </c>
    </row>
    <row r="161" spans="1:9" ht="13">
      <c r="A161" s="53">
        <v>2013</v>
      </c>
      <c r="B161" s="6" t="s">
        <v>298</v>
      </c>
      <c r="C161" s="6" t="s">
        <v>185</v>
      </c>
      <c r="D161" s="6" t="s">
        <v>16</v>
      </c>
      <c r="E161" s="54">
        <v>4748</v>
      </c>
      <c r="F161" s="6" t="s">
        <v>298</v>
      </c>
      <c r="G161" s="6" t="s">
        <v>288</v>
      </c>
      <c r="H161" s="15" t="str">
        <f>HYPERLINK("https://www.unocha.org/sites/unocha/files/CAP_2013_0.pdf","Page 62, https://www.unocha.org/sites/unocha/files/CAP_2013_0.pdf")</f>
        <v>Page 62, https://www.unocha.org/sites/unocha/files/CAP_2013_0.pdf</v>
      </c>
      <c r="I161" s="6" t="s">
        <v>315</v>
      </c>
    </row>
    <row r="162" spans="1:9" ht="13">
      <c r="A162" s="53">
        <v>2013</v>
      </c>
      <c r="B162" s="6" t="s">
        <v>330</v>
      </c>
      <c r="C162" s="6" t="s">
        <v>188</v>
      </c>
      <c r="D162" s="6" t="s">
        <v>16</v>
      </c>
      <c r="E162" s="54">
        <v>4600000</v>
      </c>
      <c r="F162" s="6" t="s">
        <v>330</v>
      </c>
      <c r="G162" s="6" t="s">
        <v>288</v>
      </c>
      <c r="H162" s="15" t="str">
        <f>HYPERLINK("https://www.unocha.org/sites/unocha/files/CAP_2013_0.pdf","Page 66, https://www.unocha.org/sites/unocha/files/CAP_2013_0.pdf")</f>
        <v>Page 66, https://www.unocha.org/sites/unocha/files/CAP_2013_0.pdf</v>
      </c>
    </row>
    <row r="163" spans="1:9" ht="13">
      <c r="A163" s="53">
        <v>2013</v>
      </c>
      <c r="B163" s="6" t="s">
        <v>331</v>
      </c>
      <c r="C163" s="6" t="s">
        <v>203</v>
      </c>
      <c r="D163" s="6" t="s">
        <v>16</v>
      </c>
      <c r="E163" s="59">
        <v>4400000</v>
      </c>
      <c r="F163" s="6" t="s">
        <v>331</v>
      </c>
      <c r="G163" s="56" t="s">
        <v>332</v>
      </c>
      <c r="H163" s="15" t="str">
        <f>HYPERLINK("https://www.unocha.org/sites/unocha/files/CAP_2013_0.pdf","Page 70, https://www.unocha.org/sites/unocha/files/CAP_2013_0.pdf")</f>
        <v>Page 70, https://www.unocha.org/sites/unocha/files/CAP_2013_0.pdf</v>
      </c>
    </row>
    <row r="164" spans="1:9" ht="13">
      <c r="A164" s="6"/>
      <c r="B164" s="6"/>
      <c r="C164" s="6"/>
      <c r="D164" s="6"/>
      <c r="E164" s="52"/>
      <c r="F164" s="6"/>
      <c r="G164" s="6"/>
    </row>
    <row r="165" spans="1:9" ht="13">
      <c r="A165" s="6"/>
      <c r="B165" s="6"/>
      <c r="C165" s="6"/>
      <c r="D165" s="6"/>
      <c r="E165" s="52"/>
      <c r="F165" s="6"/>
      <c r="G165" s="6"/>
    </row>
    <row r="166" spans="1:9" ht="13">
      <c r="A166" s="6"/>
      <c r="B166" s="6"/>
      <c r="C166" s="6"/>
      <c r="D166" s="6"/>
      <c r="E166" s="52"/>
      <c r="F166" s="6"/>
      <c r="G166" s="6"/>
    </row>
    <row r="167" spans="1:9" ht="13">
      <c r="A167" s="6"/>
      <c r="B167" s="6"/>
      <c r="C167" s="6"/>
      <c r="D167" s="6"/>
      <c r="E167" s="52"/>
      <c r="F167" s="6"/>
      <c r="G167" s="6"/>
    </row>
    <row r="168" spans="1:9" ht="13">
      <c r="A168" s="6"/>
      <c r="B168" s="6"/>
      <c r="C168" s="6"/>
      <c r="D168" s="6"/>
      <c r="E168" s="52"/>
      <c r="F168" s="6"/>
      <c r="G168" s="6"/>
    </row>
    <row r="169" spans="1:9" ht="13">
      <c r="A169" s="6"/>
      <c r="B169" s="6"/>
      <c r="C169" s="6"/>
      <c r="D169" s="6"/>
      <c r="E169" s="52"/>
      <c r="F169" s="6"/>
      <c r="G169" s="6"/>
    </row>
    <row r="170" spans="1:9" ht="13">
      <c r="A170" s="6"/>
      <c r="B170" s="6"/>
      <c r="C170" s="6"/>
      <c r="D170" s="6"/>
      <c r="E170" s="52"/>
      <c r="F170" s="6"/>
      <c r="G170" s="6"/>
    </row>
    <row r="171" spans="1:9" ht="13">
      <c r="A171" s="6"/>
      <c r="B171" s="6"/>
      <c r="C171" s="6"/>
      <c r="D171" s="6"/>
      <c r="E171" s="52"/>
      <c r="F171" s="6"/>
      <c r="G171" s="6"/>
    </row>
    <row r="172" spans="1:9" ht="13">
      <c r="A172" s="6"/>
      <c r="B172" s="6"/>
      <c r="C172" s="6"/>
      <c r="D172" s="6"/>
      <c r="E172" s="52"/>
      <c r="F172" s="6"/>
      <c r="G172" s="6"/>
    </row>
    <row r="173" spans="1:9" ht="13">
      <c r="A173" s="6"/>
      <c r="B173" s="6"/>
      <c r="C173" s="6"/>
      <c r="D173" s="6"/>
      <c r="E173" s="52"/>
      <c r="F173" s="6"/>
      <c r="G173" s="6"/>
    </row>
    <row r="174" spans="1:9" ht="13">
      <c r="A174" s="6"/>
      <c r="B174" s="6"/>
      <c r="C174" s="6"/>
      <c r="D174" s="6"/>
      <c r="E174" s="52"/>
      <c r="F174" s="6"/>
      <c r="G174" s="6"/>
    </row>
    <row r="175" spans="1:9" ht="13">
      <c r="A175" s="6"/>
      <c r="B175" s="6"/>
      <c r="C175" s="6"/>
      <c r="D175" s="6"/>
      <c r="E175" s="52"/>
      <c r="F175" s="6"/>
      <c r="G175" s="6"/>
    </row>
    <row r="176" spans="1:9" ht="13">
      <c r="A176" s="6"/>
      <c r="B176" s="6"/>
      <c r="C176" s="6"/>
      <c r="D176" s="6"/>
      <c r="E176" s="52"/>
      <c r="F176" s="6"/>
      <c r="G176" s="6"/>
    </row>
    <row r="177" spans="1:7" ht="13">
      <c r="A177" s="6"/>
      <c r="B177" s="6"/>
      <c r="C177" s="6"/>
      <c r="D177" s="6"/>
      <c r="E177" s="52"/>
      <c r="F177" s="6"/>
      <c r="G177" s="6"/>
    </row>
    <row r="178" spans="1:7" ht="13">
      <c r="A178" s="6"/>
      <c r="B178" s="6"/>
      <c r="C178" s="6"/>
      <c r="D178" s="6"/>
      <c r="E178" s="52"/>
      <c r="F178" s="6"/>
      <c r="G178" s="6"/>
    </row>
    <row r="179" spans="1:7" ht="13">
      <c r="A179" s="6"/>
      <c r="B179" s="6"/>
      <c r="C179" s="6"/>
      <c r="D179" s="6"/>
      <c r="E179" s="52"/>
      <c r="F179" s="6"/>
      <c r="G179" s="6"/>
    </row>
    <row r="180" spans="1:7" ht="13">
      <c r="A180" s="6"/>
      <c r="B180" s="6"/>
      <c r="C180" s="6"/>
      <c r="D180" s="6"/>
      <c r="E180" s="52"/>
      <c r="F180" s="6"/>
      <c r="G180" s="6"/>
    </row>
    <row r="181" spans="1:7" ht="13">
      <c r="A181" s="6"/>
      <c r="B181" s="6"/>
      <c r="C181" s="6"/>
      <c r="D181" s="6"/>
      <c r="E181" s="52"/>
      <c r="F181" s="6"/>
      <c r="G181" s="6"/>
    </row>
    <row r="182" spans="1:7" ht="13">
      <c r="A182" s="6"/>
      <c r="B182" s="6"/>
      <c r="C182" s="6"/>
      <c r="D182" s="6"/>
      <c r="E182" s="52"/>
      <c r="F182" s="6"/>
      <c r="G182" s="6"/>
    </row>
    <row r="183" spans="1:7" ht="13">
      <c r="A183" s="6"/>
      <c r="B183" s="6"/>
      <c r="C183" s="6"/>
      <c r="D183" s="6"/>
      <c r="E183" s="52"/>
      <c r="F183" s="6"/>
      <c r="G183" s="6"/>
    </row>
    <row r="184" spans="1:7" ht="13">
      <c r="A184" s="6"/>
      <c r="B184" s="6"/>
      <c r="C184" s="6"/>
      <c r="D184" s="6"/>
      <c r="E184" s="52"/>
      <c r="F184" s="6"/>
      <c r="G184" s="6"/>
    </row>
    <row r="185" spans="1:7" ht="13">
      <c r="A185" s="6"/>
      <c r="B185" s="6"/>
      <c r="C185" s="6"/>
      <c r="D185" s="6"/>
      <c r="E185" s="52"/>
      <c r="F185" s="6"/>
      <c r="G185" s="6"/>
    </row>
    <row r="186" spans="1:7" ht="13">
      <c r="A186" s="6"/>
      <c r="B186" s="6"/>
      <c r="C186" s="6"/>
      <c r="D186" s="6"/>
      <c r="E186" s="52"/>
      <c r="F186" s="6"/>
      <c r="G186" s="6"/>
    </row>
    <row r="187" spans="1:7" ht="13">
      <c r="A187" s="6"/>
      <c r="B187" s="6"/>
      <c r="C187" s="6"/>
      <c r="D187" s="6"/>
      <c r="E187" s="52"/>
      <c r="F187" s="6"/>
      <c r="G187" s="6"/>
    </row>
    <row r="188" spans="1:7" ht="13">
      <c r="A188" s="6"/>
      <c r="B188" s="6"/>
      <c r="C188" s="6"/>
      <c r="D188" s="6"/>
      <c r="E188" s="52"/>
      <c r="F188" s="6"/>
      <c r="G188" s="6"/>
    </row>
    <row r="189" spans="1:7" ht="13">
      <c r="A189" s="6"/>
      <c r="B189" s="6"/>
      <c r="C189" s="6"/>
      <c r="D189" s="6"/>
      <c r="E189" s="52"/>
      <c r="F189" s="6"/>
      <c r="G189" s="6"/>
    </row>
    <row r="190" spans="1:7" ht="13">
      <c r="A190" s="6"/>
      <c r="B190" s="6"/>
      <c r="C190" s="6"/>
      <c r="D190" s="6"/>
      <c r="E190" s="52"/>
      <c r="F190" s="6"/>
      <c r="G190" s="6"/>
    </row>
    <row r="191" spans="1:7" ht="13">
      <c r="A191" s="6"/>
      <c r="B191" s="6"/>
      <c r="C191" s="6"/>
      <c r="D191" s="6"/>
      <c r="E191" s="52"/>
      <c r="F191" s="6"/>
      <c r="G191" s="6"/>
    </row>
    <row r="192" spans="1:7" ht="13">
      <c r="A192" s="6"/>
      <c r="B192" s="6"/>
      <c r="C192" s="6"/>
      <c r="D192" s="6"/>
      <c r="E192" s="52"/>
      <c r="F192" s="6"/>
      <c r="G192" s="6"/>
    </row>
    <row r="193" spans="1:7" ht="13">
      <c r="A193" s="6"/>
      <c r="B193" s="6"/>
      <c r="C193" s="6"/>
      <c r="D193" s="6"/>
      <c r="E193" s="52"/>
      <c r="F193" s="6"/>
      <c r="G193" s="6"/>
    </row>
    <row r="194" spans="1:7" ht="13">
      <c r="A194" s="6"/>
      <c r="B194" s="6"/>
      <c r="C194" s="6"/>
      <c r="D194" s="6"/>
      <c r="E194" s="52"/>
      <c r="F194" s="6"/>
      <c r="G194" s="6"/>
    </row>
    <row r="195" spans="1:7" ht="13">
      <c r="A195" s="6"/>
      <c r="B195" s="6"/>
      <c r="C195" s="6"/>
      <c r="D195" s="6"/>
      <c r="E195" s="52"/>
      <c r="F195" s="6"/>
      <c r="G195" s="6"/>
    </row>
    <row r="196" spans="1:7" ht="13">
      <c r="A196" s="6"/>
      <c r="B196" s="6"/>
      <c r="C196" s="6"/>
      <c r="D196" s="6"/>
      <c r="E196" s="52"/>
      <c r="F196" s="6"/>
      <c r="G196" s="6"/>
    </row>
    <row r="197" spans="1:7" ht="13">
      <c r="A197" s="6"/>
      <c r="B197" s="6"/>
      <c r="C197" s="6"/>
      <c r="D197" s="6"/>
      <c r="E197" s="52"/>
      <c r="F197" s="6"/>
      <c r="G197" s="6"/>
    </row>
    <row r="198" spans="1:7" ht="13">
      <c r="A198" s="6"/>
      <c r="B198" s="6"/>
      <c r="C198" s="6"/>
      <c r="D198" s="6"/>
      <c r="E198" s="52"/>
      <c r="F198" s="6"/>
      <c r="G198" s="6"/>
    </row>
    <row r="199" spans="1:7" ht="13">
      <c r="A199" s="6"/>
      <c r="B199" s="6"/>
      <c r="C199" s="6"/>
      <c r="D199" s="6"/>
      <c r="E199" s="52"/>
      <c r="F199" s="6"/>
      <c r="G199" s="6"/>
    </row>
    <row r="200" spans="1:7" ht="13">
      <c r="A200" s="6"/>
      <c r="B200" s="6"/>
      <c r="C200" s="6"/>
      <c r="D200" s="6"/>
      <c r="E200" s="52"/>
      <c r="F200" s="6"/>
      <c r="G200" s="6"/>
    </row>
    <row r="201" spans="1:7" ht="13">
      <c r="A201" s="6"/>
      <c r="B201" s="6"/>
      <c r="C201" s="6"/>
      <c r="D201" s="6"/>
      <c r="E201" s="52"/>
      <c r="F201" s="6"/>
      <c r="G201" s="6"/>
    </row>
    <row r="202" spans="1:7" ht="13">
      <c r="A202" s="6"/>
      <c r="B202" s="6"/>
      <c r="C202" s="6"/>
      <c r="D202" s="6"/>
      <c r="E202" s="52"/>
      <c r="F202" s="6"/>
      <c r="G202" s="6"/>
    </row>
    <row r="203" spans="1:7" ht="13">
      <c r="A203" s="6"/>
      <c r="B203" s="6"/>
      <c r="C203" s="60"/>
      <c r="D203" s="6"/>
      <c r="E203" s="52"/>
      <c r="F203" s="60"/>
      <c r="G203" s="6"/>
    </row>
    <row r="204" spans="1:7" ht="13">
      <c r="A204" s="6"/>
      <c r="B204" s="6"/>
      <c r="C204" s="60"/>
      <c r="D204" s="6"/>
      <c r="E204" s="52"/>
      <c r="F204" s="60"/>
      <c r="G204" s="6"/>
    </row>
    <row r="205" spans="1:7" ht="13">
      <c r="A205" s="6"/>
      <c r="B205" s="6"/>
      <c r="C205" s="6"/>
      <c r="D205" s="6"/>
      <c r="E205" s="52"/>
      <c r="F205" s="6"/>
      <c r="G205" s="6"/>
    </row>
    <row r="206" spans="1:7" ht="13">
      <c r="A206" s="6"/>
      <c r="B206" s="6"/>
      <c r="C206" s="6"/>
      <c r="D206" s="6"/>
      <c r="E206" s="52"/>
      <c r="F206" s="6"/>
      <c r="G206" s="6"/>
    </row>
    <row r="207" spans="1:7" ht="13">
      <c r="A207" s="6"/>
      <c r="B207" s="6"/>
      <c r="C207" s="6"/>
      <c r="D207" s="6"/>
      <c r="E207" s="52"/>
      <c r="F207" s="6"/>
      <c r="G207" s="6"/>
    </row>
    <row r="208" spans="1:7" ht="13">
      <c r="A208" s="6"/>
      <c r="B208" s="6"/>
      <c r="C208" s="6"/>
      <c r="D208" s="6"/>
      <c r="E208" s="52"/>
      <c r="F208" s="6"/>
      <c r="G208" s="6"/>
    </row>
    <row r="209" spans="1:7" ht="13">
      <c r="A209" s="6"/>
      <c r="B209" s="6"/>
      <c r="C209" s="6"/>
      <c r="D209" s="6"/>
      <c r="E209" s="52"/>
      <c r="F209" s="6"/>
      <c r="G209" s="6"/>
    </row>
    <row r="210" spans="1:7" ht="13">
      <c r="A210" s="6"/>
      <c r="B210" s="6"/>
      <c r="C210" s="6"/>
      <c r="D210" s="6"/>
      <c r="E210" s="52"/>
      <c r="F210" s="6"/>
      <c r="G210" s="6"/>
    </row>
    <row r="211" spans="1:7" ht="13">
      <c r="A211" s="6"/>
      <c r="B211" s="6"/>
      <c r="C211" s="6"/>
      <c r="D211" s="6"/>
      <c r="E211" s="52"/>
      <c r="F211" s="6"/>
      <c r="G211" s="6"/>
    </row>
    <row r="212" spans="1:7" ht="13">
      <c r="A212" s="6"/>
      <c r="B212" s="6"/>
      <c r="C212" s="6"/>
      <c r="D212" s="6"/>
      <c r="E212" s="52"/>
      <c r="F212" s="6"/>
      <c r="G212" s="6"/>
    </row>
    <row r="213" spans="1:7" ht="13">
      <c r="A213" s="6"/>
      <c r="B213" s="6"/>
      <c r="C213" s="6"/>
      <c r="D213" s="6"/>
      <c r="E213" s="52"/>
      <c r="F213" s="6"/>
      <c r="G213" s="6"/>
    </row>
    <row r="214" spans="1:7" ht="13">
      <c r="A214" s="6"/>
      <c r="B214" s="6"/>
      <c r="C214" s="6"/>
      <c r="D214" s="6"/>
      <c r="E214" s="52"/>
      <c r="F214" s="6"/>
      <c r="G214" s="6"/>
    </row>
    <row r="215" spans="1:7" ht="13">
      <c r="A215" s="6"/>
      <c r="B215" s="6"/>
      <c r="C215" s="6"/>
      <c r="D215" s="6"/>
      <c r="E215" s="52"/>
      <c r="F215" s="6"/>
      <c r="G215" s="6"/>
    </row>
    <row r="216" spans="1:7" ht="13">
      <c r="A216" s="6"/>
      <c r="B216" s="6"/>
      <c r="C216" s="6"/>
      <c r="D216" s="6"/>
      <c r="E216" s="52"/>
      <c r="F216" s="6"/>
      <c r="G216" s="6"/>
    </row>
    <row r="217" spans="1:7" ht="13">
      <c r="A217" s="6"/>
      <c r="B217" s="6"/>
      <c r="C217" s="6"/>
      <c r="D217" s="6"/>
      <c r="E217" s="52"/>
      <c r="F217" s="6"/>
      <c r="G217" s="6"/>
    </row>
    <row r="218" spans="1:7" ht="13">
      <c r="A218" s="6"/>
      <c r="B218" s="6"/>
      <c r="C218" s="6"/>
      <c r="D218" s="6"/>
      <c r="E218" s="52"/>
      <c r="F218" s="6"/>
      <c r="G218" s="6"/>
    </row>
    <row r="219" spans="1:7" ht="13">
      <c r="A219" s="6"/>
      <c r="B219" s="6"/>
      <c r="C219" s="6"/>
      <c r="D219" s="6"/>
      <c r="E219" s="52"/>
      <c r="F219" s="6"/>
      <c r="G219" s="6"/>
    </row>
    <row r="220" spans="1:7" ht="13">
      <c r="A220" s="6"/>
      <c r="B220" s="6"/>
      <c r="C220" s="6"/>
      <c r="D220" s="6"/>
      <c r="E220" s="52"/>
      <c r="F220" s="6"/>
      <c r="G220" s="6"/>
    </row>
    <row r="221" spans="1:7" ht="13">
      <c r="A221" s="6"/>
      <c r="B221" s="6"/>
      <c r="C221" s="6"/>
      <c r="D221" s="6"/>
      <c r="E221" s="52"/>
      <c r="F221" s="6"/>
      <c r="G221" s="6"/>
    </row>
    <row r="222" spans="1:7" ht="13">
      <c r="A222" s="6"/>
      <c r="B222" s="6"/>
      <c r="C222" s="6"/>
      <c r="D222" s="6"/>
      <c r="E222" s="52"/>
      <c r="F222" s="6"/>
      <c r="G222" s="6"/>
    </row>
    <row r="223" spans="1:7" ht="13">
      <c r="A223" s="6"/>
      <c r="B223" s="6"/>
      <c r="C223" s="6"/>
      <c r="D223" s="6"/>
      <c r="E223" s="52"/>
      <c r="F223" s="6"/>
      <c r="G223" s="6"/>
    </row>
    <row r="224" spans="1:7" ht="13">
      <c r="A224" s="6"/>
      <c r="B224" s="6"/>
      <c r="C224" s="6"/>
      <c r="D224" s="6"/>
      <c r="E224" s="52"/>
      <c r="F224" s="6"/>
      <c r="G224" s="6"/>
    </row>
    <row r="225" spans="1:7" ht="13">
      <c r="A225" s="6"/>
      <c r="B225" s="6"/>
      <c r="C225" s="6"/>
      <c r="D225" s="6"/>
      <c r="E225" s="52"/>
      <c r="F225" s="6"/>
      <c r="G225" s="6"/>
    </row>
    <row r="226" spans="1:7" ht="13">
      <c r="A226" s="6"/>
      <c r="B226" s="6"/>
      <c r="C226" s="6"/>
      <c r="D226" s="6"/>
      <c r="E226" s="52"/>
      <c r="F226" s="6"/>
      <c r="G226" s="6"/>
    </row>
    <row r="227" spans="1:7" ht="13">
      <c r="A227" s="6"/>
      <c r="B227" s="6"/>
      <c r="C227" s="6"/>
      <c r="D227" s="6"/>
      <c r="E227" s="52"/>
      <c r="F227" s="6"/>
      <c r="G227" s="6"/>
    </row>
    <row r="228" spans="1:7" ht="13">
      <c r="A228" s="6"/>
      <c r="B228" s="6"/>
      <c r="C228" s="6"/>
      <c r="D228" s="6"/>
      <c r="E228" s="52"/>
      <c r="F228" s="6"/>
      <c r="G228" s="6"/>
    </row>
    <row r="229" spans="1:7" ht="13">
      <c r="A229" s="6"/>
      <c r="B229" s="6"/>
      <c r="C229" s="6"/>
      <c r="D229" s="6"/>
      <c r="E229" s="52"/>
      <c r="F229" s="6"/>
      <c r="G229" s="6"/>
    </row>
    <row r="230" spans="1:7" ht="13">
      <c r="A230" s="6"/>
      <c r="B230" s="6"/>
      <c r="C230" s="6"/>
      <c r="D230" s="6"/>
      <c r="E230" s="52"/>
      <c r="F230" s="6"/>
      <c r="G230" s="6"/>
    </row>
    <row r="231" spans="1:7" ht="13">
      <c r="A231" s="6"/>
      <c r="B231" s="6"/>
      <c r="C231" s="6"/>
      <c r="D231" s="6"/>
      <c r="E231" s="52"/>
      <c r="F231" s="6"/>
      <c r="G231" s="6"/>
    </row>
    <row r="232" spans="1:7" ht="13">
      <c r="A232" s="6"/>
      <c r="B232" s="6"/>
      <c r="C232" s="6"/>
      <c r="D232" s="6"/>
      <c r="E232" s="52"/>
      <c r="F232" s="6"/>
      <c r="G232" s="6"/>
    </row>
    <row r="233" spans="1:7" ht="13">
      <c r="A233" s="6"/>
      <c r="B233" s="6"/>
      <c r="C233" s="6"/>
      <c r="D233" s="6"/>
      <c r="E233" s="52"/>
      <c r="F233" s="6"/>
      <c r="G233" s="6"/>
    </row>
    <row r="234" spans="1:7" ht="13">
      <c r="A234" s="6"/>
      <c r="B234" s="6"/>
      <c r="C234" s="6"/>
      <c r="D234" s="6"/>
      <c r="E234" s="52"/>
      <c r="F234" s="6"/>
      <c r="G234" s="6"/>
    </row>
    <row r="235" spans="1:7" ht="13">
      <c r="A235" s="6"/>
      <c r="B235" s="6"/>
      <c r="C235" s="6"/>
      <c r="D235" s="6"/>
      <c r="E235" s="52"/>
      <c r="F235" s="6"/>
      <c r="G235" s="6"/>
    </row>
    <row r="236" spans="1:7" ht="13">
      <c r="A236" s="6"/>
      <c r="B236" s="6"/>
      <c r="C236" s="6"/>
      <c r="D236" s="6"/>
      <c r="E236" s="52"/>
      <c r="F236" s="6"/>
      <c r="G236" s="6"/>
    </row>
    <row r="237" spans="1:7" ht="13">
      <c r="A237" s="6"/>
      <c r="B237" s="6"/>
      <c r="C237" s="6"/>
      <c r="D237" s="6"/>
      <c r="E237" s="52"/>
      <c r="F237" s="6"/>
      <c r="G237" s="6"/>
    </row>
    <row r="238" spans="1:7" ht="13">
      <c r="A238" s="6"/>
      <c r="B238" s="6"/>
      <c r="C238" s="6"/>
      <c r="D238" s="6"/>
      <c r="E238" s="52"/>
      <c r="F238" s="6"/>
      <c r="G238" s="6"/>
    </row>
    <row r="239" spans="1:7" ht="13">
      <c r="A239" s="6"/>
      <c r="B239" s="6"/>
      <c r="C239" s="6"/>
      <c r="D239" s="6"/>
      <c r="E239" s="52"/>
      <c r="F239" s="6"/>
      <c r="G239" s="6"/>
    </row>
    <row r="240" spans="1:7" ht="13">
      <c r="A240" s="6"/>
      <c r="B240" s="6"/>
      <c r="C240" s="6"/>
      <c r="D240" s="6"/>
      <c r="E240" s="52"/>
      <c r="F240" s="6"/>
      <c r="G240" s="6"/>
    </row>
    <row r="241" spans="1:7" ht="13">
      <c r="A241" s="6"/>
      <c r="B241" s="6"/>
      <c r="C241" s="6"/>
      <c r="D241" s="6"/>
      <c r="E241" s="52"/>
      <c r="F241" s="6"/>
      <c r="G241" s="6"/>
    </row>
    <row r="242" spans="1:7" ht="13">
      <c r="A242" s="6"/>
      <c r="B242" s="6"/>
      <c r="C242" s="6"/>
      <c r="D242" s="6"/>
      <c r="E242" s="52"/>
      <c r="F242" s="6"/>
      <c r="G242" s="6"/>
    </row>
    <row r="243" spans="1:7" ht="13">
      <c r="A243" s="6"/>
      <c r="B243" s="6"/>
      <c r="C243" s="6"/>
      <c r="D243" s="6"/>
      <c r="E243" s="52"/>
      <c r="F243" s="6"/>
      <c r="G243" s="6"/>
    </row>
    <row r="244" spans="1:7" ht="13">
      <c r="A244" s="6"/>
      <c r="B244" s="6"/>
      <c r="C244" s="6"/>
      <c r="D244" s="6"/>
      <c r="E244" s="52"/>
      <c r="F244" s="6"/>
      <c r="G244" s="6"/>
    </row>
    <row r="245" spans="1:7" ht="13">
      <c r="A245" s="6"/>
      <c r="B245" s="6"/>
      <c r="C245" s="6"/>
      <c r="D245" s="6"/>
      <c r="E245" s="52"/>
      <c r="F245" s="6"/>
      <c r="G245" s="6"/>
    </row>
    <row r="246" spans="1:7" ht="13">
      <c r="A246" s="6"/>
      <c r="B246" s="6"/>
      <c r="C246" s="6"/>
      <c r="D246" s="6"/>
      <c r="E246" s="52"/>
      <c r="F246" s="6"/>
      <c r="G246" s="6"/>
    </row>
    <row r="247" spans="1:7" ht="13">
      <c r="A247" s="6"/>
      <c r="B247" s="6"/>
      <c r="C247" s="6"/>
      <c r="D247" s="6"/>
      <c r="E247" s="52"/>
      <c r="F247" s="6"/>
      <c r="G247" s="6"/>
    </row>
    <row r="248" spans="1:7" ht="13">
      <c r="A248" s="6"/>
      <c r="B248" s="6"/>
      <c r="C248" s="6"/>
      <c r="D248" s="6"/>
      <c r="E248" s="52"/>
      <c r="F248" s="6"/>
      <c r="G248" s="6"/>
    </row>
    <row r="249" spans="1:7" ht="13">
      <c r="A249" s="6"/>
      <c r="B249" s="6"/>
      <c r="C249" s="6"/>
      <c r="D249" s="6"/>
      <c r="E249" s="52"/>
      <c r="F249" s="6"/>
      <c r="G249" s="6"/>
    </row>
    <row r="250" spans="1:7" ht="13">
      <c r="A250" s="6"/>
      <c r="B250" s="6"/>
      <c r="C250" s="6"/>
      <c r="D250" s="6"/>
      <c r="E250" s="52"/>
      <c r="F250" s="6"/>
      <c r="G250" s="6"/>
    </row>
    <row r="251" spans="1:7" ht="13">
      <c r="A251" s="6"/>
      <c r="B251" s="6"/>
      <c r="C251" s="6"/>
      <c r="D251" s="6"/>
      <c r="E251" s="52"/>
      <c r="F251" s="6"/>
      <c r="G251" s="6"/>
    </row>
    <row r="252" spans="1:7" ht="13">
      <c r="A252" s="6"/>
      <c r="B252" s="6"/>
      <c r="C252" s="6"/>
      <c r="D252" s="6"/>
      <c r="E252" s="52"/>
      <c r="F252" s="6"/>
      <c r="G252" s="6"/>
    </row>
    <row r="253" spans="1:7" ht="13">
      <c r="A253" s="6"/>
      <c r="B253" s="6"/>
      <c r="C253" s="6"/>
      <c r="D253" s="6"/>
      <c r="E253" s="52"/>
      <c r="F253" s="6"/>
      <c r="G253" s="6"/>
    </row>
    <row r="254" spans="1:7" ht="13">
      <c r="A254" s="6"/>
      <c r="B254" s="6"/>
      <c r="C254" s="6"/>
      <c r="D254" s="6"/>
      <c r="E254" s="52"/>
      <c r="F254" s="6"/>
      <c r="G254" s="6"/>
    </row>
    <row r="255" spans="1:7" ht="13">
      <c r="A255" s="6"/>
      <c r="B255" s="6"/>
      <c r="C255" s="6"/>
      <c r="D255" s="6"/>
      <c r="E255" s="52"/>
      <c r="F255" s="6"/>
      <c r="G255" s="6"/>
    </row>
    <row r="256" spans="1:7" ht="13">
      <c r="A256" s="6"/>
      <c r="B256" s="6"/>
      <c r="C256" s="6"/>
      <c r="D256" s="6"/>
      <c r="E256" s="52"/>
      <c r="F256" s="6"/>
      <c r="G256" s="6"/>
    </row>
    <row r="257" spans="1:7" ht="13">
      <c r="A257" s="6"/>
      <c r="B257" s="6"/>
      <c r="C257" s="6"/>
      <c r="D257" s="6"/>
      <c r="E257" s="52"/>
      <c r="F257" s="6"/>
      <c r="G257" s="6"/>
    </row>
    <row r="258" spans="1:7" ht="13">
      <c r="A258" s="6"/>
      <c r="B258" s="6"/>
      <c r="C258" s="6"/>
      <c r="D258" s="6"/>
      <c r="E258" s="52"/>
      <c r="F258" s="6"/>
      <c r="G258" s="6"/>
    </row>
    <row r="259" spans="1:7" ht="13">
      <c r="A259" s="6"/>
      <c r="B259" s="6"/>
      <c r="C259" s="6"/>
      <c r="D259" s="6"/>
      <c r="E259" s="52"/>
      <c r="F259" s="6"/>
      <c r="G259" s="6"/>
    </row>
    <row r="260" spans="1:7" ht="13">
      <c r="A260" s="6"/>
      <c r="B260" s="6"/>
      <c r="C260" s="6"/>
      <c r="D260" s="6"/>
      <c r="E260" s="52"/>
      <c r="F260" s="6"/>
      <c r="G260" s="6"/>
    </row>
    <row r="261" spans="1:7" ht="13">
      <c r="A261" s="6"/>
      <c r="B261" s="6"/>
      <c r="C261" s="6"/>
      <c r="D261" s="6"/>
      <c r="E261" s="52"/>
      <c r="F261" s="6"/>
      <c r="G261" s="6"/>
    </row>
    <row r="262" spans="1:7" ht="13">
      <c r="A262" s="6"/>
      <c r="B262" s="6"/>
      <c r="C262" s="6"/>
      <c r="D262" s="6"/>
      <c r="E262" s="52"/>
      <c r="F262" s="6"/>
      <c r="G262" s="6"/>
    </row>
    <row r="263" spans="1:7" ht="13">
      <c r="A263" s="6"/>
      <c r="B263" s="6"/>
      <c r="C263" s="6"/>
      <c r="D263" s="6"/>
      <c r="E263" s="52"/>
      <c r="F263" s="6"/>
      <c r="G263" s="6"/>
    </row>
    <row r="264" spans="1:7" ht="13">
      <c r="A264" s="6"/>
      <c r="B264" s="6"/>
      <c r="C264" s="6"/>
      <c r="D264" s="6"/>
      <c r="E264" s="52"/>
      <c r="F264" s="6"/>
      <c r="G264" s="6"/>
    </row>
    <row r="265" spans="1:7" ht="13">
      <c r="A265" s="6"/>
      <c r="B265" s="6"/>
      <c r="C265" s="6"/>
      <c r="D265" s="6"/>
      <c r="E265" s="52"/>
      <c r="F265" s="6"/>
      <c r="G265" s="6"/>
    </row>
    <row r="266" spans="1:7" ht="13">
      <c r="A266" s="6"/>
      <c r="B266" s="6"/>
      <c r="C266" s="6"/>
      <c r="D266" s="6"/>
      <c r="E266" s="52"/>
      <c r="F266" s="6"/>
      <c r="G266" s="6"/>
    </row>
    <row r="267" spans="1:7" ht="13">
      <c r="A267" s="6"/>
      <c r="B267" s="6"/>
      <c r="C267" s="6"/>
      <c r="D267" s="6"/>
      <c r="E267" s="52"/>
      <c r="F267" s="6"/>
      <c r="G267" s="6"/>
    </row>
    <row r="268" spans="1:7" ht="13">
      <c r="A268" s="6"/>
      <c r="B268" s="6"/>
      <c r="C268" s="6"/>
      <c r="D268" s="6"/>
      <c r="E268" s="52"/>
      <c r="F268" s="6"/>
      <c r="G268" s="6"/>
    </row>
    <row r="269" spans="1:7" ht="13">
      <c r="A269" s="6"/>
      <c r="B269" s="6"/>
      <c r="C269" s="6"/>
      <c r="D269" s="6"/>
      <c r="E269" s="52"/>
      <c r="F269" s="6"/>
      <c r="G269" s="6"/>
    </row>
    <row r="270" spans="1:7" ht="13">
      <c r="A270" s="6"/>
      <c r="B270" s="6"/>
      <c r="C270" s="6"/>
      <c r="D270" s="6"/>
      <c r="E270" s="52"/>
      <c r="F270" s="6"/>
      <c r="G270" s="6"/>
    </row>
    <row r="271" spans="1:7" ht="13">
      <c r="A271" s="6"/>
      <c r="B271" s="6"/>
      <c r="C271" s="6"/>
      <c r="D271" s="6"/>
      <c r="E271" s="52"/>
      <c r="F271" s="6"/>
      <c r="G271" s="6"/>
    </row>
    <row r="272" spans="1:7" ht="13">
      <c r="A272" s="6"/>
      <c r="B272" s="6"/>
      <c r="C272" s="6"/>
      <c r="D272" s="6"/>
      <c r="E272" s="52"/>
      <c r="F272" s="6"/>
      <c r="G272" s="6"/>
    </row>
    <row r="273" spans="1:7" ht="13">
      <c r="A273" s="6"/>
      <c r="B273" s="6"/>
      <c r="C273" s="6"/>
      <c r="D273" s="6"/>
      <c r="E273" s="52"/>
      <c r="F273" s="6"/>
      <c r="G273" s="6"/>
    </row>
    <row r="274" spans="1:7" ht="13">
      <c r="A274" s="6"/>
      <c r="B274" s="6"/>
      <c r="C274" s="6"/>
      <c r="D274" s="6"/>
      <c r="E274" s="52"/>
      <c r="F274" s="6"/>
      <c r="G274" s="6"/>
    </row>
    <row r="275" spans="1:7" ht="13">
      <c r="A275" s="6"/>
      <c r="B275" s="6"/>
      <c r="C275" s="6"/>
      <c r="D275" s="6"/>
      <c r="E275" s="52"/>
      <c r="F275" s="6"/>
      <c r="G275" s="6"/>
    </row>
    <row r="276" spans="1:7" ht="13">
      <c r="A276" s="6"/>
      <c r="B276" s="6"/>
      <c r="C276" s="6"/>
      <c r="D276" s="6"/>
      <c r="E276" s="52"/>
      <c r="F276" s="6"/>
      <c r="G276" s="6"/>
    </row>
    <row r="277" spans="1:7" ht="13">
      <c r="A277" s="6"/>
      <c r="B277" s="6"/>
      <c r="C277" s="6"/>
      <c r="D277" s="6"/>
      <c r="E277" s="52"/>
      <c r="F277" s="6"/>
      <c r="G277" s="6"/>
    </row>
    <row r="278" spans="1:7" ht="13">
      <c r="A278" s="6"/>
      <c r="B278" s="6"/>
      <c r="C278" s="6"/>
      <c r="D278" s="6"/>
      <c r="E278" s="52"/>
      <c r="F278" s="6"/>
      <c r="G278" s="6"/>
    </row>
    <row r="279" spans="1:7" ht="13">
      <c r="A279" s="6"/>
      <c r="B279" s="6"/>
      <c r="C279" s="6"/>
      <c r="D279" s="6"/>
      <c r="E279" s="52"/>
      <c r="F279" s="6"/>
      <c r="G279" s="6"/>
    </row>
    <row r="280" spans="1:7" ht="13">
      <c r="A280" s="6"/>
      <c r="B280" s="6"/>
      <c r="C280" s="6"/>
      <c r="D280" s="6"/>
      <c r="E280" s="52"/>
      <c r="F280" s="6"/>
      <c r="G280" s="6"/>
    </row>
    <row r="281" spans="1:7" ht="13">
      <c r="A281" s="6"/>
      <c r="B281" s="6"/>
      <c r="C281" s="6"/>
      <c r="D281" s="6"/>
      <c r="E281" s="52"/>
      <c r="F281" s="6"/>
      <c r="G281" s="6"/>
    </row>
    <row r="282" spans="1:7" ht="13">
      <c r="A282" s="6"/>
      <c r="B282" s="6"/>
      <c r="C282" s="6"/>
      <c r="D282" s="6"/>
      <c r="E282" s="52"/>
      <c r="F282" s="6"/>
      <c r="G282" s="6"/>
    </row>
    <row r="283" spans="1:7" ht="13">
      <c r="A283" s="6"/>
      <c r="B283" s="6"/>
      <c r="C283" s="6"/>
      <c r="D283" s="6"/>
      <c r="E283" s="52"/>
      <c r="F283" s="6"/>
      <c r="G283" s="6"/>
    </row>
    <row r="284" spans="1:7" ht="13">
      <c r="A284" s="6"/>
      <c r="B284" s="6"/>
      <c r="C284" s="6"/>
      <c r="D284" s="6"/>
      <c r="E284" s="52"/>
      <c r="F284" s="6"/>
      <c r="G284" s="6"/>
    </row>
    <row r="285" spans="1:7" ht="13">
      <c r="A285" s="6"/>
      <c r="B285" s="6"/>
      <c r="C285" s="6"/>
      <c r="D285" s="6"/>
      <c r="E285" s="52"/>
      <c r="F285" s="6"/>
      <c r="G285" s="6"/>
    </row>
    <row r="286" spans="1:7" ht="13">
      <c r="A286" s="6"/>
      <c r="B286" s="6"/>
      <c r="C286" s="6"/>
      <c r="D286" s="6"/>
      <c r="E286" s="52"/>
      <c r="F286" s="6"/>
      <c r="G286" s="6"/>
    </row>
    <row r="287" spans="1:7" ht="13">
      <c r="A287" s="6"/>
      <c r="B287" s="6"/>
      <c r="C287" s="60"/>
      <c r="D287" s="6"/>
      <c r="E287" s="52"/>
      <c r="F287" s="60"/>
      <c r="G287" s="6"/>
    </row>
    <row r="288" spans="1:7" ht="13">
      <c r="A288" s="6"/>
      <c r="B288" s="6"/>
      <c r="C288" s="60"/>
      <c r="D288" s="6"/>
      <c r="E288" s="52"/>
      <c r="F288" s="60"/>
      <c r="G288" s="6"/>
    </row>
    <row r="289" spans="1:7" ht="13">
      <c r="A289" s="6"/>
      <c r="B289" s="6"/>
      <c r="C289" s="6"/>
      <c r="D289" s="6"/>
      <c r="E289" s="52"/>
      <c r="F289" s="6"/>
      <c r="G289" s="6"/>
    </row>
    <row r="290" spans="1:7" ht="13">
      <c r="A290" s="6"/>
      <c r="B290" s="6"/>
      <c r="C290" s="6"/>
      <c r="D290" s="6"/>
      <c r="E290" s="52"/>
      <c r="F290" s="6"/>
      <c r="G290" s="6"/>
    </row>
    <row r="291" spans="1:7" ht="13">
      <c r="A291" s="6"/>
      <c r="B291" s="6"/>
      <c r="C291" s="6"/>
      <c r="D291" s="6"/>
      <c r="E291" s="52"/>
      <c r="F291" s="6"/>
      <c r="G291" s="6"/>
    </row>
    <row r="292" spans="1:7" ht="13">
      <c r="A292" s="6"/>
      <c r="B292" s="6"/>
      <c r="C292" s="6"/>
      <c r="D292" s="6"/>
      <c r="E292" s="52"/>
      <c r="F292" s="6"/>
      <c r="G292" s="6"/>
    </row>
    <row r="293" spans="1:7" ht="13">
      <c r="A293" s="6"/>
      <c r="B293" s="6"/>
      <c r="C293" s="6"/>
      <c r="D293" s="6"/>
      <c r="E293" s="52"/>
      <c r="F293" s="6"/>
      <c r="G293" s="6"/>
    </row>
    <row r="294" spans="1:7" ht="13">
      <c r="A294" s="6"/>
      <c r="B294" s="6"/>
      <c r="C294" s="6"/>
      <c r="D294" s="6"/>
      <c r="E294" s="52"/>
      <c r="F294" s="6"/>
      <c r="G294" s="6"/>
    </row>
    <row r="295" spans="1:7" ht="13">
      <c r="A295" s="6"/>
      <c r="B295" s="6"/>
      <c r="C295" s="6"/>
      <c r="D295" s="6"/>
      <c r="E295" s="52"/>
      <c r="F295" s="6"/>
      <c r="G295" s="6"/>
    </row>
    <row r="296" spans="1:7" ht="13">
      <c r="A296" s="6"/>
      <c r="B296" s="6"/>
      <c r="C296" s="6"/>
      <c r="D296" s="6"/>
      <c r="E296" s="52"/>
      <c r="F296" s="6"/>
      <c r="G296" s="6"/>
    </row>
    <row r="297" spans="1:7" ht="13">
      <c r="A297" s="6"/>
      <c r="B297" s="6"/>
      <c r="C297" s="6"/>
      <c r="D297" s="6"/>
      <c r="E297" s="52"/>
      <c r="F297" s="6"/>
      <c r="G297" s="6"/>
    </row>
    <row r="298" spans="1:7" ht="13">
      <c r="A298" s="6"/>
      <c r="B298" s="6"/>
      <c r="C298" s="6"/>
      <c r="D298" s="6"/>
      <c r="E298" s="52"/>
      <c r="F298" s="6"/>
      <c r="G298" s="6"/>
    </row>
    <row r="299" spans="1:7" ht="13">
      <c r="A299" s="6"/>
      <c r="B299" s="6"/>
      <c r="C299" s="6"/>
      <c r="D299" s="6"/>
      <c r="E299" s="52"/>
      <c r="F299" s="6"/>
      <c r="G299" s="6"/>
    </row>
    <row r="300" spans="1:7" ht="13">
      <c r="A300" s="6"/>
      <c r="B300" s="6"/>
      <c r="C300" s="6"/>
      <c r="D300" s="6"/>
      <c r="E300" s="52"/>
      <c r="F300" s="6"/>
      <c r="G300" s="6"/>
    </row>
    <row r="301" spans="1:7" ht="13">
      <c r="A301" s="6"/>
      <c r="B301" s="6"/>
      <c r="C301" s="6"/>
      <c r="D301" s="6"/>
      <c r="E301" s="52"/>
      <c r="F301" s="6"/>
      <c r="G301" s="6"/>
    </row>
    <row r="302" spans="1:7" ht="13">
      <c r="A302" s="6"/>
      <c r="B302" s="6"/>
      <c r="C302" s="6"/>
      <c r="D302" s="6"/>
      <c r="E302" s="52"/>
      <c r="F302" s="6"/>
      <c r="G302" s="6"/>
    </row>
    <row r="303" spans="1:7" ht="13">
      <c r="A303" s="6"/>
      <c r="B303" s="6"/>
      <c r="C303" s="6"/>
      <c r="D303" s="6"/>
      <c r="E303" s="52"/>
      <c r="F303" s="6"/>
      <c r="G303" s="6"/>
    </row>
    <row r="304" spans="1:7" ht="13">
      <c r="A304" s="6"/>
      <c r="B304" s="6"/>
      <c r="C304" s="6"/>
      <c r="D304" s="6"/>
      <c r="E304" s="52"/>
      <c r="F304" s="6"/>
      <c r="G304" s="6"/>
    </row>
    <row r="305" spans="1:7" ht="13">
      <c r="A305" s="6"/>
      <c r="B305" s="6"/>
      <c r="C305" s="6"/>
      <c r="D305" s="6"/>
      <c r="E305" s="52"/>
      <c r="F305" s="6"/>
      <c r="G305" s="6"/>
    </row>
    <row r="306" spans="1:7" ht="13">
      <c r="A306" s="6"/>
      <c r="B306" s="6"/>
      <c r="C306" s="6"/>
      <c r="D306" s="6"/>
      <c r="E306" s="52"/>
      <c r="F306" s="6"/>
      <c r="G306" s="6"/>
    </row>
    <row r="307" spans="1:7" ht="13">
      <c r="A307" s="6"/>
      <c r="B307" s="6"/>
      <c r="C307" s="6"/>
      <c r="D307" s="6"/>
      <c r="E307" s="52"/>
      <c r="F307" s="6"/>
      <c r="G307" s="6"/>
    </row>
    <row r="308" spans="1:7" ht="13">
      <c r="A308" s="6"/>
      <c r="B308" s="6"/>
      <c r="C308" s="6"/>
      <c r="D308" s="6"/>
      <c r="E308" s="52"/>
      <c r="F308" s="60"/>
      <c r="G308" s="6"/>
    </row>
    <row r="309" spans="1:7" ht="13">
      <c r="A309" s="6"/>
      <c r="B309" s="6"/>
      <c r="C309" s="6"/>
      <c r="D309" s="6"/>
      <c r="E309" s="52"/>
      <c r="F309" s="60"/>
      <c r="G309" s="6"/>
    </row>
    <row r="310" spans="1:7" ht="13">
      <c r="A310" s="6"/>
      <c r="B310" s="6"/>
      <c r="C310" s="6"/>
      <c r="D310" s="6"/>
      <c r="E310" s="52"/>
      <c r="F310" s="6"/>
      <c r="G310" s="6"/>
    </row>
    <row r="311" spans="1:7" ht="13">
      <c r="A311" s="6"/>
      <c r="B311" s="6"/>
      <c r="C311" s="6"/>
      <c r="D311" s="6"/>
      <c r="E311" s="52"/>
      <c r="F311" s="6"/>
      <c r="G311" s="6"/>
    </row>
    <row r="312" spans="1:7" ht="13">
      <c r="A312" s="6"/>
      <c r="B312" s="6"/>
      <c r="C312" s="6"/>
      <c r="D312" s="6"/>
      <c r="E312" s="52"/>
      <c r="F312" s="6"/>
      <c r="G312" s="6"/>
    </row>
    <row r="313" spans="1:7" ht="13">
      <c r="A313" s="6"/>
      <c r="B313" s="6"/>
      <c r="C313" s="6"/>
      <c r="D313" s="6"/>
      <c r="E313" s="52"/>
      <c r="F313" s="6"/>
      <c r="G313" s="6"/>
    </row>
    <row r="314" spans="1:7" ht="13">
      <c r="A314" s="6"/>
      <c r="B314" s="6"/>
      <c r="C314" s="6"/>
      <c r="D314" s="6"/>
      <c r="E314" s="52"/>
      <c r="F314" s="6"/>
      <c r="G314" s="6"/>
    </row>
    <row r="315" spans="1:7" ht="13">
      <c r="A315" s="6"/>
      <c r="B315" s="6"/>
      <c r="C315" s="6"/>
      <c r="D315" s="6"/>
      <c r="E315" s="52"/>
      <c r="F315" s="6"/>
      <c r="G315" s="6"/>
    </row>
    <row r="316" spans="1:7" ht="13">
      <c r="A316" s="6"/>
      <c r="B316" s="6"/>
      <c r="C316" s="6"/>
      <c r="D316" s="6"/>
      <c r="E316" s="52"/>
      <c r="F316" s="6"/>
      <c r="G316" s="6"/>
    </row>
    <row r="317" spans="1:7" ht="13">
      <c r="A317" s="6"/>
      <c r="B317" s="6"/>
      <c r="C317" s="6"/>
      <c r="D317" s="6"/>
      <c r="E317" s="52"/>
      <c r="F317" s="6"/>
      <c r="G317" s="6"/>
    </row>
    <row r="318" spans="1:7" ht="13">
      <c r="A318" s="6"/>
      <c r="B318" s="6"/>
      <c r="C318" s="6"/>
      <c r="D318" s="6"/>
      <c r="E318" s="52"/>
      <c r="F318" s="6"/>
      <c r="G318" s="6"/>
    </row>
    <row r="319" spans="1:7" ht="13">
      <c r="A319" s="6"/>
      <c r="B319" s="6"/>
      <c r="C319" s="6"/>
      <c r="D319" s="6"/>
      <c r="E319" s="52"/>
      <c r="F319" s="6"/>
      <c r="G319" s="6"/>
    </row>
    <row r="320" spans="1:7" ht="13">
      <c r="A320" s="6"/>
      <c r="B320" s="6"/>
      <c r="C320" s="6"/>
      <c r="D320" s="6"/>
      <c r="E320" s="52"/>
      <c r="F320" s="6"/>
      <c r="G320" s="6"/>
    </row>
    <row r="321" spans="1:7" ht="13">
      <c r="A321" s="6"/>
      <c r="B321" s="6"/>
      <c r="C321" s="6"/>
      <c r="D321" s="6"/>
      <c r="E321" s="52"/>
      <c r="F321" s="6"/>
      <c r="G321" s="6"/>
    </row>
    <row r="322" spans="1:7" ht="13">
      <c r="A322" s="6"/>
      <c r="B322" s="6"/>
      <c r="C322" s="6"/>
      <c r="D322" s="6"/>
      <c r="E322" s="52"/>
      <c r="F322" s="6"/>
      <c r="G322" s="6"/>
    </row>
    <row r="323" spans="1:7" ht="13">
      <c r="A323" s="6"/>
      <c r="B323" s="6"/>
      <c r="C323" s="6"/>
      <c r="D323" s="6"/>
      <c r="E323" s="52"/>
      <c r="F323" s="6"/>
      <c r="G323" s="6"/>
    </row>
    <row r="324" spans="1:7" ht="13">
      <c r="A324" s="6"/>
      <c r="B324" s="6"/>
      <c r="C324" s="6"/>
      <c r="D324" s="6"/>
      <c r="E324" s="52"/>
      <c r="F324" s="6"/>
      <c r="G324" s="6"/>
    </row>
    <row r="325" spans="1:7" ht="13">
      <c r="A325" s="6"/>
      <c r="B325" s="6"/>
      <c r="C325" s="6"/>
      <c r="D325" s="6"/>
      <c r="E325" s="52"/>
      <c r="F325" s="6"/>
      <c r="G325" s="6"/>
    </row>
    <row r="326" spans="1:7" ht="13">
      <c r="A326" s="6"/>
      <c r="B326" s="6"/>
      <c r="C326" s="6"/>
      <c r="D326" s="6"/>
      <c r="E326" s="52"/>
      <c r="F326" s="6"/>
      <c r="G326" s="6"/>
    </row>
    <row r="327" spans="1:7" ht="13">
      <c r="A327" s="6"/>
      <c r="B327" s="6"/>
      <c r="C327" s="6"/>
      <c r="D327" s="6"/>
      <c r="E327" s="52"/>
      <c r="F327" s="6"/>
      <c r="G327" s="6"/>
    </row>
    <row r="328" spans="1:7" ht="13">
      <c r="A328" s="6"/>
      <c r="B328" s="6"/>
      <c r="C328" s="6"/>
      <c r="D328" s="6"/>
      <c r="E328" s="52"/>
      <c r="F328" s="6"/>
      <c r="G328" s="6"/>
    </row>
    <row r="329" spans="1:7" ht="13">
      <c r="A329" s="6"/>
      <c r="B329" s="6"/>
      <c r="C329" s="6"/>
      <c r="D329" s="6"/>
      <c r="E329" s="52"/>
      <c r="F329" s="6"/>
      <c r="G329" s="6"/>
    </row>
    <row r="330" spans="1:7" ht="13">
      <c r="A330" s="6"/>
      <c r="B330" s="6"/>
      <c r="C330" s="6"/>
      <c r="D330" s="6"/>
      <c r="E330" s="52"/>
      <c r="F330" s="6"/>
      <c r="G330" s="6"/>
    </row>
    <row r="331" spans="1:7" ht="13">
      <c r="A331" s="6"/>
      <c r="B331" s="6"/>
      <c r="C331" s="6"/>
      <c r="D331" s="6"/>
      <c r="E331" s="52"/>
      <c r="F331" s="6"/>
      <c r="G331" s="6"/>
    </row>
    <row r="332" spans="1:7" ht="13">
      <c r="A332" s="6"/>
      <c r="B332" s="6"/>
      <c r="C332" s="6"/>
      <c r="D332" s="6"/>
      <c r="E332" s="52"/>
      <c r="F332" s="6"/>
      <c r="G332" s="6"/>
    </row>
    <row r="333" spans="1:7" ht="13">
      <c r="A333" s="6"/>
      <c r="B333" s="6"/>
      <c r="C333" s="6"/>
      <c r="D333" s="6"/>
      <c r="E333" s="52"/>
      <c r="F333" s="6"/>
      <c r="G333" s="6"/>
    </row>
    <row r="334" spans="1:7" ht="13">
      <c r="A334" s="6"/>
      <c r="B334" s="6"/>
      <c r="C334" s="6"/>
      <c r="D334" s="6"/>
      <c r="E334" s="52"/>
      <c r="F334" s="6"/>
      <c r="G334" s="6"/>
    </row>
    <row r="335" spans="1:7" ht="13">
      <c r="A335" s="6"/>
      <c r="B335" s="6"/>
      <c r="C335" s="6"/>
      <c r="D335" s="6"/>
      <c r="E335" s="52"/>
      <c r="F335" s="6"/>
      <c r="G335" s="6"/>
    </row>
    <row r="336" spans="1:7" ht="13">
      <c r="A336" s="6"/>
      <c r="B336" s="6"/>
      <c r="C336" s="6"/>
      <c r="D336" s="6"/>
      <c r="E336" s="52"/>
      <c r="F336" s="6"/>
      <c r="G336" s="6"/>
    </row>
    <row r="337" spans="1:7" ht="13">
      <c r="A337" s="6"/>
      <c r="B337" s="6"/>
      <c r="C337" s="6"/>
      <c r="D337" s="6"/>
      <c r="E337" s="52"/>
      <c r="F337" s="6"/>
      <c r="G337" s="6"/>
    </row>
    <row r="338" spans="1:7" ht="13">
      <c r="A338" s="6"/>
      <c r="B338" s="6"/>
      <c r="C338" s="6"/>
      <c r="D338" s="6"/>
      <c r="E338" s="52"/>
      <c r="F338" s="6"/>
      <c r="G338" s="6"/>
    </row>
    <row r="339" spans="1:7" ht="13">
      <c r="A339" s="6"/>
      <c r="B339" s="6"/>
      <c r="C339" s="6"/>
      <c r="D339" s="6"/>
      <c r="E339" s="52"/>
      <c r="F339" s="6"/>
      <c r="G339" s="6"/>
    </row>
    <row r="340" spans="1:7" ht="13">
      <c r="A340" s="6"/>
      <c r="B340" s="6"/>
      <c r="C340" s="6"/>
      <c r="D340" s="6"/>
      <c r="E340" s="52"/>
      <c r="F340" s="6"/>
      <c r="G340" s="6"/>
    </row>
    <row r="341" spans="1:7" ht="13">
      <c r="A341" s="6"/>
      <c r="B341" s="6"/>
      <c r="C341" s="6"/>
      <c r="D341" s="6"/>
      <c r="E341" s="52"/>
      <c r="F341" s="6"/>
      <c r="G341" s="6"/>
    </row>
    <row r="342" spans="1:7" ht="13">
      <c r="A342" s="6"/>
      <c r="B342" s="6"/>
      <c r="C342" s="6"/>
      <c r="D342" s="6"/>
      <c r="E342" s="52"/>
      <c r="F342" s="6"/>
      <c r="G342" s="6"/>
    </row>
    <row r="343" spans="1:7" ht="13">
      <c r="A343" s="6"/>
      <c r="B343" s="6"/>
      <c r="C343" s="6"/>
      <c r="D343" s="6"/>
      <c r="E343" s="52"/>
      <c r="F343" s="6"/>
      <c r="G343" s="6"/>
    </row>
    <row r="344" spans="1:7" ht="13">
      <c r="A344" s="6"/>
      <c r="B344" s="6"/>
      <c r="C344" s="6"/>
      <c r="D344" s="6"/>
      <c r="E344" s="52"/>
      <c r="F344" s="6"/>
      <c r="G344" s="6"/>
    </row>
    <row r="345" spans="1:7" ht="13">
      <c r="A345" s="6"/>
      <c r="B345" s="6"/>
      <c r="C345" s="6"/>
      <c r="D345" s="6"/>
      <c r="E345" s="52"/>
      <c r="F345" s="6"/>
      <c r="G345" s="6"/>
    </row>
    <row r="346" spans="1:7" ht="13">
      <c r="A346" s="6"/>
      <c r="B346" s="6"/>
      <c r="C346" s="6"/>
      <c r="D346" s="6"/>
      <c r="E346" s="52"/>
      <c r="F346" s="6"/>
      <c r="G346" s="6"/>
    </row>
    <row r="347" spans="1:7" ht="13">
      <c r="A347" s="6"/>
      <c r="B347" s="6"/>
      <c r="C347" s="6"/>
      <c r="D347" s="6"/>
      <c r="E347" s="52"/>
      <c r="F347" s="6"/>
      <c r="G347" s="6"/>
    </row>
    <row r="348" spans="1:7" ht="13">
      <c r="A348" s="6"/>
      <c r="B348" s="6"/>
      <c r="C348" s="6"/>
      <c r="D348" s="6"/>
      <c r="E348" s="52"/>
      <c r="F348" s="60"/>
      <c r="G348" s="6"/>
    </row>
    <row r="349" spans="1:7" ht="13">
      <c r="A349" s="6"/>
      <c r="B349" s="6"/>
      <c r="C349" s="6"/>
      <c r="D349" s="6"/>
      <c r="E349" s="52"/>
      <c r="F349" s="60"/>
      <c r="G349" s="6"/>
    </row>
    <row r="350" spans="1:7" ht="13">
      <c r="A350" s="6"/>
      <c r="B350" s="6"/>
      <c r="C350" s="6"/>
      <c r="D350" s="6"/>
      <c r="E350" s="52"/>
      <c r="F350" s="6"/>
      <c r="G350" s="6"/>
    </row>
    <row r="351" spans="1:7" ht="13">
      <c r="A351" s="6"/>
      <c r="B351" s="6"/>
      <c r="C351" s="6"/>
      <c r="D351" s="6"/>
      <c r="E351" s="52"/>
      <c r="F351" s="6"/>
      <c r="G351" s="6"/>
    </row>
    <row r="352" spans="1:7" ht="13">
      <c r="A352" s="6"/>
      <c r="B352" s="6"/>
      <c r="C352" s="6"/>
      <c r="D352" s="6"/>
      <c r="E352" s="52"/>
      <c r="F352" s="6"/>
      <c r="G352" s="6"/>
    </row>
    <row r="353" spans="1:7" ht="13">
      <c r="A353" s="6"/>
      <c r="B353" s="6"/>
      <c r="C353" s="60"/>
      <c r="D353" s="6"/>
      <c r="E353" s="52"/>
      <c r="F353" s="60"/>
      <c r="G353" s="6"/>
    </row>
    <row r="354" spans="1:7" ht="13">
      <c r="A354" s="6"/>
      <c r="B354" s="6"/>
      <c r="C354" s="60"/>
      <c r="D354" s="6"/>
      <c r="E354" s="52"/>
      <c r="F354" s="60"/>
      <c r="G354" s="6"/>
    </row>
    <row r="355" spans="1:7" ht="13">
      <c r="A355" s="6"/>
      <c r="B355" s="6"/>
      <c r="C355" s="6"/>
      <c r="D355" s="6"/>
      <c r="E355" s="52"/>
      <c r="F355" s="6"/>
      <c r="G355" s="6"/>
    </row>
    <row r="356" spans="1:7" ht="13">
      <c r="A356" s="6"/>
      <c r="B356" s="6"/>
      <c r="C356" s="6"/>
      <c r="D356" s="6"/>
      <c r="E356" s="52"/>
      <c r="F356" s="6"/>
      <c r="G356" s="6"/>
    </row>
    <row r="357" spans="1:7" ht="13">
      <c r="A357" s="6"/>
      <c r="B357" s="6"/>
      <c r="C357" s="6"/>
      <c r="D357" s="6"/>
      <c r="E357" s="52"/>
      <c r="F357" s="6"/>
      <c r="G357" s="6"/>
    </row>
    <row r="358" spans="1:7" ht="13">
      <c r="A358" s="6"/>
      <c r="B358" s="6"/>
      <c r="C358" s="6"/>
      <c r="D358" s="6"/>
      <c r="E358" s="52"/>
      <c r="F358" s="6"/>
      <c r="G358" s="6"/>
    </row>
    <row r="359" spans="1:7" ht="13">
      <c r="A359" s="6"/>
      <c r="B359" s="6"/>
      <c r="C359" s="6"/>
      <c r="D359" s="6"/>
      <c r="E359" s="52"/>
      <c r="F359" s="6"/>
      <c r="G359" s="6"/>
    </row>
    <row r="360" spans="1:7" ht="13">
      <c r="A360" s="6"/>
      <c r="B360" s="6"/>
      <c r="C360" s="6"/>
      <c r="D360" s="6"/>
      <c r="E360" s="52"/>
      <c r="F360" s="6"/>
      <c r="G360" s="6"/>
    </row>
    <row r="361" spans="1:7" ht="13">
      <c r="A361" s="6"/>
      <c r="B361" s="6"/>
      <c r="C361" s="6"/>
      <c r="D361" s="6"/>
      <c r="E361" s="52"/>
      <c r="F361" s="6"/>
      <c r="G361" s="6"/>
    </row>
    <row r="362" spans="1:7" ht="13">
      <c r="A362" s="6"/>
      <c r="B362" s="6"/>
      <c r="C362" s="6"/>
      <c r="D362" s="6"/>
      <c r="E362" s="52"/>
      <c r="F362" s="6"/>
      <c r="G362" s="6"/>
    </row>
    <row r="363" spans="1:7" ht="13">
      <c r="A363" s="6"/>
      <c r="B363" s="6"/>
      <c r="C363" s="6"/>
      <c r="D363" s="6"/>
      <c r="E363" s="52"/>
      <c r="F363" s="6"/>
      <c r="G363" s="6"/>
    </row>
    <row r="364" spans="1:7" ht="13">
      <c r="A364" s="6"/>
      <c r="B364" s="6"/>
      <c r="C364" s="6"/>
      <c r="D364" s="6"/>
      <c r="E364" s="52"/>
      <c r="F364" s="6"/>
      <c r="G364" s="6"/>
    </row>
    <row r="365" spans="1:7" ht="13">
      <c r="A365" s="6"/>
      <c r="B365" s="6"/>
      <c r="C365" s="6"/>
      <c r="D365" s="6"/>
      <c r="E365" s="52"/>
      <c r="F365" s="6"/>
      <c r="G365" s="6"/>
    </row>
    <row r="366" spans="1:7" ht="13">
      <c r="A366" s="6"/>
      <c r="B366" s="6"/>
      <c r="C366" s="6"/>
      <c r="D366" s="6"/>
      <c r="E366" s="52"/>
      <c r="F366" s="6"/>
      <c r="G366" s="6"/>
    </row>
    <row r="367" spans="1:7" ht="13">
      <c r="A367" s="6"/>
      <c r="B367" s="6"/>
      <c r="C367" s="6"/>
      <c r="D367" s="6"/>
      <c r="E367" s="52"/>
      <c r="F367" s="6"/>
      <c r="G367" s="6"/>
    </row>
    <row r="368" spans="1:7" ht="13">
      <c r="A368" s="6"/>
      <c r="B368" s="6"/>
      <c r="C368" s="6"/>
      <c r="D368" s="6"/>
      <c r="E368" s="52"/>
      <c r="F368" s="6"/>
      <c r="G368" s="6"/>
    </row>
    <row r="369" spans="1:7" ht="13">
      <c r="A369" s="6"/>
      <c r="B369" s="6"/>
      <c r="C369" s="6"/>
      <c r="D369" s="6"/>
      <c r="E369" s="52"/>
      <c r="F369" s="6"/>
      <c r="G369" s="6"/>
    </row>
    <row r="370" spans="1:7" ht="13">
      <c r="A370" s="6"/>
      <c r="B370" s="6"/>
      <c r="C370" s="6"/>
      <c r="D370" s="6"/>
      <c r="E370" s="52"/>
      <c r="F370" s="6"/>
      <c r="G370" s="6"/>
    </row>
    <row r="371" spans="1:7" ht="13">
      <c r="A371" s="6"/>
      <c r="B371" s="6"/>
      <c r="C371" s="6"/>
      <c r="D371" s="6"/>
      <c r="E371" s="52"/>
      <c r="F371" s="6"/>
      <c r="G371" s="6"/>
    </row>
    <row r="372" spans="1:7" ht="13">
      <c r="A372" s="6"/>
      <c r="B372" s="6"/>
      <c r="C372" s="6"/>
      <c r="D372" s="6"/>
      <c r="E372" s="52"/>
      <c r="F372" s="6"/>
      <c r="G372" s="6"/>
    </row>
    <row r="373" spans="1:7" ht="13">
      <c r="A373" s="6"/>
      <c r="B373" s="6"/>
      <c r="C373" s="6"/>
      <c r="D373" s="6"/>
      <c r="E373" s="52"/>
      <c r="F373" s="6"/>
      <c r="G373" s="6"/>
    </row>
    <row r="374" spans="1:7" ht="13">
      <c r="A374" s="6"/>
      <c r="B374" s="6"/>
      <c r="C374" s="6"/>
      <c r="D374" s="6"/>
      <c r="E374" s="52"/>
      <c r="F374" s="6"/>
      <c r="G374" s="6"/>
    </row>
    <row r="375" spans="1:7" ht="13">
      <c r="A375" s="6"/>
      <c r="B375" s="6"/>
      <c r="C375" s="6"/>
      <c r="D375" s="6"/>
      <c r="E375" s="52"/>
      <c r="F375" s="6"/>
      <c r="G375" s="6"/>
    </row>
    <row r="376" spans="1:7" ht="13">
      <c r="A376" s="6"/>
      <c r="B376" s="6"/>
      <c r="C376" s="6"/>
      <c r="D376" s="6"/>
      <c r="E376" s="52"/>
      <c r="F376" s="6"/>
      <c r="G376" s="6"/>
    </row>
    <row r="377" spans="1:7" ht="13">
      <c r="A377" s="6"/>
      <c r="B377" s="6"/>
      <c r="C377" s="6"/>
      <c r="D377" s="6"/>
      <c r="E377" s="52"/>
      <c r="F377" s="6"/>
      <c r="G377" s="6"/>
    </row>
    <row r="378" spans="1:7" ht="13">
      <c r="A378" s="6"/>
      <c r="B378" s="6"/>
      <c r="C378" s="6"/>
      <c r="D378" s="6"/>
      <c r="E378" s="52"/>
      <c r="F378" s="6"/>
      <c r="G378" s="6"/>
    </row>
    <row r="379" spans="1:7" ht="13">
      <c r="A379" s="6"/>
      <c r="B379" s="6"/>
      <c r="C379" s="6"/>
      <c r="D379" s="6"/>
      <c r="E379" s="52"/>
      <c r="F379" s="6"/>
      <c r="G379" s="6"/>
    </row>
    <row r="380" spans="1:7" ht="13">
      <c r="A380" s="6"/>
      <c r="B380" s="6"/>
      <c r="C380" s="6"/>
      <c r="D380" s="6"/>
      <c r="E380" s="52"/>
      <c r="F380" s="6"/>
      <c r="G380" s="6"/>
    </row>
    <row r="381" spans="1:7" ht="13">
      <c r="A381" s="6"/>
      <c r="B381" s="6"/>
      <c r="C381" s="6"/>
      <c r="D381" s="6"/>
      <c r="E381" s="52"/>
      <c r="F381" s="6"/>
      <c r="G381" s="6"/>
    </row>
    <row r="382" spans="1:7" ht="13">
      <c r="A382" s="6"/>
      <c r="B382" s="6"/>
      <c r="C382" s="6"/>
      <c r="D382" s="6"/>
      <c r="E382" s="52"/>
      <c r="F382" s="6"/>
      <c r="G382" s="6"/>
    </row>
    <row r="383" spans="1:7" ht="13">
      <c r="A383" s="6"/>
      <c r="B383" s="6"/>
      <c r="C383" s="6"/>
      <c r="D383" s="6"/>
      <c r="E383" s="52"/>
      <c r="F383" s="6"/>
      <c r="G383" s="6"/>
    </row>
    <row r="384" spans="1:7" ht="13">
      <c r="A384" s="6"/>
      <c r="B384" s="6"/>
      <c r="C384" s="6"/>
      <c r="D384" s="6"/>
      <c r="E384" s="52"/>
      <c r="F384" s="6"/>
      <c r="G384" s="6"/>
    </row>
    <row r="385" spans="1:7" ht="13">
      <c r="A385" s="6"/>
      <c r="B385" s="6"/>
      <c r="C385" s="6"/>
      <c r="D385" s="6"/>
      <c r="E385" s="52"/>
      <c r="F385" s="6"/>
      <c r="G385" s="6"/>
    </row>
    <row r="386" spans="1:7" ht="13">
      <c r="A386" s="6"/>
      <c r="B386" s="6"/>
      <c r="C386" s="6"/>
      <c r="D386" s="6"/>
      <c r="E386" s="52"/>
      <c r="F386" s="6"/>
      <c r="G386" s="6"/>
    </row>
    <row r="387" spans="1:7" ht="13">
      <c r="A387" s="6"/>
      <c r="B387" s="6"/>
      <c r="C387" s="6"/>
      <c r="D387" s="6"/>
      <c r="E387" s="52"/>
      <c r="F387" s="6"/>
      <c r="G387" s="6"/>
    </row>
    <row r="388" spans="1:7" ht="13">
      <c r="A388" s="6"/>
      <c r="B388" s="6"/>
      <c r="C388" s="6"/>
      <c r="D388" s="6"/>
      <c r="E388" s="52"/>
      <c r="F388" s="6"/>
      <c r="G388" s="6"/>
    </row>
    <row r="389" spans="1:7" ht="13">
      <c r="A389" s="6"/>
      <c r="B389" s="6"/>
      <c r="C389" s="6"/>
      <c r="D389" s="6"/>
      <c r="E389" s="52"/>
      <c r="F389" s="6"/>
      <c r="G389" s="6"/>
    </row>
    <row r="390" spans="1:7" ht="13">
      <c r="A390" s="6"/>
      <c r="B390" s="6"/>
      <c r="C390" s="6"/>
      <c r="D390" s="6"/>
      <c r="E390" s="52"/>
      <c r="F390" s="6"/>
      <c r="G390" s="6"/>
    </row>
    <row r="391" spans="1:7" ht="13">
      <c r="A391" s="6"/>
      <c r="B391" s="6"/>
      <c r="C391" s="6"/>
      <c r="D391" s="6"/>
      <c r="E391" s="52"/>
      <c r="F391" s="6"/>
      <c r="G391" s="6"/>
    </row>
    <row r="392" spans="1:7" ht="13">
      <c r="A392" s="6"/>
      <c r="B392" s="6"/>
      <c r="C392" s="6"/>
      <c r="D392" s="6"/>
      <c r="E392" s="52"/>
      <c r="F392" s="6"/>
      <c r="G392" s="6"/>
    </row>
    <row r="393" spans="1:7" ht="13">
      <c r="A393" s="6"/>
      <c r="B393" s="6"/>
      <c r="C393" s="6"/>
      <c r="D393" s="6"/>
      <c r="E393" s="52"/>
      <c r="F393" s="6"/>
      <c r="G393" s="6"/>
    </row>
    <row r="394" spans="1:7" ht="13">
      <c r="A394" s="6"/>
      <c r="B394" s="6"/>
      <c r="C394" s="6"/>
      <c r="D394" s="6"/>
      <c r="E394" s="52"/>
      <c r="F394" s="6"/>
      <c r="G394" s="6"/>
    </row>
    <row r="395" spans="1:7" ht="13">
      <c r="A395" s="6"/>
      <c r="B395" s="6"/>
      <c r="C395" s="6"/>
      <c r="D395" s="6"/>
      <c r="E395" s="52"/>
      <c r="F395" s="6"/>
      <c r="G395" s="6"/>
    </row>
    <row r="396" spans="1:7" ht="13">
      <c r="A396" s="6"/>
      <c r="B396" s="6"/>
      <c r="C396" s="6"/>
      <c r="D396" s="6"/>
      <c r="E396" s="52"/>
      <c r="F396" s="6"/>
      <c r="G396" s="6"/>
    </row>
    <row r="397" spans="1:7" ht="13">
      <c r="A397" s="6"/>
      <c r="B397" s="6"/>
      <c r="C397" s="6"/>
      <c r="D397" s="6"/>
      <c r="E397" s="52"/>
      <c r="F397" s="6"/>
      <c r="G397" s="6"/>
    </row>
    <row r="398" spans="1:7" ht="13">
      <c r="A398" s="6"/>
      <c r="B398" s="6"/>
      <c r="C398" s="6"/>
      <c r="D398" s="6"/>
      <c r="E398" s="52"/>
      <c r="F398" s="6"/>
      <c r="G398" s="6"/>
    </row>
    <row r="399" spans="1:7" ht="13">
      <c r="A399" s="6"/>
      <c r="B399" s="6"/>
      <c r="C399" s="6"/>
      <c r="D399" s="6"/>
      <c r="E399" s="52"/>
      <c r="F399" s="6"/>
      <c r="G399" s="6"/>
    </row>
    <row r="400" spans="1:7" ht="13">
      <c r="A400" s="6"/>
      <c r="B400" s="6"/>
      <c r="C400" s="6"/>
      <c r="D400" s="6"/>
      <c r="E400" s="52"/>
      <c r="F400" s="6"/>
      <c r="G400" s="6"/>
    </row>
    <row r="401" spans="1:7" ht="13">
      <c r="A401" s="6"/>
      <c r="B401" s="6"/>
      <c r="C401" s="6"/>
      <c r="D401" s="6"/>
      <c r="E401" s="52"/>
      <c r="F401" s="6"/>
      <c r="G401" s="6"/>
    </row>
    <row r="402" spans="1:7" ht="13">
      <c r="A402" s="6"/>
      <c r="B402" s="6"/>
      <c r="C402" s="6"/>
      <c r="D402" s="6"/>
      <c r="E402" s="52"/>
      <c r="F402" s="6"/>
      <c r="G402" s="6"/>
    </row>
    <row r="403" spans="1:7" ht="13">
      <c r="A403" s="6"/>
      <c r="B403" s="6"/>
      <c r="C403" s="6"/>
      <c r="D403" s="6"/>
      <c r="E403" s="52"/>
      <c r="F403" s="6"/>
      <c r="G403" s="6"/>
    </row>
    <row r="404" spans="1:7" ht="13">
      <c r="A404" s="6"/>
      <c r="B404" s="6"/>
      <c r="C404" s="6"/>
      <c r="D404" s="6"/>
      <c r="E404" s="52"/>
      <c r="F404" s="6"/>
      <c r="G404" s="6"/>
    </row>
    <row r="405" spans="1:7" ht="13">
      <c r="A405" s="6"/>
      <c r="B405" s="6"/>
      <c r="C405" s="6"/>
      <c r="D405" s="6"/>
      <c r="E405" s="52"/>
      <c r="F405" s="6"/>
      <c r="G405" s="6"/>
    </row>
    <row r="406" spans="1:7" ht="13">
      <c r="A406" s="6"/>
      <c r="B406" s="6"/>
      <c r="C406" s="6"/>
      <c r="D406" s="6"/>
      <c r="E406" s="52"/>
      <c r="F406" s="6"/>
      <c r="G406" s="6"/>
    </row>
    <row r="407" spans="1:7" ht="13">
      <c r="A407" s="6"/>
      <c r="B407" s="6"/>
      <c r="C407" s="6"/>
      <c r="D407" s="6"/>
      <c r="E407" s="52"/>
      <c r="F407" s="6"/>
      <c r="G407" s="6"/>
    </row>
    <row r="408" spans="1:7" ht="13">
      <c r="A408" s="6"/>
      <c r="B408" s="6"/>
      <c r="C408" s="6"/>
      <c r="D408" s="6"/>
      <c r="E408" s="52"/>
      <c r="F408" s="6"/>
      <c r="G408" s="6"/>
    </row>
    <row r="409" spans="1:7" ht="13">
      <c r="A409" s="6"/>
      <c r="B409" s="6"/>
      <c r="C409" s="6"/>
      <c r="D409" s="6"/>
      <c r="E409" s="52"/>
      <c r="F409" s="6"/>
      <c r="G409" s="6"/>
    </row>
    <row r="410" spans="1:7" ht="13">
      <c r="A410" s="6"/>
      <c r="B410" s="6"/>
      <c r="C410" s="6"/>
      <c r="D410" s="6"/>
      <c r="E410" s="52"/>
      <c r="F410" s="6"/>
      <c r="G410" s="6"/>
    </row>
    <row r="411" spans="1:7" ht="13">
      <c r="A411" s="6"/>
      <c r="B411" s="6"/>
      <c r="C411" s="6"/>
      <c r="D411" s="6"/>
      <c r="E411" s="52"/>
      <c r="F411" s="6"/>
      <c r="G411" s="6"/>
    </row>
    <row r="412" spans="1:7" ht="13">
      <c r="A412" s="6"/>
      <c r="B412" s="6"/>
      <c r="C412" s="6"/>
      <c r="D412" s="6"/>
      <c r="E412" s="52"/>
      <c r="F412" s="6"/>
      <c r="G412" s="6"/>
    </row>
    <row r="413" spans="1:7" ht="13">
      <c r="A413" s="6"/>
      <c r="B413" s="6"/>
      <c r="C413" s="6"/>
      <c r="D413" s="6"/>
      <c r="E413" s="52"/>
      <c r="F413" s="6"/>
      <c r="G413" s="6"/>
    </row>
    <row r="414" spans="1:7" ht="13">
      <c r="A414" s="6"/>
      <c r="B414" s="6"/>
      <c r="C414" s="6"/>
      <c r="D414" s="6"/>
      <c r="E414" s="52"/>
      <c r="F414" s="6"/>
      <c r="G414" s="6"/>
    </row>
    <row r="415" spans="1:7" ht="13">
      <c r="A415" s="6"/>
      <c r="B415" s="6"/>
      <c r="C415" s="6"/>
      <c r="D415" s="6"/>
      <c r="E415" s="52"/>
      <c r="F415" s="6"/>
      <c r="G415" s="6"/>
    </row>
    <row r="416" spans="1:7" ht="13">
      <c r="A416" s="6"/>
      <c r="B416" s="6"/>
      <c r="C416" s="6"/>
      <c r="D416" s="6"/>
      <c r="E416" s="52"/>
      <c r="F416" s="6"/>
      <c r="G416" s="6"/>
    </row>
    <row r="417" spans="1:7" ht="13">
      <c r="A417" s="6"/>
      <c r="B417" s="6"/>
      <c r="C417" s="6"/>
      <c r="D417" s="6"/>
      <c r="E417" s="52"/>
      <c r="F417" s="6"/>
      <c r="G417" s="6"/>
    </row>
    <row r="418" spans="1:7" ht="13">
      <c r="A418" s="6"/>
      <c r="B418" s="6"/>
      <c r="C418" s="6"/>
      <c r="D418" s="6"/>
      <c r="E418" s="52"/>
      <c r="F418" s="6"/>
      <c r="G418" s="6"/>
    </row>
    <row r="419" spans="1:7" ht="13">
      <c r="A419" s="6"/>
      <c r="B419" s="6"/>
      <c r="C419" s="6"/>
      <c r="D419" s="6"/>
      <c r="E419" s="52"/>
      <c r="F419" s="6"/>
      <c r="G419" s="6"/>
    </row>
    <row r="420" spans="1:7" ht="13">
      <c r="A420" s="6"/>
      <c r="B420" s="6"/>
      <c r="C420" s="6"/>
      <c r="D420" s="6"/>
      <c r="E420" s="52"/>
      <c r="F420" s="6"/>
      <c r="G420" s="6"/>
    </row>
    <row r="421" spans="1:7" ht="13">
      <c r="A421" s="6"/>
      <c r="B421" s="6"/>
      <c r="C421" s="6"/>
      <c r="D421" s="6"/>
      <c r="E421" s="52"/>
      <c r="F421" s="6"/>
      <c r="G421" s="6"/>
    </row>
    <row r="422" spans="1:7" ht="13">
      <c r="A422" s="6"/>
      <c r="B422" s="6"/>
      <c r="C422" s="6"/>
      <c r="D422" s="6"/>
      <c r="E422" s="52"/>
      <c r="F422" s="6"/>
      <c r="G422" s="6"/>
    </row>
    <row r="423" spans="1:7" ht="13">
      <c r="A423" s="6"/>
      <c r="B423" s="6"/>
      <c r="C423" s="6"/>
      <c r="D423" s="6"/>
      <c r="E423" s="52"/>
      <c r="F423" s="6"/>
      <c r="G423" s="6"/>
    </row>
    <row r="424" spans="1:7" ht="13">
      <c r="A424" s="6"/>
      <c r="B424" s="6"/>
      <c r="C424" s="6"/>
      <c r="D424" s="6"/>
      <c r="E424" s="52"/>
      <c r="F424" s="6"/>
      <c r="G424" s="6"/>
    </row>
    <row r="425" spans="1:7" ht="13">
      <c r="A425" s="6"/>
      <c r="B425" s="6"/>
      <c r="C425" s="6"/>
      <c r="D425" s="6"/>
      <c r="E425" s="52"/>
      <c r="F425" s="6"/>
      <c r="G425" s="6"/>
    </row>
    <row r="426" spans="1:7" ht="13">
      <c r="A426" s="6"/>
      <c r="B426" s="6"/>
      <c r="C426" s="6"/>
      <c r="D426" s="6"/>
      <c r="E426" s="52"/>
      <c r="F426" s="6"/>
      <c r="G426" s="6"/>
    </row>
    <row r="427" spans="1:7" ht="13">
      <c r="A427" s="6"/>
      <c r="B427" s="6"/>
      <c r="C427" s="6"/>
      <c r="D427" s="6"/>
      <c r="E427" s="52"/>
      <c r="F427" s="6"/>
      <c r="G427" s="6"/>
    </row>
    <row r="428" spans="1:7" ht="13">
      <c r="A428" s="6"/>
      <c r="B428" s="6"/>
      <c r="C428" s="6"/>
      <c r="D428" s="6"/>
      <c r="E428" s="52"/>
      <c r="F428" s="6"/>
      <c r="G428" s="6"/>
    </row>
    <row r="429" spans="1:7" ht="13">
      <c r="A429" s="6"/>
      <c r="B429" s="6"/>
      <c r="C429" s="6"/>
      <c r="D429" s="6"/>
      <c r="E429" s="52"/>
      <c r="F429" s="6"/>
      <c r="G429" s="6"/>
    </row>
    <row r="430" spans="1:7" ht="13">
      <c r="A430" s="6"/>
      <c r="B430" s="6"/>
      <c r="C430" s="6"/>
      <c r="D430" s="6"/>
      <c r="E430" s="52"/>
      <c r="F430" s="6"/>
      <c r="G430" s="6"/>
    </row>
    <row r="431" spans="1:7" ht="13">
      <c r="A431" s="6"/>
      <c r="B431" s="6"/>
      <c r="C431" s="6"/>
      <c r="D431" s="6"/>
      <c r="E431" s="52"/>
      <c r="F431" s="6"/>
      <c r="G431" s="6"/>
    </row>
    <row r="432" spans="1:7" ht="13">
      <c r="A432" s="6"/>
      <c r="B432" s="6"/>
      <c r="C432" s="6"/>
      <c r="D432" s="6"/>
      <c r="E432" s="52"/>
      <c r="F432" s="6"/>
      <c r="G432" s="6"/>
    </row>
    <row r="433" spans="1:7" ht="13">
      <c r="A433" s="6"/>
      <c r="B433" s="6"/>
      <c r="C433" s="6"/>
      <c r="D433" s="6"/>
      <c r="E433" s="52"/>
      <c r="F433" s="6"/>
      <c r="G433" s="6"/>
    </row>
    <row r="434" spans="1:7" ht="13">
      <c r="A434" s="6"/>
      <c r="B434" s="6"/>
      <c r="C434" s="6"/>
      <c r="D434" s="6"/>
      <c r="E434" s="52"/>
      <c r="F434" s="6"/>
      <c r="G434" s="6"/>
    </row>
    <row r="435" spans="1:7" ht="13">
      <c r="A435" s="6"/>
      <c r="B435" s="6"/>
      <c r="C435" s="6"/>
      <c r="D435" s="6"/>
      <c r="E435" s="52"/>
      <c r="F435" s="6"/>
      <c r="G435" s="6"/>
    </row>
    <row r="436" spans="1:7" ht="13">
      <c r="A436" s="6"/>
      <c r="B436" s="6"/>
      <c r="C436" s="6"/>
      <c r="D436" s="6"/>
      <c r="E436" s="52"/>
      <c r="F436" s="6"/>
      <c r="G436" s="6"/>
    </row>
    <row r="437" spans="1:7" ht="13">
      <c r="A437" s="6"/>
      <c r="B437" s="6"/>
      <c r="C437" s="6"/>
      <c r="D437" s="6"/>
      <c r="E437" s="52"/>
      <c r="F437" s="6"/>
      <c r="G437" s="6"/>
    </row>
    <row r="438" spans="1:7" ht="13">
      <c r="A438" s="6"/>
      <c r="B438" s="6"/>
      <c r="C438" s="6"/>
      <c r="D438" s="6"/>
      <c r="E438" s="52"/>
      <c r="F438" s="6"/>
      <c r="G438" s="6"/>
    </row>
    <row r="439" spans="1:7" ht="13">
      <c r="A439" s="6"/>
      <c r="B439" s="6"/>
      <c r="C439" s="6"/>
      <c r="D439" s="6"/>
      <c r="E439" s="52"/>
      <c r="F439" s="6"/>
      <c r="G439" s="6"/>
    </row>
    <row r="440" spans="1:7" ht="13">
      <c r="A440" s="6"/>
      <c r="B440" s="6"/>
      <c r="C440" s="6"/>
      <c r="D440" s="6"/>
      <c r="E440" s="52"/>
      <c r="F440" s="6"/>
      <c r="G440" s="6"/>
    </row>
    <row r="441" spans="1:7" ht="13">
      <c r="A441" s="6"/>
      <c r="B441" s="6"/>
      <c r="C441" s="6"/>
      <c r="D441" s="6"/>
      <c r="E441" s="52"/>
      <c r="F441" s="6"/>
      <c r="G441" s="6"/>
    </row>
    <row r="442" spans="1:7" ht="13">
      <c r="A442" s="6"/>
      <c r="B442" s="6"/>
      <c r="C442" s="6"/>
      <c r="D442" s="6"/>
      <c r="E442" s="52"/>
      <c r="F442" s="6"/>
      <c r="G442" s="6"/>
    </row>
    <row r="443" spans="1:7" ht="13">
      <c r="A443" s="6"/>
      <c r="B443" s="6"/>
      <c r="C443" s="6"/>
      <c r="D443" s="6"/>
      <c r="E443" s="52"/>
      <c r="F443" s="6"/>
      <c r="G443" s="6"/>
    </row>
    <row r="444" spans="1:7" ht="13">
      <c r="A444" s="6"/>
      <c r="B444" s="6"/>
      <c r="C444" s="6"/>
      <c r="D444" s="6"/>
      <c r="E444" s="52"/>
      <c r="F444" s="6"/>
      <c r="G444" s="6"/>
    </row>
    <row r="445" spans="1:7" ht="13">
      <c r="A445" s="6"/>
      <c r="B445" s="6"/>
      <c r="C445" s="6"/>
      <c r="D445" s="6"/>
      <c r="E445" s="52"/>
      <c r="F445" s="6"/>
      <c r="G445" s="6"/>
    </row>
    <row r="446" spans="1:7" ht="13">
      <c r="A446" s="6"/>
      <c r="B446" s="6"/>
      <c r="C446" s="6"/>
      <c r="D446" s="6"/>
      <c r="E446" s="52"/>
      <c r="F446" s="6"/>
      <c r="G446" s="6"/>
    </row>
    <row r="447" spans="1:7" ht="13">
      <c r="A447" s="6"/>
      <c r="B447" s="6"/>
      <c r="C447" s="6"/>
      <c r="D447" s="6"/>
      <c r="E447" s="52"/>
      <c r="F447" s="6"/>
      <c r="G447" s="6"/>
    </row>
    <row r="448" spans="1:7" ht="13">
      <c r="A448" s="6"/>
      <c r="B448" s="6"/>
      <c r="C448" s="6"/>
      <c r="D448" s="6"/>
      <c r="E448" s="52"/>
      <c r="F448" s="6"/>
      <c r="G448" s="6"/>
    </row>
    <row r="449" spans="1:7" ht="13">
      <c r="A449" s="6"/>
      <c r="B449" s="6"/>
      <c r="C449" s="6"/>
      <c r="D449" s="6"/>
      <c r="E449" s="52"/>
      <c r="F449" s="6"/>
      <c r="G449" s="6"/>
    </row>
    <row r="450" spans="1:7" ht="13">
      <c r="A450" s="6"/>
      <c r="B450" s="6"/>
      <c r="C450" s="6"/>
      <c r="D450" s="6"/>
      <c r="E450" s="52"/>
      <c r="F450" s="6"/>
      <c r="G450" s="6"/>
    </row>
    <row r="451" spans="1:7" ht="13">
      <c r="A451" s="6"/>
      <c r="B451" s="6"/>
      <c r="C451" s="6"/>
      <c r="D451" s="6"/>
      <c r="E451" s="52"/>
      <c r="F451" s="6"/>
      <c r="G451" s="6"/>
    </row>
    <row r="452" spans="1:7" ht="13">
      <c r="A452" s="6"/>
      <c r="B452" s="6"/>
      <c r="C452" s="6"/>
      <c r="D452" s="6"/>
      <c r="E452" s="52"/>
      <c r="F452" s="6"/>
      <c r="G452" s="6"/>
    </row>
    <row r="453" spans="1:7" ht="13">
      <c r="A453" s="6"/>
      <c r="B453" s="6"/>
      <c r="C453" s="6"/>
      <c r="D453" s="6"/>
      <c r="E453" s="52"/>
      <c r="F453" s="6"/>
      <c r="G453" s="6"/>
    </row>
    <row r="454" spans="1:7" ht="13">
      <c r="A454" s="6"/>
      <c r="B454" s="6"/>
      <c r="C454" s="6"/>
      <c r="D454" s="6"/>
      <c r="E454" s="52"/>
      <c r="F454" s="6"/>
      <c r="G454" s="6"/>
    </row>
    <row r="455" spans="1:7" ht="13">
      <c r="A455" s="6"/>
      <c r="B455" s="6"/>
      <c r="C455" s="6"/>
      <c r="D455" s="6"/>
      <c r="E455" s="52"/>
      <c r="F455" s="6"/>
      <c r="G455" s="6"/>
    </row>
    <row r="456" spans="1:7" ht="13">
      <c r="A456" s="6"/>
      <c r="B456" s="6"/>
      <c r="C456" s="6"/>
      <c r="D456" s="6"/>
      <c r="E456" s="52"/>
      <c r="F456" s="6"/>
      <c r="G456" s="6"/>
    </row>
    <row r="457" spans="1:7" ht="13">
      <c r="A457" s="6"/>
      <c r="B457" s="6"/>
      <c r="C457" s="6"/>
      <c r="D457" s="6"/>
      <c r="E457" s="52"/>
      <c r="F457" s="6"/>
      <c r="G457" s="6"/>
    </row>
    <row r="458" spans="1:7" ht="13">
      <c r="A458" s="6"/>
      <c r="B458" s="6"/>
      <c r="C458" s="6"/>
      <c r="D458" s="6"/>
      <c r="E458" s="52"/>
      <c r="F458" s="6"/>
      <c r="G458" s="6"/>
    </row>
    <row r="459" spans="1:7" ht="13">
      <c r="A459" s="6"/>
      <c r="B459" s="6"/>
      <c r="C459" s="6"/>
      <c r="D459" s="6"/>
      <c r="E459" s="52"/>
      <c r="F459" s="6"/>
      <c r="G459" s="6"/>
    </row>
    <row r="460" spans="1:7" ht="13">
      <c r="A460" s="6"/>
      <c r="B460" s="6"/>
      <c r="C460" s="6"/>
      <c r="D460" s="6"/>
      <c r="E460" s="52"/>
      <c r="F460" s="6"/>
      <c r="G460" s="6"/>
    </row>
    <row r="461" spans="1:7" ht="13">
      <c r="A461" s="6"/>
      <c r="B461" s="6"/>
      <c r="C461" s="6"/>
      <c r="D461" s="6"/>
      <c r="E461" s="52"/>
      <c r="F461" s="6"/>
      <c r="G461" s="6"/>
    </row>
    <row r="462" spans="1:7" ht="13">
      <c r="A462" s="6"/>
      <c r="B462" s="6"/>
      <c r="C462" s="60"/>
      <c r="D462" s="6"/>
      <c r="E462" s="52"/>
      <c r="F462" s="60"/>
      <c r="G462" s="6"/>
    </row>
    <row r="463" spans="1:7" ht="13">
      <c r="A463" s="6"/>
      <c r="B463" s="6"/>
      <c r="C463" s="60"/>
      <c r="D463" s="6"/>
      <c r="E463" s="52"/>
      <c r="F463" s="60"/>
      <c r="G463" s="6"/>
    </row>
    <row r="464" spans="1:7" ht="13">
      <c r="A464" s="6"/>
      <c r="B464" s="6"/>
      <c r="C464" s="6"/>
      <c r="D464" s="6"/>
      <c r="E464" s="52"/>
      <c r="F464" s="6"/>
      <c r="G464" s="6"/>
    </row>
    <row r="465" spans="1:7" ht="13">
      <c r="A465" s="6"/>
      <c r="B465" s="6"/>
      <c r="C465" s="6"/>
      <c r="D465" s="6"/>
      <c r="E465" s="52"/>
      <c r="F465" s="6"/>
      <c r="G465" s="6"/>
    </row>
    <row r="466" spans="1:7" ht="13">
      <c r="A466" s="6"/>
      <c r="B466" s="6"/>
      <c r="C466" s="6"/>
      <c r="D466" s="6"/>
      <c r="E466" s="52"/>
      <c r="F466" s="6"/>
      <c r="G466" s="6"/>
    </row>
    <row r="467" spans="1:7" ht="13">
      <c r="A467" s="6"/>
      <c r="B467" s="6"/>
      <c r="C467" s="6"/>
      <c r="D467" s="6"/>
      <c r="E467" s="52"/>
      <c r="F467" s="6"/>
      <c r="G467" s="6"/>
    </row>
    <row r="468" spans="1:7" ht="13">
      <c r="A468" s="6"/>
      <c r="B468" s="6"/>
      <c r="C468" s="6"/>
      <c r="D468" s="6"/>
      <c r="E468" s="52"/>
      <c r="F468" s="6"/>
      <c r="G468" s="6"/>
    </row>
    <row r="469" spans="1:7" ht="13">
      <c r="A469" s="6"/>
      <c r="B469" s="6"/>
      <c r="C469" s="6"/>
      <c r="D469" s="6"/>
      <c r="E469" s="52"/>
      <c r="F469" s="6"/>
      <c r="G469" s="6"/>
    </row>
    <row r="470" spans="1:7" ht="13">
      <c r="A470" s="6"/>
      <c r="B470" s="6"/>
      <c r="C470" s="6"/>
      <c r="D470" s="6"/>
      <c r="E470" s="52"/>
      <c r="F470" s="6"/>
      <c r="G470" s="6"/>
    </row>
    <row r="471" spans="1:7" ht="13">
      <c r="A471" s="6"/>
      <c r="B471" s="6"/>
      <c r="C471" s="6"/>
      <c r="D471" s="6"/>
      <c r="E471" s="52"/>
      <c r="F471" s="6"/>
      <c r="G471" s="6"/>
    </row>
    <row r="472" spans="1:7" ht="13">
      <c r="A472" s="6"/>
      <c r="B472" s="6"/>
      <c r="C472" s="6"/>
      <c r="D472" s="6"/>
      <c r="E472" s="52"/>
      <c r="F472" s="6"/>
      <c r="G472" s="6"/>
    </row>
    <row r="473" spans="1:7" ht="13">
      <c r="A473" s="6"/>
      <c r="B473" s="6"/>
      <c r="C473" s="6"/>
      <c r="D473" s="6"/>
      <c r="E473" s="52"/>
      <c r="F473" s="6"/>
      <c r="G473" s="6"/>
    </row>
    <row r="474" spans="1:7" ht="13">
      <c r="A474" s="6"/>
      <c r="B474" s="6"/>
      <c r="C474" s="6"/>
      <c r="D474" s="6"/>
      <c r="E474" s="52"/>
      <c r="F474" s="6"/>
      <c r="G474" s="6"/>
    </row>
    <row r="475" spans="1:7" ht="13">
      <c r="A475" s="6"/>
      <c r="B475" s="6"/>
      <c r="C475" s="6"/>
      <c r="D475" s="6"/>
      <c r="E475" s="52"/>
      <c r="F475" s="6"/>
      <c r="G475" s="6"/>
    </row>
    <row r="476" spans="1:7" ht="13">
      <c r="A476" s="6"/>
      <c r="B476" s="6"/>
      <c r="C476" s="6"/>
      <c r="D476" s="6"/>
      <c r="E476" s="52"/>
      <c r="F476" s="6"/>
      <c r="G476" s="6"/>
    </row>
    <row r="477" spans="1:7" ht="13">
      <c r="A477" s="6"/>
      <c r="B477" s="6"/>
      <c r="C477" s="6"/>
      <c r="D477" s="6"/>
      <c r="E477" s="52"/>
      <c r="F477" s="6"/>
      <c r="G477" s="6"/>
    </row>
    <row r="478" spans="1:7" ht="13">
      <c r="A478" s="6"/>
      <c r="B478" s="6"/>
      <c r="C478" s="6"/>
      <c r="D478" s="6"/>
      <c r="E478" s="52"/>
      <c r="F478" s="6"/>
      <c r="G478" s="6"/>
    </row>
    <row r="479" spans="1:7" ht="13">
      <c r="A479" s="6"/>
      <c r="B479" s="6"/>
      <c r="C479" s="6"/>
      <c r="D479" s="6"/>
      <c r="E479" s="52"/>
      <c r="F479" s="6"/>
      <c r="G479" s="6"/>
    </row>
    <row r="480" spans="1:7" ht="13">
      <c r="A480" s="6"/>
      <c r="B480" s="6"/>
      <c r="C480" s="6"/>
      <c r="D480" s="6"/>
      <c r="E480" s="52"/>
      <c r="F480" s="6"/>
      <c r="G480" s="6"/>
    </row>
    <row r="481" spans="1:7" ht="13">
      <c r="A481" s="6"/>
      <c r="B481" s="6"/>
      <c r="C481" s="6"/>
      <c r="D481" s="6"/>
      <c r="E481" s="52"/>
      <c r="F481" s="6"/>
      <c r="G481" s="6"/>
    </row>
    <row r="482" spans="1:7" ht="13">
      <c r="A482" s="6"/>
      <c r="B482" s="6"/>
      <c r="C482" s="6"/>
      <c r="D482" s="6"/>
      <c r="E482" s="52"/>
      <c r="F482" s="6"/>
      <c r="G482" s="6"/>
    </row>
    <row r="483" spans="1:7" ht="13">
      <c r="A483" s="6"/>
      <c r="B483" s="6"/>
      <c r="C483" s="6"/>
      <c r="D483" s="6"/>
      <c r="E483" s="52"/>
      <c r="F483" s="6"/>
      <c r="G483" s="6"/>
    </row>
    <row r="484" spans="1:7" ht="13">
      <c r="A484" s="6"/>
      <c r="B484" s="6"/>
      <c r="C484" s="6"/>
      <c r="D484" s="6"/>
      <c r="E484" s="52"/>
      <c r="F484" s="6"/>
      <c r="G484" s="6"/>
    </row>
    <row r="485" spans="1:7" ht="13">
      <c r="A485" s="6"/>
      <c r="B485" s="6"/>
      <c r="C485" s="6"/>
      <c r="D485" s="6"/>
      <c r="E485" s="52"/>
      <c r="F485" s="6"/>
      <c r="G485" s="6"/>
    </row>
    <row r="486" spans="1:7" ht="13">
      <c r="A486" s="6"/>
      <c r="B486" s="6"/>
      <c r="C486" s="6"/>
      <c r="D486" s="6"/>
      <c r="E486" s="52"/>
      <c r="F486" s="6"/>
      <c r="G486" s="6"/>
    </row>
    <row r="487" spans="1:7" ht="13">
      <c r="A487" s="6"/>
      <c r="B487" s="6"/>
      <c r="C487" s="6"/>
      <c r="D487" s="6"/>
      <c r="E487" s="52"/>
      <c r="F487" s="6"/>
      <c r="G487" s="6"/>
    </row>
    <row r="488" spans="1:7" ht="13">
      <c r="A488" s="6"/>
      <c r="B488" s="6"/>
      <c r="C488" s="6"/>
      <c r="D488" s="6"/>
      <c r="E488" s="52"/>
      <c r="F488" s="6"/>
      <c r="G488" s="6"/>
    </row>
    <row r="489" spans="1:7" ht="13">
      <c r="A489" s="6"/>
      <c r="B489" s="6"/>
      <c r="C489" s="6"/>
      <c r="D489" s="6"/>
      <c r="E489" s="52"/>
      <c r="F489" s="6"/>
      <c r="G489" s="6"/>
    </row>
    <row r="490" spans="1:7" ht="13">
      <c r="A490" s="6"/>
      <c r="B490" s="6"/>
      <c r="C490" s="6"/>
      <c r="D490" s="6"/>
      <c r="E490" s="52"/>
      <c r="F490" s="6"/>
      <c r="G490" s="6"/>
    </row>
    <row r="491" spans="1:7" ht="13">
      <c r="A491" s="6"/>
      <c r="B491" s="6"/>
      <c r="C491" s="6"/>
      <c r="D491" s="6"/>
      <c r="E491" s="52"/>
      <c r="F491" s="6"/>
      <c r="G491" s="6"/>
    </row>
    <row r="492" spans="1:7" ht="13">
      <c r="A492" s="6"/>
      <c r="B492" s="6"/>
      <c r="C492" s="6"/>
      <c r="D492" s="6"/>
      <c r="E492" s="52"/>
      <c r="F492" s="6"/>
      <c r="G492" s="6"/>
    </row>
    <row r="493" spans="1:7" ht="13">
      <c r="A493" s="6"/>
      <c r="B493" s="6"/>
      <c r="C493" s="6"/>
      <c r="D493" s="6"/>
      <c r="E493" s="52"/>
      <c r="F493" s="6"/>
      <c r="G493" s="6"/>
    </row>
    <row r="494" spans="1:7" ht="13">
      <c r="A494" s="6"/>
      <c r="B494" s="6"/>
      <c r="C494" s="6"/>
      <c r="D494" s="6"/>
      <c r="E494" s="52"/>
      <c r="F494" s="6"/>
      <c r="G494" s="6"/>
    </row>
    <row r="495" spans="1:7" ht="13">
      <c r="A495" s="6"/>
      <c r="B495" s="6"/>
      <c r="C495" s="6"/>
      <c r="D495" s="6"/>
      <c r="E495" s="52"/>
      <c r="F495" s="6"/>
      <c r="G495" s="6"/>
    </row>
    <row r="496" spans="1:7" ht="13">
      <c r="A496" s="6"/>
      <c r="B496" s="6"/>
      <c r="C496" s="6"/>
      <c r="D496" s="6"/>
      <c r="E496" s="52"/>
      <c r="F496" s="6"/>
      <c r="G496" s="6"/>
    </row>
    <row r="497" spans="1:7" ht="13">
      <c r="A497" s="6"/>
      <c r="B497" s="6"/>
      <c r="C497" s="6"/>
      <c r="D497" s="6"/>
      <c r="E497" s="52"/>
      <c r="F497" s="6"/>
      <c r="G497" s="6"/>
    </row>
    <row r="498" spans="1:7" ht="13">
      <c r="A498" s="6"/>
      <c r="B498" s="6"/>
      <c r="C498" s="6"/>
      <c r="D498" s="6"/>
      <c r="E498" s="52"/>
      <c r="F498" s="6"/>
      <c r="G498" s="6"/>
    </row>
    <row r="499" spans="1:7" ht="13">
      <c r="A499" s="6"/>
      <c r="B499" s="6"/>
      <c r="C499" s="6"/>
      <c r="D499" s="6"/>
      <c r="E499" s="52"/>
      <c r="F499" s="6"/>
      <c r="G499" s="6"/>
    </row>
    <row r="500" spans="1:7" ht="13">
      <c r="A500" s="6"/>
      <c r="B500" s="6"/>
      <c r="C500" s="6"/>
      <c r="D500" s="6"/>
      <c r="E500" s="52"/>
      <c r="F500" s="6"/>
      <c r="G500" s="6"/>
    </row>
    <row r="501" spans="1:7" ht="13">
      <c r="A501" s="6"/>
      <c r="B501" s="6"/>
      <c r="C501" s="6"/>
      <c r="D501" s="6"/>
      <c r="E501" s="52"/>
      <c r="F501" s="6"/>
      <c r="G501" s="6"/>
    </row>
    <row r="502" spans="1:7" ht="13">
      <c r="A502" s="6"/>
      <c r="B502" s="6"/>
      <c r="C502" s="6"/>
      <c r="D502" s="6"/>
      <c r="E502" s="52"/>
      <c r="F502" s="6"/>
      <c r="G502" s="6"/>
    </row>
    <row r="503" spans="1:7" ht="13">
      <c r="A503" s="6"/>
      <c r="B503" s="6"/>
      <c r="C503" s="6"/>
      <c r="D503" s="6"/>
      <c r="E503" s="52"/>
      <c r="F503" s="6"/>
      <c r="G503" s="6"/>
    </row>
    <row r="504" spans="1:7" ht="13">
      <c r="A504" s="6"/>
      <c r="B504" s="6"/>
      <c r="C504" s="6"/>
      <c r="D504" s="6"/>
      <c r="E504" s="52"/>
      <c r="F504" s="6"/>
      <c r="G504" s="6"/>
    </row>
    <row r="505" spans="1:7" ht="13">
      <c r="A505" s="6"/>
      <c r="B505" s="6"/>
      <c r="C505" s="6"/>
      <c r="D505" s="6"/>
      <c r="E505" s="52"/>
      <c r="F505" s="6"/>
      <c r="G505" s="6"/>
    </row>
    <row r="506" spans="1:7" ht="13">
      <c r="A506" s="6"/>
      <c r="B506" s="6"/>
      <c r="C506" s="6"/>
      <c r="D506" s="6"/>
      <c r="E506" s="52"/>
      <c r="F506" s="6"/>
      <c r="G506" s="6"/>
    </row>
    <row r="507" spans="1:7" ht="13">
      <c r="A507" s="6"/>
      <c r="B507" s="6"/>
      <c r="C507" s="6"/>
      <c r="D507" s="6"/>
      <c r="E507" s="52"/>
      <c r="F507" s="6"/>
      <c r="G507" s="6"/>
    </row>
    <row r="508" spans="1:7" ht="13">
      <c r="A508" s="6"/>
      <c r="B508" s="6"/>
      <c r="C508" s="6"/>
      <c r="D508" s="6"/>
      <c r="E508" s="52"/>
      <c r="F508" s="6"/>
      <c r="G508" s="6"/>
    </row>
    <row r="509" spans="1:7" ht="13">
      <c r="A509" s="6"/>
      <c r="B509" s="6"/>
      <c r="C509" s="6"/>
      <c r="D509" s="6"/>
      <c r="E509" s="52"/>
      <c r="F509" s="6"/>
      <c r="G509" s="6"/>
    </row>
    <row r="510" spans="1:7" ht="13">
      <c r="A510" s="6"/>
      <c r="B510" s="6"/>
      <c r="C510" s="6"/>
      <c r="D510" s="6"/>
      <c r="E510" s="52"/>
      <c r="F510" s="6"/>
      <c r="G510" s="6"/>
    </row>
    <row r="511" spans="1:7" ht="13">
      <c r="A511" s="6"/>
      <c r="B511" s="6"/>
      <c r="C511" s="6"/>
      <c r="D511" s="6"/>
      <c r="E511" s="52"/>
      <c r="F511" s="6"/>
      <c r="G511" s="6"/>
    </row>
    <row r="512" spans="1:7" ht="13">
      <c r="A512" s="6"/>
      <c r="B512" s="6"/>
      <c r="C512" s="6"/>
      <c r="D512" s="6"/>
      <c r="E512" s="52"/>
      <c r="F512" s="6"/>
      <c r="G512" s="6"/>
    </row>
    <row r="513" spans="1:7" ht="13">
      <c r="A513" s="6"/>
      <c r="B513" s="6"/>
      <c r="C513" s="6"/>
      <c r="D513" s="6"/>
      <c r="E513" s="52"/>
      <c r="F513" s="6"/>
      <c r="G513" s="6"/>
    </row>
    <row r="514" spans="1:7" ht="13">
      <c r="A514" s="6"/>
      <c r="B514" s="6"/>
      <c r="C514" s="6"/>
      <c r="D514" s="6"/>
      <c r="E514" s="52"/>
      <c r="F514" s="6"/>
      <c r="G514" s="6"/>
    </row>
    <row r="515" spans="1:7" ht="13">
      <c r="A515" s="6"/>
      <c r="B515" s="6"/>
      <c r="C515" s="6"/>
      <c r="D515" s="6"/>
      <c r="E515" s="52"/>
      <c r="F515" s="6"/>
      <c r="G515" s="6"/>
    </row>
    <row r="516" spans="1:7" ht="13">
      <c r="A516" s="6"/>
      <c r="B516" s="6"/>
      <c r="C516" s="6"/>
      <c r="D516" s="6"/>
      <c r="E516" s="52"/>
      <c r="F516" s="6"/>
      <c r="G516" s="6"/>
    </row>
    <row r="517" spans="1:7" ht="13">
      <c r="A517" s="6"/>
      <c r="B517" s="6"/>
      <c r="C517" s="6"/>
      <c r="D517" s="6"/>
      <c r="E517" s="52"/>
      <c r="F517" s="6"/>
      <c r="G517" s="6"/>
    </row>
    <row r="518" spans="1:7" ht="13">
      <c r="A518" s="6"/>
      <c r="B518" s="6"/>
      <c r="C518" s="6"/>
      <c r="D518" s="6"/>
      <c r="E518" s="52"/>
      <c r="F518" s="6"/>
      <c r="G518" s="6"/>
    </row>
    <row r="519" spans="1:7" ht="13">
      <c r="A519" s="6"/>
      <c r="B519" s="60"/>
      <c r="C519" s="6"/>
      <c r="D519" s="6"/>
      <c r="E519" s="52"/>
      <c r="F519" s="6"/>
      <c r="G519" s="6"/>
    </row>
    <row r="520" spans="1:7" ht="13">
      <c r="A520" s="6"/>
      <c r="B520" s="60"/>
      <c r="C520" s="6"/>
      <c r="D520" s="6"/>
      <c r="E520" s="52"/>
      <c r="F520" s="6"/>
      <c r="G520" s="6"/>
    </row>
    <row r="521" spans="1:7" ht="13">
      <c r="A521" s="6"/>
      <c r="B521" s="6"/>
      <c r="C521" s="6"/>
      <c r="D521" s="6"/>
      <c r="E521" s="52"/>
      <c r="F521" s="6"/>
      <c r="G521" s="6"/>
    </row>
    <row r="522" spans="1:7" ht="13">
      <c r="A522" s="6"/>
      <c r="B522" s="6"/>
      <c r="C522" s="6"/>
      <c r="D522" s="6"/>
      <c r="E522" s="52"/>
      <c r="F522" s="6"/>
      <c r="G522" s="6"/>
    </row>
    <row r="523" spans="1:7" ht="13">
      <c r="A523" s="6"/>
      <c r="B523" s="6"/>
      <c r="C523" s="6"/>
      <c r="D523" s="6"/>
      <c r="E523" s="52"/>
      <c r="F523" s="6"/>
      <c r="G523" s="6"/>
    </row>
    <row r="524" spans="1:7" ht="13">
      <c r="A524" s="6"/>
      <c r="B524" s="6"/>
      <c r="C524" s="6"/>
      <c r="D524" s="6"/>
      <c r="E524" s="52"/>
      <c r="F524" s="6"/>
      <c r="G524" s="6"/>
    </row>
    <row r="525" spans="1:7" ht="13">
      <c r="A525" s="6"/>
      <c r="B525" s="6"/>
      <c r="C525" s="6"/>
      <c r="D525" s="6"/>
      <c r="E525" s="52"/>
      <c r="F525" s="6"/>
      <c r="G525" s="6"/>
    </row>
    <row r="526" spans="1:7" ht="13">
      <c r="A526" s="6"/>
      <c r="B526" s="6"/>
      <c r="C526" s="6"/>
      <c r="D526" s="6"/>
      <c r="E526" s="52"/>
      <c r="F526" s="6"/>
      <c r="G526" s="6"/>
    </row>
    <row r="527" spans="1:7" ht="13">
      <c r="A527" s="6"/>
      <c r="B527" s="6"/>
      <c r="C527" s="6"/>
      <c r="D527" s="6"/>
      <c r="E527" s="52"/>
      <c r="F527" s="6"/>
      <c r="G527" s="6"/>
    </row>
    <row r="528" spans="1:7" ht="13">
      <c r="A528" s="6"/>
      <c r="B528" s="6"/>
      <c r="C528" s="6"/>
      <c r="D528" s="6"/>
      <c r="E528" s="52"/>
      <c r="F528" s="6"/>
      <c r="G528" s="6"/>
    </row>
    <row r="529" spans="1:7" ht="13">
      <c r="A529" s="6"/>
      <c r="B529" s="6"/>
      <c r="C529" s="6"/>
      <c r="D529" s="6"/>
      <c r="E529" s="52"/>
      <c r="F529" s="6"/>
      <c r="G529" s="6"/>
    </row>
    <row r="530" spans="1:7" ht="13">
      <c r="A530" s="6"/>
      <c r="B530" s="6"/>
      <c r="C530" s="6"/>
      <c r="D530" s="6"/>
      <c r="E530" s="52"/>
      <c r="F530" s="6"/>
      <c r="G530" s="6"/>
    </row>
    <row r="531" spans="1:7" ht="13">
      <c r="A531" s="6"/>
      <c r="B531" s="6"/>
      <c r="C531" s="6"/>
      <c r="D531" s="6"/>
      <c r="E531" s="52"/>
      <c r="F531" s="6"/>
      <c r="G531" s="6"/>
    </row>
    <row r="532" spans="1:7" ht="13">
      <c r="A532" s="6"/>
      <c r="B532" s="6"/>
      <c r="C532" s="6"/>
      <c r="D532" s="6"/>
      <c r="E532" s="52"/>
      <c r="F532" s="6"/>
      <c r="G532" s="6"/>
    </row>
    <row r="533" spans="1:7" ht="13">
      <c r="A533" s="6"/>
      <c r="B533" s="6"/>
      <c r="C533" s="6"/>
      <c r="D533" s="6"/>
      <c r="E533" s="52"/>
      <c r="F533" s="6"/>
      <c r="G533" s="6"/>
    </row>
    <row r="534" spans="1:7" ht="13">
      <c r="A534" s="6"/>
      <c r="B534" s="6"/>
      <c r="C534" s="6"/>
      <c r="D534" s="6"/>
      <c r="E534" s="52"/>
      <c r="F534" s="6"/>
      <c r="G534" s="6"/>
    </row>
    <row r="535" spans="1:7" ht="13">
      <c r="A535" s="6"/>
      <c r="B535" s="6"/>
      <c r="C535" s="6"/>
      <c r="D535" s="6"/>
      <c r="E535" s="52"/>
      <c r="F535" s="6"/>
      <c r="G535" s="6"/>
    </row>
    <row r="536" spans="1:7" ht="13">
      <c r="A536" s="6"/>
      <c r="B536" s="6"/>
      <c r="C536" s="6"/>
      <c r="D536" s="6"/>
      <c r="E536" s="52"/>
      <c r="F536" s="6"/>
      <c r="G536" s="6"/>
    </row>
    <row r="537" spans="1:7" ht="13">
      <c r="A537" s="6"/>
      <c r="B537" s="6"/>
      <c r="C537" s="6"/>
      <c r="D537" s="6"/>
      <c r="E537" s="52"/>
      <c r="F537" s="6"/>
      <c r="G537" s="6"/>
    </row>
    <row r="538" spans="1:7" ht="13">
      <c r="A538" s="6"/>
      <c r="B538" s="6"/>
      <c r="C538" s="6"/>
      <c r="D538" s="6"/>
      <c r="E538" s="52"/>
      <c r="F538" s="6"/>
      <c r="G538" s="6"/>
    </row>
    <row r="539" spans="1:7" ht="13">
      <c r="A539" s="6"/>
      <c r="B539" s="6"/>
      <c r="C539" s="6"/>
      <c r="D539" s="6"/>
      <c r="E539" s="52"/>
      <c r="F539" s="6"/>
      <c r="G539" s="6"/>
    </row>
    <row r="540" spans="1:7" ht="13">
      <c r="A540" s="6"/>
      <c r="B540" s="6"/>
      <c r="C540" s="6"/>
      <c r="D540" s="6"/>
      <c r="E540" s="52"/>
      <c r="F540" s="6"/>
      <c r="G540" s="6"/>
    </row>
    <row r="541" spans="1:7" ht="13">
      <c r="A541" s="6"/>
      <c r="B541" s="6"/>
      <c r="C541" s="6"/>
      <c r="D541" s="6"/>
      <c r="E541" s="52"/>
      <c r="F541" s="6"/>
      <c r="G541" s="6"/>
    </row>
    <row r="542" spans="1:7" ht="13">
      <c r="A542" s="6"/>
      <c r="B542" s="6"/>
      <c r="C542" s="6"/>
      <c r="D542" s="6"/>
      <c r="E542" s="52"/>
      <c r="F542" s="6"/>
      <c r="G542" s="6"/>
    </row>
    <row r="543" spans="1:7" ht="13">
      <c r="A543" s="6"/>
      <c r="B543" s="6"/>
      <c r="C543" s="6"/>
      <c r="D543" s="6"/>
      <c r="E543" s="52"/>
      <c r="F543" s="6"/>
      <c r="G543" s="6"/>
    </row>
    <row r="544" spans="1:7" ht="13">
      <c r="A544" s="6"/>
      <c r="B544" s="6"/>
      <c r="C544" s="6"/>
      <c r="D544" s="6"/>
      <c r="E544" s="52"/>
      <c r="F544" s="6"/>
      <c r="G544" s="6"/>
    </row>
    <row r="545" spans="1:7" ht="13">
      <c r="A545" s="6"/>
      <c r="B545" s="6"/>
      <c r="C545" s="6"/>
      <c r="D545" s="6"/>
      <c r="E545" s="52"/>
      <c r="F545" s="6"/>
      <c r="G545" s="6"/>
    </row>
    <row r="546" spans="1:7" ht="13">
      <c r="A546" s="6"/>
      <c r="B546" s="6"/>
      <c r="C546" s="6"/>
      <c r="D546" s="6"/>
      <c r="E546" s="52"/>
      <c r="F546" s="6"/>
      <c r="G546" s="6"/>
    </row>
    <row r="547" spans="1:7" ht="13">
      <c r="A547" s="6"/>
      <c r="B547" s="6"/>
      <c r="C547" s="6"/>
      <c r="D547" s="6"/>
      <c r="E547" s="52"/>
      <c r="F547" s="6"/>
      <c r="G547" s="6"/>
    </row>
    <row r="548" spans="1:7" ht="13">
      <c r="A548" s="6"/>
      <c r="B548" s="6"/>
      <c r="C548" s="6"/>
      <c r="D548" s="6"/>
      <c r="E548" s="52"/>
      <c r="F548" s="6"/>
      <c r="G548" s="6"/>
    </row>
    <row r="549" spans="1:7" ht="13">
      <c r="A549" s="6"/>
      <c r="B549" s="6"/>
      <c r="C549" s="6"/>
      <c r="D549" s="6"/>
      <c r="E549" s="52"/>
      <c r="F549" s="6"/>
      <c r="G549" s="6"/>
    </row>
    <row r="550" spans="1:7" ht="13">
      <c r="A550" s="6"/>
      <c r="B550" s="6"/>
      <c r="C550" s="6"/>
      <c r="D550" s="6"/>
      <c r="E550" s="52"/>
      <c r="F550" s="6"/>
      <c r="G550" s="6"/>
    </row>
    <row r="551" spans="1:7" ht="13">
      <c r="A551" s="6"/>
      <c r="B551" s="6"/>
      <c r="C551" s="6"/>
      <c r="D551" s="6"/>
      <c r="E551" s="52"/>
      <c r="F551" s="6"/>
      <c r="G551" s="6"/>
    </row>
    <row r="552" spans="1:7" ht="13">
      <c r="A552" s="6"/>
      <c r="B552" s="6"/>
      <c r="C552" s="6"/>
      <c r="D552" s="6"/>
      <c r="E552" s="52"/>
      <c r="F552" s="6"/>
      <c r="G552" s="6"/>
    </row>
    <row r="553" spans="1:7" ht="13">
      <c r="A553" s="6"/>
      <c r="B553" s="6"/>
      <c r="C553" s="6"/>
      <c r="D553" s="6"/>
      <c r="E553" s="52"/>
      <c r="F553" s="6"/>
      <c r="G553" s="6"/>
    </row>
    <row r="554" spans="1:7" ht="13">
      <c r="A554" s="6"/>
      <c r="B554" s="6"/>
      <c r="C554" s="6"/>
      <c r="D554" s="6"/>
      <c r="E554" s="52"/>
      <c r="F554" s="6"/>
      <c r="G554" s="6"/>
    </row>
    <row r="555" spans="1:7" ht="13">
      <c r="A555" s="6"/>
      <c r="B555" s="6"/>
      <c r="C555" s="6"/>
      <c r="D555" s="6"/>
      <c r="E555" s="52"/>
      <c r="F555" s="6"/>
      <c r="G555" s="6"/>
    </row>
    <row r="556" spans="1:7" ht="13">
      <c r="A556" s="6"/>
      <c r="B556" s="6"/>
      <c r="C556" s="6"/>
      <c r="D556" s="6"/>
      <c r="E556" s="52"/>
      <c r="F556" s="6"/>
      <c r="G556" s="6"/>
    </row>
    <row r="557" spans="1:7" ht="13">
      <c r="A557" s="6"/>
      <c r="B557" s="6"/>
      <c r="C557" s="6"/>
      <c r="D557" s="6"/>
      <c r="E557" s="52"/>
      <c r="F557" s="6"/>
      <c r="G557" s="6"/>
    </row>
    <row r="558" spans="1:7" ht="13">
      <c r="A558" s="6"/>
      <c r="B558" s="6"/>
      <c r="C558" s="6"/>
      <c r="D558" s="6"/>
      <c r="E558" s="52"/>
      <c r="F558" s="6"/>
      <c r="G558" s="6"/>
    </row>
    <row r="559" spans="1:7" ht="13">
      <c r="A559" s="6"/>
      <c r="B559" s="6"/>
      <c r="C559" s="6"/>
      <c r="D559" s="6"/>
      <c r="E559" s="52"/>
      <c r="F559" s="6"/>
      <c r="G559" s="6"/>
    </row>
    <row r="560" spans="1:7" ht="13">
      <c r="A560" s="6"/>
      <c r="B560" s="6"/>
      <c r="C560" s="6"/>
      <c r="D560" s="6"/>
      <c r="E560" s="52"/>
      <c r="F560" s="6"/>
      <c r="G560" s="6"/>
    </row>
    <row r="561" spans="1:7" ht="13">
      <c r="A561" s="6"/>
      <c r="B561" s="6"/>
      <c r="C561" s="6"/>
      <c r="D561" s="6"/>
      <c r="E561" s="52"/>
      <c r="F561" s="6"/>
      <c r="G561" s="6"/>
    </row>
    <row r="562" spans="1:7" ht="13">
      <c r="A562" s="6"/>
      <c r="B562" s="6"/>
      <c r="C562" s="6"/>
      <c r="D562" s="6"/>
      <c r="E562" s="52"/>
      <c r="F562" s="6"/>
      <c r="G562" s="6"/>
    </row>
    <row r="563" spans="1:7" ht="13">
      <c r="A563" s="6"/>
      <c r="B563" s="6"/>
      <c r="C563" s="6"/>
      <c r="D563" s="6"/>
      <c r="E563" s="52"/>
      <c r="F563" s="6"/>
      <c r="G563" s="6"/>
    </row>
    <row r="564" spans="1:7" ht="13">
      <c r="A564" s="6"/>
      <c r="B564" s="6"/>
      <c r="C564" s="6"/>
      <c r="D564" s="6"/>
      <c r="E564" s="52"/>
      <c r="F564" s="6"/>
      <c r="G564" s="6"/>
    </row>
    <row r="565" spans="1:7" ht="13">
      <c r="A565" s="6"/>
      <c r="B565" s="6"/>
      <c r="C565" s="6"/>
      <c r="D565" s="6"/>
      <c r="E565" s="52"/>
      <c r="F565" s="6"/>
      <c r="G565" s="6"/>
    </row>
    <row r="566" spans="1:7" ht="13">
      <c r="A566" s="6"/>
      <c r="B566" s="6"/>
      <c r="C566" s="6"/>
      <c r="D566" s="6"/>
      <c r="E566" s="52"/>
      <c r="F566" s="6"/>
      <c r="G566" s="6"/>
    </row>
    <row r="567" spans="1:7" ht="13">
      <c r="A567" s="6"/>
      <c r="B567" s="6"/>
      <c r="C567" s="6"/>
      <c r="D567" s="6"/>
      <c r="E567" s="52"/>
      <c r="F567" s="6"/>
      <c r="G567" s="6"/>
    </row>
    <row r="568" spans="1:7" ht="13">
      <c r="A568" s="6"/>
      <c r="B568" s="6"/>
      <c r="C568" s="6"/>
      <c r="D568" s="6"/>
      <c r="E568" s="52"/>
      <c r="F568" s="6"/>
      <c r="G568" s="6"/>
    </row>
    <row r="569" spans="1:7" ht="13">
      <c r="A569" s="6"/>
      <c r="B569" s="6"/>
      <c r="C569" s="6"/>
      <c r="D569" s="6"/>
      <c r="E569" s="52"/>
      <c r="F569" s="6"/>
      <c r="G569" s="6"/>
    </row>
    <row r="570" spans="1:7" ht="13">
      <c r="A570" s="6"/>
      <c r="B570" s="6"/>
      <c r="C570" s="6"/>
      <c r="D570" s="6"/>
      <c r="E570" s="52"/>
      <c r="F570" s="6"/>
      <c r="G570" s="6"/>
    </row>
    <row r="571" spans="1:7" ht="13">
      <c r="A571" s="6"/>
      <c r="B571" s="6"/>
      <c r="C571" s="6"/>
      <c r="D571" s="6"/>
      <c r="E571" s="52"/>
      <c r="F571" s="6"/>
      <c r="G571" s="6"/>
    </row>
    <row r="572" spans="1:7" ht="13">
      <c r="A572" s="6"/>
      <c r="B572" s="6"/>
      <c r="C572" s="6"/>
      <c r="D572" s="6"/>
      <c r="E572" s="52"/>
      <c r="F572" s="6"/>
      <c r="G572" s="6"/>
    </row>
    <row r="573" spans="1:7" ht="13">
      <c r="A573" s="6"/>
      <c r="B573" s="6"/>
      <c r="C573" s="6"/>
      <c r="D573" s="6"/>
      <c r="E573" s="52"/>
      <c r="F573" s="6"/>
      <c r="G573" s="6"/>
    </row>
    <row r="574" spans="1:7" ht="13">
      <c r="A574" s="6"/>
      <c r="B574" s="6"/>
      <c r="C574" s="6"/>
      <c r="D574" s="6"/>
      <c r="E574" s="52"/>
      <c r="F574" s="6"/>
      <c r="G574" s="6"/>
    </row>
    <row r="575" spans="1:7" ht="13">
      <c r="A575" s="6"/>
      <c r="B575" s="6"/>
      <c r="C575" s="6"/>
      <c r="D575" s="6"/>
      <c r="E575" s="52"/>
      <c r="F575" s="6"/>
      <c r="G575" s="6"/>
    </row>
    <row r="576" spans="1:7" ht="13">
      <c r="A576" s="6"/>
      <c r="B576" s="6"/>
      <c r="C576" s="6"/>
      <c r="D576" s="6"/>
      <c r="E576" s="52"/>
      <c r="F576" s="6"/>
      <c r="G576" s="6"/>
    </row>
    <row r="577" spans="1:7" ht="13">
      <c r="A577" s="6"/>
      <c r="B577" s="6"/>
      <c r="C577" s="6"/>
      <c r="D577" s="6"/>
      <c r="E577" s="52"/>
      <c r="F577" s="6"/>
      <c r="G577" s="6"/>
    </row>
    <row r="578" spans="1:7" ht="13">
      <c r="A578" s="6"/>
      <c r="B578" s="6"/>
      <c r="C578" s="6"/>
      <c r="D578" s="6"/>
      <c r="E578" s="52"/>
      <c r="F578" s="6"/>
      <c r="G578" s="6"/>
    </row>
    <row r="579" spans="1:7" ht="13">
      <c r="A579" s="6"/>
      <c r="B579" s="6"/>
      <c r="C579" s="6"/>
      <c r="D579" s="6"/>
      <c r="E579" s="52"/>
      <c r="F579" s="6"/>
      <c r="G579" s="6"/>
    </row>
    <row r="580" spans="1:7" ht="13">
      <c r="A580" s="6"/>
      <c r="B580" s="6"/>
      <c r="C580" s="6"/>
      <c r="D580" s="6"/>
      <c r="E580" s="52"/>
      <c r="F580" s="6"/>
      <c r="G580" s="6"/>
    </row>
    <row r="581" spans="1:7" ht="13">
      <c r="A581" s="6"/>
      <c r="B581" s="6"/>
      <c r="C581" s="6"/>
      <c r="D581" s="6"/>
      <c r="E581" s="52"/>
      <c r="F581" s="6"/>
      <c r="G581" s="6"/>
    </row>
    <row r="582" spans="1:7" ht="13">
      <c r="A582" s="6"/>
      <c r="B582" s="6"/>
      <c r="C582" s="6"/>
      <c r="D582" s="6"/>
      <c r="E582" s="52"/>
      <c r="F582" s="6"/>
      <c r="G582" s="6"/>
    </row>
    <row r="583" spans="1:7" ht="13">
      <c r="A583" s="6"/>
      <c r="B583" s="6"/>
      <c r="C583" s="6"/>
      <c r="D583" s="6"/>
      <c r="E583" s="52"/>
      <c r="F583" s="6"/>
      <c r="G583" s="6"/>
    </row>
    <row r="584" spans="1:7" ht="13">
      <c r="A584" s="6"/>
      <c r="B584" s="6"/>
      <c r="C584" s="6"/>
      <c r="D584" s="6"/>
      <c r="E584" s="52"/>
      <c r="F584" s="6"/>
      <c r="G584" s="6"/>
    </row>
    <row r="585" spans="1:7" ht="13">
      <c r="A585" s="6"/>
      <c r="B585" s="6"/>
      <c r="C585" s="6"/>
      <c r="D585" s="6"/>
      <c r="E585" s="52"/>
      <c r="F585" s="6"/>
      <c r="G585" s="6"/>
    </row>
    <row r="586" spans="1:7" ht="13">
      <c r="A586" s="6"/>
      <c r="B586" s="6"/>
      <c r="C586" s="6"/>
      <c r="D586" s="6"/>
      <c r="E586" s="52"/>
      <c r="F586" s="6"/>
      <c r="G586" s="6"/>
    </row>
    <row r="587" spans="1:7" ht="13">
      <c r="A587" s="6"/>
      <c r="B587" s="6"/>
      <c r="C587" s="6"/>
      <c r="D587" s="6"/>
      <c r="E587" s="52"/>
      <c r="F587" s="6"/>
      <c r="G587" s="6"/>
    </row>
    <row r="588" spans="1:7" ht="13">
      <c r="A588" s="6"/>
      <c r="B588" s="6"/>
      <c r="C588" s="6"/>
      <c r="D588" s="6"/>
      <c r="E588" s="52"/>
      <c r="F588" s="6"/>
      <c r="G588" s="6"/>
    </row>
    <row r="589" spans="1:7" ht="13">
      <c r="A589" s="6"/>
      <c r="B589" s="6"/>
      <c r="C589" s="6"/>
      <c r="D589" s="6"/>
      <c r="E589" s="52"/>
      <c r="F589" s="6"/>
      <c r="G589" s="6"/>
    </row>
    <row r="590" spans="1:7" ht="13">
      <c r="A590" s="6"/>
      <c r="B590" s="6"/>
      <c r="C590" s="6"/>
      <c r="D590" s="6"/>
      <c r="E590" s="52"/>
      <c r="F590" s="60"/>
      <c r="G590" s="6"/>
    </row>
    <row r="591" spans="1:7" ht="13">
      <c r="A591" s="6"/>
      <c r="B591" s="6"/>
      <c r="C591" s="6"/>
      <c r="D591" s="6"/>
      <c r="E591" s="52"/>
      <c r="F591" s="60"/>
      <c r="G591" s="6"/>
    </row>
    <row r="592" spans="1:7" ht="13">
      <c r="A592" s="6"/>
      <c r="B592" s="6"/>
      <c r="C592" s="6"/>
      <c r="D592" s="6"/>
      <c r="E592" s="52"/>
      <c r="F592" s="60"/>
      <c r="G592" s="6"/>
    </row>
    <row r="593" spans="1:7" ht="13">
      <c r="A593" s="6"/>
      <c r="B593" s="6"/>
      <c r="C593" s="6"/>
      <c r="D593" s="6"/>
      <c r="E593" s="52"/>
      <c r="F593" s="6"/>
      <c r="G593" s="6"/>
    </row>
    <row r="594" spans="1:7" ht="13">
      <c r="A594" s="6"/>
      <c r="B594" s="6"/>
      <c r="C594" s="6"/>
      <c r="D594" s="6"/>
      <c r="E594" s="52"/>
      <c r="F594" s="6"/>
      <c r="G594" s="6"/>
    </row>
    <row r="595" spans="1:7" ht="13">
      <c r="A595" s="6"/>
      <c r="B595" s="6"/>
      <c r="C595" s="6"/>
      <c r="D595" s="6"/>
      <c r="E595" s="52"/>
      <c r="F595" s="6"/>
      <c r="G595" s="6"/>
    </row>
    <row r="596" spans="1:7" ht="13">
      <c r="A596" s="6"/>
      <c r="B596" s="6"/>
      <c r="C596" s="6"/>
      <c r="D596" s="6"/>
      <c r="E596" s="52"/>
      <c r="F596" s="61"/>
      <c r="G596" s="6"/>
    </row>
    <row r="597" spans="1:7" ht="13">
      <c r="A597" s="6"/>
      <c r="B597" s="6"/>
      <c r="C597" s="6"/>
      <c r="D597" s="6"/>
      <c r="E597" s="52"/>
      <c r="F597" s="61"/>
      <c r="G597" s="6"/>
    </row>
    <row r="598" spans="1:7" ht="13">
      <c r="A598" s="6"/>
      <c r="B598" s="6"/>
      <c r="C598" s="6"/>
      <c r="D598" s="6"/>
      <c r="E598" s="52"/>
      <c r="F598" s="61"/>
      <c r="G598" s="6"/>
    </row>
    <row r="599" spans="1:7" ht="13">
      <c r="A599" s="6"/>
      <c r="B599" s="6"/>
      <c r="C599" s="6"/>
      <c r="D599" s="6"/>
      <c r="E599" s="52"/>
      <c r="F599" s="6"/>
      <c r="G599" s="6"/>
    </row>
    <row r="600" spans="1:7" ht="13">
      <c r="A600" s="6"/>
      <c r="B600" s="6"/>
      <c r="C600" s="6"/>
      <c r="D600" s="6"/>
      <c r="E600" s="52"/>
      <c r="F600" s="6"/>
      <c r="G600" s="6"/>
    </row>
    <row r="601" spans="1:7" ht="13">
      <c r="A601" s="6"/>
      <c r="B601" s="6"/>
      <c r="C601" s="6"/>
      <c r="D601" s="6"/>
      <c r="E601" s="52"/>
      <c r="F601" s="6"/>
      <c r="G601" s="6"/>
    </row>
    <row r="602" spans="1:7" ht="13">
      <c r="A602" s="6"/>
      <c r="B602" s="6"/>
      <c r="C602" s="6"/>
      <c r="D602" s="6"/>
      <c r="E602" s="52"/>
      <c r="F602" s="6"/>
      <c r="G602" s="6"/>
    </row>
    <row r="603" spans="1:7" ht="13">
      <c r="A603" s="6"/>
      <c r="B603" s="6"/>
      <c r="C603" s="6"/>
      <c r="D603" s="6"/>
      <c r="E603" s="52"/>
      <c r="F603" s="6"/>
      <c r="G603" s="6"/>
    </row>
    <row r="604" spans="1:7" ht="13">
      <c r="A604" s="6"/>
      <c r="B604" s="6"/>
      <c r="C604" s="6"/>
      <c r="D604" s="6"/>
      <c r="E604" s="52"/>
      <c r="F604" s="6"/>
      <c r="G604" s="6"/>
    </row>
    <row r="605" spans="1:7" ht="13">
      <c r="A605" s="6"/>
      <c r="B605" s="6"/>
      <c r="C605" s="6"/>
      <c r="D605" s="6"/>
      <c r="E605" s="52"/>
      <c r="F605" s="6"/>
      <c r="G605" s="6"/>
    </row>
    <row r="606" spans="1:7" ht="13">
      <c r="A606" s="6"/>
      <c r="B606" s="6"/>
      <c r="C606" s="6"/>
      <c r="D606" s="6"/>
      <c r="E606" s="52"/>
      <c r="F606" s="6"/>
      <c r="G606" s="6"/>
    </row>
    <row r="607" spans="1:7" ht="13">
      <c r="A607" s="6"/>
      <c r="B607" s="6"/>
      <c r="C607" s="6"/>
      <c r="D607" s="6"/>
      <c r="E607" s="52"/>
      <c r="F607" s="6"/>
      <c r="G607" s="6"/>
    </row>
    <row r="608" spans="1:7" ht="13">
      <c r="A608" s="6"/>
      <c r="B608" s="6"/>
      <c r="C608" s="6"/>
      <c r="D608" s="6"/>
      <c r="E608" s="52"/>
      <c r="F608" s="6"/>
      <c r="G608" s="6"/>
    </row>
    <row r="609" spans="1:7" ht="13">
      <c r="A609" s="6"/>
      <c r="B609" s="6"/>
      <c r="C609" s="6"/>
      <c r="D609" s="6"/>
      <c r="E609" s="52"/>
      <c r="F609" s="6"/>
      <c r="G609" s="6"/>
    </row>
    <row r="610" spans="1:7" ht="13">
      <c r="A610" s="6"/>
      <c r="B610" s="6"/>
      <c r="C610" s="6"/>
      <c r="D610" s="6"/>
      <c r="E610" s="52"/>
      <c r="F610" s="6"/>
      <c r="G610" s="6"/>
    </row>
    <row r="611" spans="1:7" ht="13">
      <c r="A611" s="6"/>
      <c r="B611" s="6"/>
      <c r="C611" s="6"/>
      <c r="D611" s="6"/>
      <c r="E611" s="52"/>
      <c r="F611" s="6"/>
      <c r="G611" s="6"/>
    </row>
    <row r="612" spans="1:7" ht="13">
      <c r="A612" s="6"/>
      <c r="B612" s="6"/>
      <c r="C612" s="6"/>
      <c r="D612" s="6"/>
      <c r="E612" s="52"/>
      <c r="F612" s="6"/>
      <c r="G612" s="6"/>
    </row>
    <row r="613" spans="1:7" ht="13">
      <c r="A613" s="6"/>
      <c r="B613" s="6"/>
      <c r="C613" s="6"/>
      <c r="D613" s="6"/>
      <c r="E613" s="52"/>
      <c r="F613" s="6"/>
      <c r="G613" s="6"/>
    </row>
    <row r="614" spans="1:7" ht="13">
      <c r="A614" s="6"/>
      <c r="B614" s="6"/>
      <c r="C614" s="6"/>
      <c r="D614" s="6"/>
      <c r="E614" s="52"/>
      <c r="F614" s="6"/>
      <c r="G614" s="6"/>
    </row>
    <row r="615" spans="1:7" ht="13">
      <c r="A615" s="6"/>
      <c r="B615" s="6"/>
      <c r="C615" s="6"/>
      <c r="D615" s="6"/>
      <c r="E615" s="52"/>
      <c r="F615" s="6"/>
      <c r="G615" s="6"/>
    </row>
    <row r="616" spans="1:7" ht="13">
      <c r="A616" s="6"/>
      <c r="B616" s="6"/>
      <c r="C616" s="6"/>
      <c r="D616" s="6"/>
      <c r="E616" s="52"/>
      <c r="F616" s="6"/>
      <c r="G616" s="6"/>
    </row>
    <row r="617" spans="1:7" ht="13">
      <c r="A617" s="6"/>
      <c r="B617" s="6"/>
      <c r="C617" s="6"/>
      <c r="D617" s="6"/>
      <c r="E617" s="52"/>
      <c r="F617" s="6"/>
      <c r="G617" s="6"/>
    </row>
    <row r="618" spans="1:7" ht="13">
      <c r="A618" s="6"/>
      <c r="B618" s="6"/>
      <c r="C618" s="6"/>
      <c r="D618" s="6"/>
      <c r="E618" s="52"/>
      <c r="F618" s="6"/>
      <c r="G618" s="6"/>
    </row>
    <row r="619" spans="1:7" ht="13">
      <c r="A619" s="6"/>
      <c r="B619" s="6"/>
      <c r="C619" s="6"/>
      <c r="D619" s="6"/>
      <c r="E619" s="52"/>
      <c r="F619" s="6"/>
      <c r="G619" s="6"/>
    </row>
    <row r="620" spans="1:7" ht="13">
      <c r="A620" s="6"/>
      <c r="B620" s="6"/>
      <c r="C620" s="6"/>
      <c r="D620" s="6"/>
      <c r="E620" s="52"/>
      <c r="F620" s="6"/>
      <c r="G620" s="6"/>
    </row>
    <row r="621" spans="1:7" ht="13">
      <c r="A621" s="6"/>
      <c r="B621" s="6"/>
      <c r="C621" s="6"/>
      <c r="D621" s="6"/>
      <c r="E621" s="52"/>
      <c r="F621" s="6"/>
      <c r="G621" s="6"/>
    </row>
    <row r="622" spans="1:7" ht="13">
      <c r="A622" s="6"/>
      <c r="B622" s="6"/>
      <c r="C622" s="6"/>
      <c r="D622" s="6"/>
      <c r="E622" s="52"/>
      <c r="F622" s="6"/>
      <c r="G622" s="6"/>
    </row>
    <row r="623" spans="1:7" ht="13">
      <c r="A623" s="6"/>
      <c r="B623" s="6"/>
      <c r="C623" s="6"/>
      <c r="D623" s="6"/>
      <c r="E623" s="52"/>
      <c r="F623" s="6"/>
      <c r="G623" s="6"/>
    </row>
    <row r="624" spans="1:7" ht="13">
      <c r="A624" s="6"/>
      <c r="B624" s="6"/>
      <c r="C624" s="6"/>
      <c r="D624" s="6"/>
      <c r="E624" s="52"/>
      <c r="F624" s="6"/>
      <c r="G624" s="6"/>
    </row>
    <row r="625" spans="1:7" ht="13">
      <c r="A625" s="6"/>
      <c r="B625" s="6"/>
      <c r="C625" s="6"/>
      <c r="D625" s="6"/>
      <c r="E625" s="52"/>
      <c r="F625" s="6"/>
      <c r="G625" s="6"/>
    </row>
    <row r="626" spans="1:7" ht="13">
      <c r="A626" s="6"/>
      <c r="B626" s="6"/>
      <c r="C626" s="6"/>
      <c r="D626" s="6"/>
      <c r="E626" s="52"/>
      <c r="F626" s="6"/>
      <c r="G626" s="6"/>
    </row>
    <row r="627" spans="1:7" ht="13">
      <c r="A627" s="6"/>
      <c r="B627" s="6"/>
      <c r="C627" s="6"/>
      <c r="D627" s="6"/>
      <c r="E627" s="52"/>
      <c r="F627" s="6"/>
      <c r="G627" s="6"/>
    </row>
    <row r="628" spans="1:7" ht="13">
      <c r="A628" s="6"/>
      <c r="B628" s="6"/>
      <c r="C628" s="6"/>
      <c r="D628" s="6"/>
      <c r="E628" s="52"/>
      <c r="F628" s="6"/>
      <c r="G628" s="6"/>
    </row>
    <row r="629" spans="1:7" ht="13">
      <c r="A629" s="6"/>
      <c r="B629" s="6"/>
      <c r="C629" s="6"/>
      <c r="D629" s="6"/>
      <c r="E629" s="52"/>
      <c r="F629" s="6"/>
      <c r="G629" s="6"/>
    </row>
    <row r="630" spans="1:7" ht="13">
      <c r="A630" s="6"/>
      <c r="B630" s="6"/>
      <c r="C630" s="6"/>
      <c r="D630" s="6"/>
      <c r="E630" s="52"/>
      <c r="F630" s="6"/>
      <c r="G630" s="6"/>
    </row>
    <row r="631" spans="1:7" ht="13">
      <c r="A631" s="6"/>
      <c r="B631" s="6"/>
      <c r="C631" s="6"/>
      <c r="D631" s="6"/>
      <c r="E631" s="52"/>
      <c r="F631" s="6"/>
      <c r="G631" s="6"/>
    </row>
    <row r="632" spans="1:7" ht="13">
      <c r="A632" s="6"/>
      <c r="B632" s="6"/>
      <c r="C632" s="6"/>
      <c r="D632" s="6"/>
      <c r="E632" s="52"/>
      <c r="F632" s="6"/>
      <c r="G632" s="6"/>
    </row>
    <row r="633" spans="1:7" ht="13">
      <c r="A633" s="6"/>
      <c r="B633" s="6"/>
      <c r="C633" s="6"/>
      <c r="D633" s="6"/>
      <c r="E633" s="52"/>
      <c r="F633" s="6"/>
      <c r="G633" s="6"/>
    </row>
    <row r="634" spans="1:7" ht="13">
      <c r="A634" s="6"/>
      <c r="B634" s="6"/>
      <c r="C634" s="6"/>
      <c r="D634" s="6"/>
      <c r="E634" s="52"/>
      <c r="F634" s="6"/>
      <c r="G634" s="6"/>
    </row>
    <row r="635" spans="1:7" ht="13">
      <c r="A635" s="6"/>
      <c r="B635" s="6"/>
      <c r="C635" s="6"/>
      <c r="D635" s="6"/>
      <c r="E635" s="52"/>
      <c r="F635" s="6"/>
      <c r="G635" s="6"/>
    </row>
    <row r="636" spans="1:7" ht="13">
      <c r="A636" s="6"/>
      <c r="B636" s="6"/>
      <c r="C636" s="6"/>
      <c r="D636" s="6"/>
      <c r="E636" s="52"/>
      <c r="F636" s="6"/>
      <c r="G636" s="6"/>
    </row>
    <row r="637" spans="1:7" ht="13">
      <c r="A637" s="6"/>
      <c r="B637" s="6"/>
      <c r="C637" s="6"/>
      <c r="D637" s="6"/>
      <c r="E637" s="52"/>
      <c r="F637" s="6"/>
      <c r="G637" s="6"/>
    </row>
    <row r="638" spans="1:7" ht="13">
      <c r="A638" s="6"/>
      <c r="B638" s="6"/>
      <c r="C638" s="6"/>
      <c r="D638" s="6"/>
      <c r="E638" s="52"/>
      <c r="F638" s="6"/>
      <c r="G638" s="6"/>
    </row>
    <row r="639" spans="1:7" ht="13">
      <c r="A639" s="6"/>
      <c r="B639" s="6"/>
      <c r="C639" s="6"/>
      <c r="D639" s="6"/>
      <c r="E639" s="52"/>
      <c r="F639" s="6"/>
      <c r="G639" s="6"/>
    </row>
    <row r="640" spans="1:7" ht="13">
      <c r="A640" s="6"/>
      <c r="B640" s="6"/>
      <c r="C640" s="6"/>
      <c r="D640" s="6"/>
      <c r="E640" s="52"/>
      <c r="F640" s="6"/>
      <c r="G640" s="6"/>
    </row>
    <row r="641" spans="1:7" ht="13">
      <c r="A641" s="6"/>
      <c r="B641" s="6"/>
      <c r="C641" s="6"/>
      <c r="D641" s="6"/>
      <c r="E641" s="52"/>
      <c r="F641" s="6"/>
      <c r="G641" s="6"/>
    </row>
    <row r="642" spans="1:7" ht="13">
      <c r="A642" s="6"/>
      <c r="B642" s="6"/>
      <c r="C642" s="6"/>
      <c r="D642" s="6"/>
      <c r="E642" s="52"/>
      <c r="F642" s="6"/>
      <c r="G642" s="6"/>
    </row>
    <row r="643" spans="1:7" ht="13">
      <c r="A643" s="6"/>
      <c r="B643" s="6"/>
      <c r="C643" s="6"/>
      <c r="D643" s="6"/>
      <c r="E643" s="52"/>
      <c r="F643" s="6"/>
      <c r="G643" s="6"/>
    </row>
    <row r="644" spans="1:7" ht="13">
      <c r="A644" s="6"/>
      <c r="B644" s="6"/>
      <c r="C644" s="6"/>
      <c r="D644" s="6"/>
      <c r="E644" s="52"/>
      <c r="F644" s="6"/>
      <c r="G644" s="6"/>
    </row>
    <row r="645" spans="1:7" ht="13">
      <c r="A645" s="6"/>
      <c r="B645" s="6"/>
      <c r="C645" s="6"/>
      <c r="D645" s="6"/>
      <c r="E645" s="52"/>
      <c r="F645" s="6"/>
      <c r="G645" s="6"/>
    </row>
    <row r="646" spans="1:7" ht="13">
      <c r="A646" s="6"/>
      <c r="B646" s="6"/>
      <c r="C646" s="6"/>
      <c r="D646" s="6"/>
      <c r="E646" s="52"/>
      <c r="F646" s="6"/>
      <c r="G646" s="6"/>
    </row>
    <row r="647" spans="1:7" ht="13">
      <c r="A647" s="6"/>
      <c r="B647" s="6"/>
      <c r="C647" s="6"/>
      <c r="D647" s="6"/>
      <c r="E647" s="52"/>
      <c r="F647" s="6"/>
      <c r="G647" s="6"/>
    </row>
    <row r="648" spans="1:7" ht="13">
      <c r="A648" s="6"/>
      <c r="B648" s="6"/>
      <c r="C648" s="6"/>
      <c r="D648" s="6"/>
      <c r="E648" s="52"/>
      <c r="F648" s="6"/>
      <c r="G648" s="6"/>
    </row>
    <row r="649" spans="1:7" ht="13">
      <c r="A649" s="6"/>
      <c r="B649" s="6"/>
      <c r="C649" s="6"/>
      <c r="D649" s="6"/>
      <c r="E649" s="52"/>
      <c r="F649" s="6"/>
      <c r="G649" s="6"/>
    </row>
    <row r="650" spans="1:7" ht="13">
      <c r="A650" s="6"/>
      <c r="B650" s="6"/>
      <c r="C650" s="6"/>
      <c r="D650" s="6"/>
      <c r="E650" s="52"/>
      <c r="F650" s="6"/>
      <c r="G650" s="6"/>
    </row>
    <row r="651" spans="1:7" ht="13">
      <c r="A651" s="6"/>
      <c r="B651" s="6"/>
      <c r="C651" s="6"/>
      <c r="D651" s="6"/>
      <c r="E651" s="52"/>
      <c r="F651" s="6"/>
      <c r="G651" s="6"/>
    </row>
    <row r="652" spans="1:7" ht="13">
      <c r="A652" s="6"/>
      <c r="B652" s="6"/>
      <c r="C652" s="6"/>
      <c r="D652" s="6"/>
      <c r="E652" s="52"/>
      <c r="F652" s="6"/>
      <c r="G652" s="6"/>
    </row>
    <row r="653" spans="1:7" ht="13">
      <c r="A653" s="6"/>
      <c r="B653" s="6"/>
      <c r="C653" s="6"/>
      <c r="D653" s="6"/>
      <c r="E653" s="52"/>
      <c r="F653" s="6"/>
      <c r="G653" s="6"/>
    </row>
    <row r="654" spans="1:7" ht="13">
      <c r="A654" s="6"/>
      <c r="B654" s="6"/>
      <c r="C654" s="6"/>
      <c r="D654" s="6"/>
      <c r="E654" s="52"/>
      <c r="F654" s="6"/>
      <c r="G654" s="6"/>
    </row>
    <row r="655" spans="1:7" ht="13">
      <c r="A655" s="6"/>
      <c r="B655" s="6"/>
      <c r="C655" s="6"/>
      <c r="D655" s="6"/>
      <c r="E655" s="52"/>
      <c r="F655" s="6"/>
      <c r="G655" s="6"/>
    </row>
    <row r="656" spans="1:7" ht="13">
      <c r="A656" s="6"/>
      <c r="B656" s="6"/>
      <c r="C656" s="6"/>
      <c r="D656" s="6"/>
      <c r="E656" s="52"/>
      <c r="F656" s="6"/>
      <c r="G656" s="6"/>
    </row>
    <row r="657" spans="1:7" ht="13">
      <c r="A657" s="6"/>
      <c r="B657" s="6"/>
      <c r="C657" s="6"/>
      <c r="D657" s="6"/>
      <c r="E657" s="52"/>
      <c r="F657" s="6"/>
      <c r="G657" s="6"/>
    </row>
    <row r="658" spans="1:7" ht="13">
      <c r="A658" s="6"/>
      <c r="B658" s="6"/>
      <c r="C658" s="6"/>
      <c r="D658" s="6"/>
      <c r="E658" s="52"/>
      <c r="F658" s="6"/>
      <c r="G658" s="6"/>
    </row>
    <row r="659" spans="1:7" ht="13">
      <c r="A659" s="6"/>
      <c r="B659" s="6"/>
      <c r="C659" s="6"/>
      <c r="D659" s="6"/>
      <c r="E659" s="52"/>
      <c r="F659" s="6"/>
      <c r="G659" s="6"/>
    </row>
    <row r="660" spans="1:7" ht="13">
      <c r="A660" s="6"/>
      <c r="B660" s="6"/>
      <c r="C660" s="6"/>
      <c r="D660" s="6"/>
      <c r="E660" s="52"/>
      <c r="F660" s="6"/>
      <c r="G660" s="6"/>
    </row>
    <row r="661" spans="1:7" ht="13">
      <c r="A661" s="6"/>
      <c r="B661" s="6"/>
      <c r="C661" s="6"/>
      <c r="D661" s="6"/>
      <c r="E661" s="52"/>
      <c r="F661" s="6"/>
      <c r="G661" s="6"/>
    </row>
    <row r="662" spans="1:7" ht="13">
      <c r="A662" s="6"/>
      <c r="B662" s="6"/>
      <c r="C662" s="6"/>
      <c r="D662" s="6"/>
      <c r="E662" s="52"/>
      <c r="F662" s="6"/>
      <c r="G662" s="6"/>
    </row>
    <row r="663" spans="1:7" ht="13">
      <c r="A663" s="6"/>
      <c r="B663" s="6"/>
      <c r="C663" s="6"/>
      <c r="D663" s="6"/>
      <c r="E663" s="52"/>
      <c r="F663" s="6"/>
      <c r="G663" s="55"/>
    </row>
    <row r="664" spans="1:7" ht="13">
      <c r="A664" s="6"/>
      <c r="B664" s="6"/>
      <c r="C664" s="6"/>
      <c r="D664" s="6"/>
      <c r="E664" s="52"/>
      <c r="F664" s="6"/>
      <c r="G664" s="55"/>
    </row>
    <row r="665" spans="1:7" ht="13">
      <c r="A665" s="6"/>
      <c r="B665" s="6"/>
      <c r="C665" s="6"/>
      <c r="D665" s="6"/>
      <c r="E665" s="52"/>
      <c r="F665" s="6"/>
      <c r="G665" s="55"/>
    </row>
    <row r="666" spans="1:7" ht="13">
      <c r="A666" s="6"/>
      <c r="B666" s="6"/>
      <c r="C666" s="6"/>
      <c r="D666" s="6"/>
      <c r="E666" s="52"/>
      <c r="F666" s="6"/>
      <c r="G666" s="6"/>
    </row>
  </sheetData>
  <phoneticPr fontId="14" type="noConversion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H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/>
  <cols>
    <col min="1" max="1" width="6.83203125" customWidth="1"/>
    <col min="2" max="2" width="26.33203125" customWidth="1"/>
    <col min="3" max="4" width="40.1640625" customWidth="1"/>
    <col min="5" max="5" width="27.1640625" customWidth="1"/>
    <col min="6" max="6" width="39" customWidth="1"/>
    <col min="7" max="8" width="40.1640625" customWidth="1"/>
  </cols>
  <sheetData>
    <row r="1" spans="1:8" ht="15.75" customHeight="1">
      <c r="A1" s="6" t="s">
        <v>0</v>
      </c>
      <c r="B1" s="6" t="s">
        <v>1</v>
      </c>
      <c r="C1" s="6" t="s">
        <v>2</v>
      </c>
      <c r="D1" s="6" t="s">
        <v>4</v>
      </c>
      <c r="E1" s="52" t="s">
        <v>5</v>
      </c>
      <c r="F1" s="6" t="s">
        <v>6</v>
      </c>
      <c r="G1" s="6" t="s">
        <v>7</v>
      </c>
      <c r="H1" s="6" t="s">
        <v>333</v>
      </c>
    </row>
    <row r="2" spans="1:8" ht="15.75" customHeight="1">
      <c r="A2" s="62" t="s">
        <v>334</v>
      </c>
      <c r="B2" s="6" t="s">
        <v>228</v>
      </c>
      <c r="C2" s="6" t="s">
        <v>228</v>
      </c>
      <c r="D2" s="6" t="s">
        <v>335</v>
      </c>
      <c r="E2" s="52">
        <v>4300000</v>
      </c>
      <c r="F2" s="6" t="s">
        <v>228</v>
      </c>
      <c r="G2" s="6" t="s">
        <v>336</v>
      </c>
      <c r="H2" s="15" t="s">
        <v>337</v>
      </c>
    </row>
    <row r="3" spans="1:8" ht="15.75" customHeight="1">
      <c r="E3" s="52"/>
    </row>
    <row r="4" spans="1:8" ht="15.75" customHeight="1">
      <c r="E4" s="52"/>
    </row>
    <row r="5" spans="1:8" ht="15.75" customHeight="1">
      <c r="E5" s="52"/>
    </row>
    <row r="6" spans="1:8" ht="15.75" customHeight="1">
      <c r="E6" s="52"/>
    </row>
    <row r="7" spans="1:8" ht="15.75" customHeight="1">
      <c r="E7" s="52"/>
    </row>
    <row r="8" spans="1:8" ht="15.75" customHeight="1">
      <c r="E8" s="52"/>
    </row>
    <row r="9" spans="1:8" ht="15.75" customHeight="1">
      <c r="E9" s="52"/>
    </row>
    <row r="10" spans="1:8" ht="15.75" customHeight="1">
      <c r="E10" s="52"/>
    </row>
    <row r="11" spans="1:8" ht="15.75" customHeight="1"/>
    <row r="12" spans="1:8" ht="15.75" customHeight="1"/>
    <row r="13" spans="1:8" ht="15.75" customHeight="1"/>
    <row r="14" spans="1:8" ht="15.75" customHeight="1"/>
    <row r="15" spans="1:8" ht="15.75" customHeight="1"/>
    <row r="16" spans="1: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4" type="noConversion"/>
  <hyperlinks>
    <hyperlink ref="H2" r:id="rId1" xr:uid="{00000000-0004-0000-09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Raw Data</vt:lpstr>
      <vt:lpstr>Data by Year</vt:lpstr>
      <vt:lpstr>Data by Plan</vt:lpstr>
      <vt:lpstr>Funding received</vt:lpstr>
      <vt:lpstr>Funding requirements</vt:lpstr>
      <vt:lpstr>People in Need OUSG Metric</vt:lpstr>
      <vt:lpstr>People in Need and People targe</vt:lpstr>
      <vt:lpstr>Chart1</vt:lpstr>
      <vt:lpstr>Raw data 2011 - 2013</vt:lpstr>
      <vt:lpstr>Temporary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2025-10-17T10:31:51Z</dcterms:modified>
</cp:coreProperties>
</file>