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ijeong-yeon/Adenium/data/Subnational Population Statistics/Somalia/"/>
    </mc:Choice>
  </mc:AlternateContent>
  <xr:revisionPtr revIDLastSave="0" documentId="13_ncr:1_{84E06053-F9C9-654C-B661-E9C13E6D95F4}" xr6:coauthVersionLast="47" xr6:coauthVersionMax="47" xr10:uidLastSave="{00000000-0000-0000-0000-000000000000}"/>
  <bookViews>
    <workbookView xWindow="15540" yWindow="760" windowWidth="14700" windowHeight="18880" xr2:uid="{00000000-000D-0000-FFFF-FFFF00000000}"/>
  </bookViews>
  <sheets>
    <sheet name="Somalia_20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1" l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<sst xmlns="http://schemas.openxmlformats.org/spreadsheetml/2006/main" count="85" uniqueCount="51">
  <si>
    <t>admin0Pcode</t>
  </si>
  <si>
    <t>admin0Name_en</t>
  </si>
  <si>
    <t>ADM1_PCODE</t>
  </si>
  <si>
    <t>admin1Name_en</t>
  </si>
  <si>
    <t>T_TL_2005</t>
  </si>
  <si>
    <t>U_TL_2005</t>
  </si>
  <si>
    <t>R_TL_2005</t>
  </si>
  <si>
    <t>T_TL</t>
  </si>
  <si>
    <t>U_TL</t>
  </si>
  <si>
    <t>R_TL</t>
  </si>
  <si>
    <t>IDP_TL</t>
  </si>
  <si>
    <t>SO</t>
  </si>
  <si>
    <t>Somalia</t>
  </si>
  <si>
    <t>SO11</t>
  </si>
  <si>
    <t>Awdal</t>
  </si>
  <si>
    <t>SO12</t>
  </si>
  <si>
    <t>Woqooyi Galbeed</t>
  </si>
  <si>
    <t>SO13</t>
  </si>
  <si>
    <t>Togdheer</t>
  </si>
  <si>
    <t>SO14</t>
  </si>
  <si>
    <t>Sool</t>
  </si>
  <si>
    <t>SO15</t>
  </si>
  <si>
    <t>Sanaag</t>
  </si>
  <si>
    <t>SO16</t>
  </si>
  <si>
    <t>Bari</t>
  </si>
  <si>
    <t>SO17</t>
  </si>
  <si>
    <t>Nugaal</t>
  </si>
  <si>
    <t>SO18</t>
  </si>
  <si>
    <t>Mudug</t>
  </si>
  <si>
    <t>SO19</t>
  </si>
  <si>
    <t>Galgaduud</t>
  </si>
  <si>
    <t>SO20</t>
  </si>
  <si>
    <t>Hiraan</t>
  </si>
  <si>
    <t>SO21</t>
  </si>
  <si>
    <t>Middle Shabelle</t>
  </si>
  <si>
    <t>SO22</t>
  </si>
  <si>
    <t>Banadir</t>
  </si>
  <si>
    <t>SO23</t>
  </si>
  <si>
    <t>Lower Shabelle</t>
  </si>
  <si>
    <t>SO24</t>
  </si>
  <si>
    <t>Bay</t>
  </si>
  <si>
    <t>SO25</t>
  </si>
  <si>
    <t>Bakool</t>
  </si>
  <si>
    <t>SO26</t>
  </si>
  <si>
    <t>Gedo</t>
  </si>
  <si>
    <t>SO27</t>
  </si>
  <si>
    <t>Middle Juba</t>
  </si>
  <si>
    <t>SO28</t>
  </si>
  <si>
    <t>Lower Juba</t>
  </si>
  <si>
    <t>F_TL</t>
    <phoneticPr fontId="3" type="noConversion"/>
  </si>
  <si>
    <t>M_TL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</si>
</sst>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8"/>
      <name val="가나초콜릿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2" fillId="0" borderId="0" xfId="0" applyNumberFormat="1" applyFont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9"/>
  <sheetViews>
    <sheetView showGridLines="0" tabSelected="1" topLeftCell="B1" workbookViewId="0">
      <selection activeCell="I21" sqref="I21"/>
    </sheetView>
  </sheetViews>
  <sheetFormatPr baseColWidth="10" defaultColWidth="8.33203125" defaultRowHeight="20" customHeight="1"/>
  <cols>
    <col min="1" max="1" width="12.33203125" style="1" customWidth="1"/>
    <col min="2" max="2" width="14.83203125" style="1" customWidth="1"/>
    <col min="3" max="3" width="12.33203125" style="1" customWidth="1"/>
    <col min="4" max="4" width="14.6640625" style="1" customWidth="1"/>
    <col min="5" max="5" width="9.83203125" style="1" customWidth="1"/>
    <col min="6" max="6" width="10.1640625" style="1" customWidth="1"/>
    <col min="7" max="7" width="10" style="1" customWidth="1"/>
    <col min="8" max="9" width="8" style="1" customWidth="1"/>
    <col min="10" max="10" width="7" style="1" customWidth="1"/>
    <col min="11" max="11" width="7.1640625" style="1" customWidth="1"/>
    <col min="12" max="12" width="8.33203125" style="1" customWidth="1"/>
    <col min="13" max="16384" width="8.33203125" style="1"/>
  </cols>
  <sheetData>
    <row r="1" spans="1:13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1" t="s">
        <v>49</v>
      </c>
      <c r="M1" s="11" t="s">
        <v>50</v>
      </c>
    </row>
    <row r="2" spans="1:13" ht="20.25" customHeight="1">
      <c r="A2" s="3" t="s">
        <v>11</v>
      </c>
      <c r="B2" s="4" t="s">
        <v>12</v>
      </c>
      <c r="C2" s="5" t="s">
        <v>13</v>
      </c>
      <c r="D2" s="5" t="s">
        <v>14</v>
      </c>
      <c r="E2" s="6">
        <v>305455</v>
      </c>
      <c r="F2" s="6">
        <v>110942</v>
      </c>
      <c r="G2" s="6">
        <v>194513</v>
      </c>
      <c r="H2" s="6">
        <v>673264</v>
      </c>
      <c r="I2" s="6">
        <v>287822</v>
      </c>
      <c r="J2" s="6">
        <v>377452</v>
      </c>
      <c r="K2" s="6">
        <v>7990</v>
      </c>
      <c r="L2" s="1">
        <f>E2/2</f>
        <v>152727.5</v>
      </c>
      <c r="M2" s="1">
        <f>L2</f>
        <v>152727.5</v>
      </c>
    </row>
    <row r="3" spans="1:13" ht="20" customHeight="1">
      <c r="A3" s="7" t="s">
        <v>11</v>
      </c>
      <c r="B3" s="8" t="s">
        <v>12</v>
      </c>
      <c r="C3" s="9" t="s">
        <v>15</v>
      </c>
      <c r="D3" s="9" t="s">
        <v>16</v>
      </c>
      <c r="E3" s="10">
        <v>700345</v>
      </c>
      <c r="F3" s="10">
        <v>490432</v>
      </c>
      <c r="G3" s="10">
        <v>209913</v>
      </c>
      <c r="H3" s="10">
        <v>1242003</v>
      </c>
      <c r="I3" s="10">
        <v>802740</v>
      </c>
      <c r="J3" s="10">
        <v>394673</v>
      </c>
      <c r="K3" s="10">
        <v>44590</v>
      </c>
      <c r="L3" s="1">
        <f t="shared" ref="L3:L19" si="0">E3/2</f>
        <v>350172.5</v>
      </c>
      <c r="M3" s="1">
        <f t="shared" ref="M3:M19" si="1">L3</f>
        <v>350172.5</v>
      </c>
    </row>
    <row r="4" spans="1:13" ht="20" customHeight="1">
      <c r="A4" s="7" t="s">
        <v>11</v>
      </c>
      <c r="B4" s="8" t="s">
        <v>12</v>
      </c>
      <c r="C4" s="9" t="s">
        <v>17</v>
      </c>
      <c r="D4" s="9" t="s">
        <v>18</v>
      </c>
      <c r="E4" s="10">
        <v>402295</v>
      </c>
      <c r="F4" s="10">
        <v>123402</v>
      </c>
      <c r="G4" s="10">
        <v>278893</v>
      </c>
      <c r="H4" s="10">
        <v>721363</v>
      </c>
      <c r="I4" s="10">
        <v>483724</v>
      </c>
      <c r="J4" s="10">
        <v>211879</v>
      </c>
      <c r="K4" s="10">
        <v>25760</v>
      </c>
      <c r="L4" s="1">
        <f t="shared" si="0"/>
        <v>201147.5</v>
      </c>
      <c r="M4" s="1">
        <f t="shared" si="1"/>
        <v>201147.5</v>
      </c>
    </row>
    <row r="5" spans="1:13" ht="20" customHeight="1">
      <c r="A5" s="7" t="s">
        <v>11</v>
      </c>
      <c r="B5" s="8" t="s">
        <v>12</v>
      </c>
      <c r="C5" s="9" t="s">
        <v>19</v>
      </c>
      <c r="D5" s="9" t="s">
        <v>20</v>
      </c>
      <c r="E5" s="10">
        <v>150277</v>
      </c>
      <c r="F5" s="10">
        <v>39134</v>
      </c>
      <c r="G5" s="10">
        <v>111143</v>
      </c>
      <c r="H5" s="10">
        <v>327427</v>
      </c>
      <c r="I5" s="10">
        <v>120993</v>
      </c>
      <c r="J5" s="10">
        <v>201614</v>
      </c>
      <c r="K5" s="10">
        <v>4820</v>
      </c>
      <c r="L5" s="1">
        <f t="shared" si="0"/>
        <v>75138.5</v>
      </c>
      <c r="M5" s="1">
        <f t="shared" si="1"/>
        <v>75138.5</v>
      </c>
    </row>
    <row r="6" spans="1:13" ht="20" customHeight="1">
      <c r="A6" s="7" t="s">
        <v>11</v>
      </c>
      <c r="B6" s="8" t="s">
        <v>12</v>
      </c>
      <c r="C6" s="9" t="s">
        <v>21</v>
      </c>
      <c r="D6" s="9" t="s">
        <v>22</v>
      </c>
      <c r="E6" s="10">
        <v>270367</v>
      </c>
      <c r="F6" s="10">
        <v>56079</v>
      </c>
      <c r="G6" s="10">
        <v>214288</v>
      </c>
      <c r="H6" s="10">
        <v>544123</v>
      </c>
      <c r="I6" s="10">
        <v>159717</v>
      </c>
      <c r="J6" s="10">
        <v>383496</v>
      </c>
      <c r="K6" s="10">
        <v>910</v>
      </c>
      <c r="L6" s="1">
        <f t="shared" si="0"/>
        <v>135183.5</v>
      </c>
      <c r="M6" s="1">
        <f t="shared" si="1"/>
        <v>135183.5</v>
      </c>
    </row>
    <row r="7" spans="1:13" ht="20" customHeight="1">
      <c r="A7" s="7" t="s">
        <v>11</v>
      </c>
      <c r="B7" s="8" t="s">
        <v>12</v>
      </c>
      <c r="C7" s="9" t="s">
        <v>23</v>
      </c>
      <c r="D7" s="9" t="s">
        <v>24</v>
      </c>
      <c r="E7" s="10">
        <v>367638</v>
      </c>
      <c r="F7" s="10">
        <v>179633</v>
      </c>
      <c r="G7" s="10">
        <v>188005</v>
      </c>
      <c r="H7" s="10">
        <v>730147</v>
      </c>
      <c r="I7" s="10">
        <v>471784</v>
      </c>
      <c r="J7" s="10">
        <v>198717</v>
      </c>
      <c r="K7" s="10">
        <v>59646</v>
      </c>
      <c r="L7" s="1">
        <f t="shared" si="0"/>
        <v>183819</v>
      </c>
      <c r="M7" s="1">
        <f t="shared" si="1"/>
        <v>183819</v>
      </c>
    </row>
    <row r="8" spans="1:13" ht="20" customHeight="1">
      <c r="A8" s="7" t="s">
        <v>11</v>
      </c>
      <c r="B8" s="8" t="s">
        <v>12</v>
      </c>
      <c r="C8" s="9" t="s">
        <v>25</v>
      </c>
      <c r="D8" s="9" t="s">
        <v>26</v>
      </c>
      <c r="E8" s="10">
        <v>145341</v>
      </c>
      <c r="F8" s="10">
        <v>54749</v>
      </c>
      <c r="G8" s="10">
        <v>90592</v>
      </c>
      <c r="H8" s="10">
        <v>392697</v>
      </c>
      <c r="I8" s="10">
        <v>138929</v>
      </c>
      <c r="J8" s="10">
        <v>244273</v>
      </c>
      <c r="K8" s="10">
        <v>9495</v>
      </c>
      <c r="L8" s="1">
        <f t="shared" si="0"/>
        <v>72670.5</v>
      </c>
      <c r="M8" s="1">
        <f t="shared" si="1"/>
        <v>72670.5</v>
      </c>
    </row>
    <row r="9" spans="1:13" ht="20" customHeight="1">
      <c r="A9" s="7" t="s">
        <v>11</v>
      </c>
      <c r="B9" s="8" t="s">
        <v>12</v>
      </c>
      <c r="C9" s="9" t="s">
        <v>27</v>
      </c>
      <c r="D9" s="9" t="s">
        <v>28</v>
      </c>
      <c r="E9" s="10">
        <v>350099</v>
      </c>
      <c r="F9" s="10">
        <v>94405</v>
      </c>
      <c r="G9" s="10">
        <v>255694</v>
      </c>
      <c r="H9" s="10">
        <v>717862</v>
      </c>
      <c r="I9" s="10">
        <v>381493</v>
      </c>
      <c r="J9" s="10">
        <v>265487</v>
      </c>
      <c r="K9" s="10">
        <v>70882</v>
      </c>
      <c r="L9" s="1">
        <f t="shared" si="0"/>
        <v>175049.5</v>
      </c>
      <c r="M9" s="1">
        <f t="shared" si="1"/>
        <v>175049.5</v>
      </c>
    </row>
    <row r="10" spans="1:13" ht="20" customHeight="1">
      <c r="A10" s="7" t="s">
        <v>11</v>
      </c>
      <c r="B10" s="8" t="s">
        <v>12</v>
      </c>
      <c r="C10" s="9" t="s">
        <v>29</v>
      </c>
      <c r="D10" s="9" t="s">
        <v>30</v>
      </c>
      <c r="E10" s="10">
        <v>330057</v>
      </c>
      <c r="F10" s="10">
        <v>58977</v>
      </c>
      <c r="G10" s="10">
        <v>271080</v>
      </c>
      <c r="H10" s="10">
        <v>569434</v>
      </c>
      <c r="I10" s="10">
        <v>183553</v>
      </c>
      <c r="J10" s="10">
        <v>266113</v>
      </c>
      <c r="K10" s="10">
        <v>119768</v>
      </c>
      <c r="L10" s="1">
        <f t="shared" si="0"/>
        <v>165028.5</v>
      </c>
      <c r="M10" s="1">
        <f t="shared" si="1"/>
        <v>165028.5</v>
      </c>
    </row>
    <row r="11" spans="1:13" ht="20" customHeight="1">
      <c r="A11" s="7" t="s">
        <v>11</v>
      </c>
      <c r="B11" s="8" t="s">
        <v>12</v>
      </c>
      <c r="C11" s="9" t="s">
        <v>31</v>
      </c>
      <c r="D11" s="9" t="s">
        <v>32</v>
      </c>
      <c r="E11" s="10">
        <v>329811</v>
      </c>
      <c r="F11" s="10">
        <v>69113</v>
      </c>
      <c r="G11" s="10">
        <v>260698</v>
      </c>
      <c r="H11" s="10">
        <v>520686</v>
      </c>
      <c r="I11" s="10">
        <v>81379</v>
      </c>
      <c r="J11" s="10">
        <v>388147</v>
      </c>
      <c r="K11" s="10">
        <v>51160</v>
      </c>
      <c r="L11" s="1">
        <f t="shared" si="0"/>
        <v>164905.5</v>
      </c>
      <c r="M11" s="1">
        <f t="shared" si="1"/>
        <v>164905.5</v>
      </c>
    </row>
    <row r="12" spans="1:13" ht="20" customHeight="1">
      <c r="A12" s="7" t="s">
        <v>11</v>
      </c>
      <c r="B12" s="8" t="s">
        <v>12</v>
      </c>
      <c r="C12" s="9" t="s">
        <v>33</v>
      </c>
      <c r="D12" s="9" t="s">
        <v>34</v>
      </c>
      <c r="E12" s="10">
        <v>514901</v>
      </c>
      <c r="F12" s="10">
        <v>95831</v>
      </c>
      <c r="G12" s="10">
        <v>419070</v>
      </c>
      <c r="H12" s="10">
        <v>516035</v>
      </c>
      <c r="I12" s="10">
        <v>114348</v>
      </c>
      <c r="J12" s="10">
        <v>349727</v>
      </c>
      <c r="K12" s="10">
        <v>51960</v>
      </c>
      <c r="L12" s="1">
        <f t="shared" si="0"/>
        <v>257450.5</v>
      </c>
      <c r="M12" s="1">
        <f t="shared" si="1"/>
        <v>257450.5</v>
      </c>
    </row>
    <row r="13" spans="1:13" ht="20" customHeight="1">
      <c r="A13" s="7" t="s">
        <v>11</v>
      </c>
      <c r="B13" s="8" t="s">
        <v>12</v>
      </c>
      <c r="C13" s="9" t="s">
        <v>35</v>
      </c>
      <c r="D13" s="9" t="s">
        <v>36</v>
      </c>
      <c r="E13" s="10">
        <v>901183</v>
      </c>
      <c r="F13" s="10">
        <v>901183</v>
      </c>
      <c r="G13" s="10">
        <v>0</v>
      </c>
      <c r="H13" s="10">
        <v>1650228</v>
      </c>
      <c r="I13" s="10">
        <v>1280939</v>
      </c>
      <c r="J13" s="10">
        <v>0</v>
      </c>
      <c r="K13" s="10">
        <v>369289</v>
      </c>
      <c r="L13" s="1">
        <f t="shared" si="0"/>
        <v>450591.5</v>
      </c>
      <c r="M13" s="1">
        <f t="shared" si="1"/>
        <v>450591.5</v>
      </c>
    </row>
    <row r="14" spans="1:13" ht="20" customHeight="1">
      <c r="A14" s="7" t="s">
        <v>11</v>
      </c>
      <c r="B14" s="8" t="s">
        <v>12</v>
      </c>
      <c r="C14" s="9" t="s">
        <v>37</v>
      </c>
      <c r="D14" s="9" t="s">
        <v>38</v>
      </c>
      <c r="E14" s="10">
        <v>850651</v>
      </c>
      <c r="F14" s="10">
        <v>172714</v>
      </c>
      <c r="G14" s="10">
        <v>677937</v>
      </c>
      <c r="H14" s="10">
        <v>1202219</v>
      </c>
      <c r="I14" s="10">
        <v>215752</v>
      </c>
      <c r="J14" s="10">
        <v>883497</v>
      </c>
      <c r="K14" s="10">
        <v>102970</v>
      </c>
      <c r="L14" s="1">
        <f t="shared" si="0"/>
        <v>425325.5</v>
      </c>
      <c r="M14" s="1">
        <f t="shared" si="1"/>
        <v>425325.5</v>
      </c>
    </row>
    <row r="15" spans="1:13" ht="20" customHeight="1">
      <c r="A15" s="7" t="s">
        <v>11</v>
      </c>
      <c r="B15" s="8" t="s">
        <v>12</v>
      </c>
      <c r="C15" s="9" t="s">
        <v>39</v>
      </c>
      <c r="D15" s="9" t="s">
        <v>40</v>
      </c>
      <c r="E15" s="10">
        <v>620562</v>
      </c>
      <c r="F15" s="10">
        <v>126813</v>
      </c>
      <c r="G15" s="10">
        <v>493749</v>
      </c>
      <c r="H15" s="10">
        <v>792182</v>
      </c>
      <c r="I15" s="10">
        <v>93046</v>
      </c>
      <c r="J15" s="10">
        <v>659316</v>
      </c>
      <c r="K15" s="10">
        <v>39820</v>
      </c>
      <c r="L15" s="1">
        <f t="shared" si="0"/>
        <v>310281</v>
      </c>
      <c r="M15" s="1">
        <f t="shared" si="1"/>
        <v>310281</v>
      </c>
    </row>
    <row r="16" spans="1:13" ht="20" customHeight="1">
      <c r="A16" s="7" t="s">
        <v>11</v>
      </c>
      <c r="B16" s="8" t="s">
        <v>12</v>
      </c>
      <c r="C16" s="9" t="s">
        <v>41</v>
      </c>
      <c r="D16" s="9" t="s">
        <v>42</v>
      </c>
      <c r="E16" s="10">
        <v>310627</v>
      </c>
      <c r="F16" s="10">
        <v>61438</v>
      </c>
      <c r="G16" s="10">
        <v>249189</v>
      </c>
      <c r="H16" s="10">
        <v>367227</v>
      </c>
      <c r="I16" s="10">
        <v>61929</v>
      </c>
      <c r="J16" s="10">
        <v>281298</v>
      </c>
      <c r="K16" s="10">
        <v>24000</v>
      </c>
      <c r="L16" s="1">
        <f t="shared" si="0"/>
        <v>155313.5</v>
      </c>
      <c r="M16" s="1">
        <f t="shared" si="1"/>
        <v>155313.5</v>
      </c>
    </row>
    <row r="17" spans="1:13" ht="20" customHeight="1">
      <c r="A17" s="7" t="s">
        <v>11</v>
      </c>
      <c r="B17" s="8" t="s">
        <v>12</v>
      </c>
      <c r="C17" s="9" t="s">
        <v>43</v>
      </c>
      <c r="D17" s="9" t="s">
        <v>44</v>
      </c>
      <c r="E17" s="10">
        <v>328378</v>
      </c>
      <c r="F17" s="10">
        <v>81302</v>
      </c>
      <c r="G17" s="10">
        <v>247076</v>
      </c>
      <c r="H17" s="10">
        <v>508403</v>
      </c>
      <c r="I17" s="10">
        <v>109141</v>
      </c>
      <c r="J17" s="10">
        <v>322534</v>
      </c>
      <c r="K17" s="10">
        <v>76728</v>
      </c>
      <c r="L17" s="1">
        <f t="shared" si="0"/>
        <v>164189</v>
      </c>
      <c r="M17" s="1">
        <f t="shared" si="1"/>
        <v>164189</v>
      </c>
    </row>
    <row r="18" spans="1:13" ht="20" customHeight="1">
      <c r="A18" s="7" t="s">
        <v>11</v>
      </c>
      <c r="B18" s="8" t="s">
        <v>12</v>
      </c>
      <c r="C18" s="9" t="s">
        <v>45</v>
      </c>
      <c r="D18" s="9" t="s">
        <v>46</v>
      </c>
      <c r="E18" s="10">
        <v>238877</v>
      </c>
      <c r="F18" s="10">
        <v>54739</v>
      </c>
      <c r="G18" s="10">
        <v>184138</v>
      </c>
      <c r="H18" s="10">
        <v>362921</v>
      </c>
      <c r="I18" s="10">
        <v>56242</v>
      </c>
      <c r="J18" s="10">
        <v>279679</v>
      </c>
      <c r="K18" s="10">
        <v>27000</v>
      </c>
      <c r="L18" s="1">
        <f t="shared" si="0"/>
        <v>119438.5</v>
      </c>
      <c r="M18" s="1">
        <f t="shared" si="1"/>
        <v>119438.5</v>
      </c>
    </row>
    <row r="19" spans="1:13" ht="20" customHeight="1">
      <c r="A19" s="7" t="s">
        <v>11</v>
      </c>
      <c r="B19" s="8" t="s">
        <v>12</v>
      </c>
      <c r="C19" s="9" t="s">
        <v>47</v>
      </c>
      <c r="D19" s="9" t="s">
        <v>48</v>
      </c>
      <c r="E19" s="10">
        <v>385790</v>
      </c>
      <c r="F19" s="10">
        <v>124682</v>
      </c>
      <c r="G19" s="10">
        <v>261108</v>
      </c>
      <c r="H19" s="10">
        <v>489307</v>
      </c>
      <c r="I19" s="10">
        <v>172861</v>
      </c>
      <c r="J19" s="10">
        <v>285846</v>
      </c>
      <c r="K19" s="10">
        <v>30600</v>
      </c>
      <c r="L19" s="1">
        <f t="shared" si="0"/>
        <v>192895</v>
      </c>
      <c r="M19" s="1">
        <f t="shared" si="1"/>
        <v>192895</v>
      </c>
    </row>
  </sheetData>
  <phoneticPr fontId="3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Somalia_2005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lsv2010@naver.com</cp:lastModifiedBy>
  <dcterms:modified xsi:type="dcterms:W3CDTF">2025-10-14T20:33:21Z</dcterms:modified>
</cp:coreProperties>
</file>