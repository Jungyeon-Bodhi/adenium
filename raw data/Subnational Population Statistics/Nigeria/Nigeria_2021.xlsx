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ijeong-yeon/Adenium/data/Subnational Population Statistics/Nigeria/"/>
    </mc:Choice>
  </mc:AlternateContent>
  <xr:revisionPtr revIDLastSave="0" documentId="13_ncr:1_{1BA70736-742C-F94F-B8FD-79C5F97F9E44}" xr6:coauthVersionLast="47" xr6:coauthVersionMax="47" xr10:uidLastSave="{00000000-0000-0000-0000-000000000000}"/>
  <bookViews>
    <workbookView xWindow="820" yWindow="760" windowWidth="23260" windowHeight="12580" tabRatio="885" xr2:uid="{00000000-000D-0000-FFFF-FFFF00000000}"/>
  </bookViews>
  <sheets>
    <sheet name="nga_admpop_adm1_2020" sheetId="21" r:id="rId1"/>
    <sheet name="Long perc formulas" sheetId="16" state="hidden" r:id="rId2"/>
  </sheets>
  <definedNames>
    <definedName name="_AMO_UniqueIdentifier" hidden="1">"'286cbc4b-8fd8-41ac-943e-6ae907cbbe34'"</definedName>
    <definedName name="_xlnm._FilterDatabase" localSheetId="0" hidden="1">nga_admpop_adm1_2020!$A$1:$BF$38</definedName>
  </definedNames>
  <calcPr calcId="191029"/>
  <pivotCaches>
    <pivotCache cacheId="1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A61" i="16" l="1"/>
  <c r="CA79" i="16" s="1"/>
  <c r="BZ61" i="16"/>
  <c r="BZ79" i="16" s="1"/>
  <c r="BY61" i="16"/>
  <c r="BY79" i="16" s="1"/>
  <c r="BX61" i="16"/>
  <c r="BX79" i="16" s="1"/>
  <c r="BW61" i="16"/>
  <c r="BW79" i="16" s="1"/>
  <c r="BV61" i="16"/>
  <c r="BV79" i="16" s="1"/>
  <c r="BU61" i="16"/>
  <c r="BU79" i="16" s="1"/>
  <c r="BT61" i="16"/>
  <c r="BT79" i="16" s="1"/>
  <c r="BS61" i="16"/>
  <c r="BS79" i="16" s="1"/>
  <c r="BR61" i="16"/>
  <c r="BR79" i="16" s="1"/>
  <c r="BQ61" i="16"/>
  <c r="BQ79" i="16" s="1"/>
  <c r="BP61" i="16"/>
  <c r="BP79" i="16" s="1"/>
  <c r="BO61" i="16"/>
  <c r="BO79" i="16" s="1"/>
  <c r="BN61" i="16"/>
  <c r="BN79" i="16" s="1"/>
  <c r="BM61" i="16"/>
  <c r="BM79" i="16" s="1"/>
  <c r="BL61" i="16"/>
  <c r="BL79" i="16" s="1"/>
  <c r="BK61" i="16"/>
  <c r="BK79" i="16" s="1"/>
  <c r="BJ61" i="16"/>
  <c r="BJ79" i="16" s="1"/>
  <c r="BI61" i="16"/>
  <c r="BI79" i="16" s="1"/>
  <c r="BH61" i="16"/>
  <c r="BH79" i="16" s="1"/>
  <c r="BG61" i="16"/>
  <c r="BG79" i="16" s="1"/>
  <c r="BF61" i="16"/>
  <c r="BF79" i="16" s="1"/>
  <c r="BE61" i="16"/>
  <c r="BE79" i="16" s="1"/>
  <c r="BD61" i="16"/>
  <c r="BD79" i="16" s="1"/>
  <c r="BC61" i="16"/>
  <c r="BC79" i="16" s="1"/>
  <c r="BB61" i="16"/>
  <c r="BB79" i="16" s="1"/>
  <c r="BA61" i="16"/>
  <c r="BA79" i="16" s="1"/>
  <c r="AZ61" i="16"/>
  <c r="AZ79" i="16" s="1"/>
  <c r="AY61" i="16"/>
  <c r="AY79" i="16" s="1"/>
  <c r="AX61" i="16"/>
  <c r="AX79" i="16" s="1"/>
  <c r="AW61" i="16"/>
  <c r="AW79" i="16" s="1"/>
  <c r="AV61" i="16"/>
  <c r="AV79" i="16" s="1"/>
  <c r="AU61" i="16"/>
  <c r="AU79" i="16" s="1"/>
  <c r="AT61" i="16"/>
  <c r="AT79" i="16" s="1"/>
  <c r="AS61" i="16"/>
  <c r="AS79" i="16" s="1"/>
  <c r="AR61" i="16"/>
  <c r="AR79" i="16" s="1"/>
  <c r="AQ61" i="16"/>
  <c r="AQ79" i="16" s="1"/>
  <c r="AP61" i="16"/>
  <c r="AP79" i="16" s="1"/>
  <c r="AO61" i="16"/>
  <c r="AO79" i="16" s="1"/>
  <c r="AN61" i="16"/>
  <c r="AN79" i="16" s="1"/>
  <c r="AM61" i="16"/>
  <c r="AM79" i="16" s="1"/>
  <c r="AL61" i="16"/>
  <c r="AL79" i="16" s="1"/>
  <c r="AK61" i="16"/>
  <c r="AK79" i="16" s="1"/>
  <c r="AJ61" i="16"/>
  <c r="AJ79" i="16" s="1"/>
  <c r="AI61" i="16"/>
  <c r="AI79" i="16" s="1"/>
  <c r="AH61" i="16"/>
  <c r="AH79" i="16" s="1"/>
  <c r="AG61" i="16"/>
  <c r="AG79" i="16" s="1"/>
  <c r="AF61" i="16"/>
  <c r="AF79" i="16" s="1"/>
  <c r="AE61" i="16"/>
  <c r="AE79" i="16" s="1"/>
  <c r="AD61" i="16"/>
  <c r="AD79" i="16" s="1"/>
  <c r="AC61" i="16"/>
  <c r="AC79" i="16" s="1"/>
  <c r="AB61" i="16"/>
  <c r="AB79" i="16" s="1"/>
  <c r="AA61" i="16"/>
  <c r="AA79" i="16" s="1"/>
  <c r="Z61" i="16"/>
  <c r="Z79" i="16" s="1"/>
  <c r="Y61" i="16"/>
  <c r="Y79" i="16" s="1"/>
  <c r="X61" i="16"/>
  <c r="X79" i="16" s="1"/>
  <c r="W61" i="16"/>
  <c r="W79" i="16" s="1"/>
  <c r="V61" i="16"/>
  <c r="V79" i="16" s="1"/>
  <c r="U61" i="16"/>
  <c r="U79" i="16" s="1"/>
  <c r="T61" i="16"/>
  <c r="T79" i="16" s="1"/>
  <c r="S61" i="16"/>
  <c r="S79" i="16" s="1"/>
  <c r="R61" i="16"/>
  <c r="R79" i="16" s="1"/>
  <c r="Q61" i="16"/>
  <c r="Q79" i="16" s="1"/>
  <c r="P61" i="16"/>
  <c r="P79" i="16" s="1"/>
  <c r="O61" i="16"/>
  <c r="O79" i="16" s="1"/>
  <c r="N61" i="16"/>
  <c r="N79" i="16" s="1"/>
  <c r="M61" i="16"/>
  <c r="M79" i="16" s="1"/>
  <c r="L61" i="16"/>
  <c r="L79" i="16" s="1"/>
  <c r="K61" i="16"/>
  <c r="K79" i="16" s="1"/>
  <c r="J61" i="16"/>
  <c r="J79" i="16" s="1"/>
  <c r="I61" i="16"/>
  <c r="I79" i="16" s="1"/>
  <c r="H61" i="16"/>
  <c r="H79" i="16" s="1"/>
  <c r="G61" i="16"/>
  <c r="G79" i="16" s="1"/>
  <c r="F61" i="16"/>
  <c r="F79" i="16" s="1"/>
  <c r="E61" i="16"/>
  <c r="D61" i="16"/>
  <c r="CA60" i="16"/>
  <c r="CA78" i="16" s="1"/>
  <c r="BZ60" i="16"/>
  <c r="BZ78" i="16" s="1"/>
  <c r="BY60" i="16"/>
  <c r="BY78" i="16" s="1"/>
  <c r="BX60" i="16"/>
  <c r="BX78" i="16" s="1"/>
  <c r="BW60" i="16"/>
  <c r="BW78" i="16" s="1"/>
  <c r="BV60" i="16"/>
  <c r="BV78" i="16" s="1"/>
  <c r="BU60" i="16"/>
  <c r="BU78" i="16" s="1"/>
  <c r="BT60" i="16"/>
  <c r="BT78" i="16" s="1"/>
  <c r="BS60" i="16"/>
  <c r="BS78" i="16" s="1"/>
  <c r="BR60" i="16"/>
  <c r="BR78" i="16" s="1"/>
  <c r="BQ60" i="16"/>
  <c r="BQ78" i="16" s="1"/>
  <c r="BP60" i="16"/>
  <c r="BP78" i="16" s="1"/>
  <c r="BO60" i="16"/>
  <c r="BO78" i="16" s="1"/>
  <c r="BN60" i="16"/>
  <c r="BN78" i="16" s="1"/>
  <c r="BM60" i="16"/>
  <c r="BM78" i="16" s="1"/>
  <c r="BL60" i="16"/>
  <c r="BL78" i="16" s="1"/>
  <c r="BK60" i="16"/>
  <c r="BK78" i="16" s="1"/>
  <c r="BJ60" i="16"/>
  <c r="BJ78" i="16" s="1"/>
  <c r="BI60" i="16"/>
  <c r="BI78" i="16" s="1"/>
  <c r="BH60" i="16"/>
  <c r="BH78" i="16" s="1"/>
  <c r="BG60" i="16"/>
  <c r="BG78" i="16" s="1"/>
  <c r="BF60" i="16"/>
  <c r="BF78" i="16" s="1"/>
  <c r="BE60" i="16"/>
  <c r="BE78" i="16" s="1"/>
  <c r="BD60" i="16"/>
  <c r="BD78" i="16" s="1"/>
  <c r="BC60" i="16"/>
  <c r="BC78" i="16" s="1"/>
  <c r="BB60" i="16"/>
  <c r="BB78" i="16" s="1"/>
  <c r="BA60" i="16"/>
  <c r="BA78" i="16" s="1"/>
  <c r="AZ60" i="16"/>
  <c r="AZ78" i="16" s="1"/>
  <c r="AY60" i="16"/>
  <c r="AY78" i="16" s="1"/>
  <c r="AX60" i="16"/>
  <c r="AX78" i="16" s="1"/>
  <c r="AW60" i="16"/>
  <c r="AW78" i="16" s="1"/>
  <c r="AV60" i="16"/>
  <c r="AV78" i="16" s="1"/>
  <c r="AU60" i="16"/>
  <c r="AU78" i="16" s="1"/>
  <c r="AT60" i="16"/>
  <c r="AT78" i="16" s="1"/>
  <c r="AS60" i="16"/>
  <c r="AS78" i="16" s="1"/>
  <c r="AR60" i="16"/>
  <c r="AR78" i="16" s="1"/>
  <c r="AQ60" i="16"/>
  <c r="AQ78" i="16" s="1"/>
  <c r="AP60" i="16"/>
  <c r="AP78" i="16" s="1"/>
  <c r="AO60" i="16"/>
  <c r="AO78" i="16" s="1"/>
  <c r="AN60" i="16"/>
  <c r="AN78" i="16" s="1"/>
  <c r="AM60" i="16"/>
  <c r="AM78" i="16" s="1"/>
  <c r="AL60" i="16"/>
  <c r="AL78" i="16" s="1"/>
  <c r="AK60" i="16"/>
  <c r="AK78" i="16" s="1"/>
  <c r="AJ60" i="16"/>
  <c r="AJ78" i="16" s="1"/>
  <c r="AI60" i="16"/>
  <c r="AI78" i="16" s="1"/>
  <c r="AH60" i="16"/>
  <c r="AH78" i="16" s="1"/>
  <c r="AG60" i="16"/>
  <c r="AG78" i="16" s="1"/>
  <c r="AF60" i="16"/>
  <c r="AF78" i="16" s="1"/>
  <c r="AE60" i="16"/>
  <c r="AE78" i="16" s="1"/>
  <c r="AD60" i="16"/>
  <c r="AD78" i="16" s="1"/>
  <c r="AC60" i="16"/>
  <c r="AC78" i="16" s="1"/>
  <c r="AB60" i="16"/>
  <c r="AB78" i="16" s="1"/>
  <c r="AA60" i="16"/>
  <c r="AA78" i="16" s="1"/>
  <c r="Z60" i="16"/>
  <c r="Z78" i="16" s="1"/>
  <c r="Y60" i="16"/>
  <c r="Y78" i="16" s="1"/>
  <c r="X60" i="16"/>
  <c r="X78" i="16" s="1"/>
  <c r="W60" i="16"/>
  <c r="W78" i="16" s="1"/>
  <c r="V60" i="16"/>
  <c r="V78" i="16" s="1"/>
  <c r="U60" i="16"/>
  <c r="U78" i="16" s="1"/>
  <c r="T60" i="16"/>
  <c r="T78" i="16" s="1"/>
  <c r="S60" i="16"/>
  <c r="S78" i="16" s="1"/>
  <c r="R60" i="16"/>
  <c r="R78" i="16" s="1"/>
  <c r="Q60" i="16"/>
  <c r="Q78" i="16" s="1"/>
  <c r="P60" i="16"/>
  <c r="P78" i="16" s="1"/>
  <c r="O60" i="16"/>
  <c r="O78" i="16" s="1"/>
  <c r="N60" i="16"/>
  <c r="N78" i="16" s="1"/>
  <c r="M60" i="16"/>
  <c r="M78" i="16" s="1"/>
  <c r="L60" i="16"/>
  <c r="L78" i="16" s="1"/>
  <c r="K60" i="16"/>
  <c r="K78" i="16" s="1"/>
  <c r="J60" i="16"/>
  <c r="J78" i="16" s="1"/>
  <c r="I60" i="16"/>
  <c r="I78" i="16" s="1"/>
  <c r="H60" i="16"/>
  <c r="H78" i="16" s="1"/>
  <c r="G60" i="16"/>
  <c r="G78" i="16" s="1"/>
  <c r="F60" i="16"/>
  <c r="F78" i="16" s="1"/>
  <c r="E60" i="16"/>
  <c r="D60" i="16"/>
  <c r="CA59" i="16"/>
  <c r="CA77" i="16" s="1"/>
  <c r="BZ59" i="16"/>
  <c r="BZ77" i="16" s="1"/>
  <c r="BY59" i="16"/>
  <c r="BY77" i="16" s="1"/>
  <c r="BX59" i="16"/>
  <c r="BX77" i="16" s="1"/>
  <c r="BW59" i="16"/>
  <c r="BW77" i="16" s="1"/>
  <c r="BV59" i="16"/>
  <c r="BV77" i="16" s="1"/>
  <c r="BU59" i="16"/>
  <c r="BU77" i="16" s="1"/>
  <c r="BT59" i="16"/>
  <c r="BT77" i="16" s="1"/>
  <c r="BS59" i="16"/>
  <c r="BS77" i="16" s="1"/>
  <c r="BR59" i="16"/>
  <c r="BR77" i="16" s="1"/>
  <c r="BQ59" i="16"/>
  <c r="BQ77" i="16" s="1"/>
  <c r="BP59" i="16"/>
  <c r="BP77" i="16" s="1"/>
  <c r="BO59" i="16"/>
  <c r="BO77" i="16" s="1"/>
  <c r="BN59" i="16"/>
  <c r="BN77" i="16" s="1"/>
  <c r="BM59" i="16"/>
  <c r="BM77" i="16" s="1"/>
  <c r="BL59" i="16"/>
  <c r="BL77" i="16" s="1"/>
  <c r="BK59" i="16"/>
  <c r="BK77" i="16" s="1"/>
  <c r="BJ59" i="16"/>
  <c r="BJ77" i="16" s="1"/>
  <c r="BI59" i="16"/>
  <c r="BI77" i="16" s="1"/>
  <c r="BH59" i="16"/>
  <c r="BH77" i="16" s="1"/>
  <c r="BG59" i="16"/>
  <c r="BG77" i="16" s="1"/>
  <c r="BF59" i="16"/>
  <c r="BF77" i="16" s="1"/>
  <c r="BE59" i="16"/>
  <c r="BE77" i="16" s="1"/>
  <c r="BD59" i="16"/>
  <c r="BD77" i="16" s="1"/>
  <c r="BC59" i="16"/>
  <c r="BC77" i="16" s="1"/>
  <c r="BB59" i="16"/>
  <c r="BB77" i="16" s="1"/>
  <c r="BA59" i="16"/>
  <c r="BA77" i="16" s="1"/>
  <c r="AZ59" i="16"/>
  <c r="AZ77" i="16" s="1"/>
  <c r="AY59" i="16"/>
  <c r="AY77" i="16" s="1"/>
  <c r="AX59" i="16"/>
  <c r="AX77" i="16" s="1"/>
  <c r="AW59" i="16"/>
  <c r="AW77" i="16" s="1"/>
  <c r="AV59" i="16"/>
  <c r="AV77" i="16" s="1"/>
  <c r="AU59" i="16"/>
  <c r="AU77" i="16" s="1"/>
  <c r="AT59" i="16"/>
  <c r="AT77" i="16" s="1"/>
  <c r="AS59" i="16"/>
  <c r="AS77" i="16" s="1"/>
  <c r="AR59" i="16"/>
  <c r="AR77" i="16" s="1"/>
  <c r="AQ59" i="16"/>
  <c r="AQ77" i="16" s="1"/>
  <c r="AP59" i="16"/>
  <c r="AP77" i="16" s="1"/>
  <c r="AO59" i="16"/>
  <c r="AO77" i="16" s="1"/>
  <c r="AN59" i="16"/>
  <c r="AN77" i="16" s="1"/>
  <c r="AM59" i="16"/>
  <c r="AM77" i="16" s="1"/>
  <c r="AL59" i="16"/>
  <c r="AL77" i="16" s="1"/>
  <c r="AK59" i="16"/>
  <c r="AK77" i="16" s="1"/>
  <c r="AJ59" i="16"/>
  <c r="AJ77" i="16" s="1"/>
  <c r="AI59" i="16"/>
  <c r="AI77" i="16" s="1"/>
  <c r="AH59" i="16"/>
  <c r="AH77" i="16" s="1"/>
  <c r="AG59" i="16"/>
  <c r="AG77" i="16" s="1"/>
  <c r="AF59" i="16"/>
  <c r="AF77" i="16" s="1"/>
  <c r="AE59" i="16"/>
  <c r="AE77" i="16" s="1"/>
  <c r="AD59" i="16"/>
  <c r="AD77" i="16" s="1"/>
  <c r="AC59" i="16"/>
  <c r="AC77" i="16" s="1"/>
  <c r="AB59" i="16"/>
  <c r="AB77" i="16" s="1"/>
  <c r="AA59" i="16"/>
  <c r="AA77" i="16" s="1"/>
  <c r="Z59" i="16"/>
  <c r="Z77" i="16" s="1"/>
  <c r="Y59" i="16"/>
  <c r="Y77" i="16" s="1"/>
  <c r="X59" i="16"/>
  <c r="X77" i="16" s="1"/>
  <c r="W59" i="16"/>
  <c r="W77" i="16" s="1"/>
  <c r="V59" i="16"/>
  <c r="V77" i="16" s="1"/>
  <c r="U59" i="16"/>
  <c r="U77" i="16" s="1"/>
  <c r="T59" i="16"/>
  <c r="T77" i="16" s="1"/>
  <c r="S59" i="16"/>
  <c r="S77" i="16" s="1"/>
  <c r="R59" i="16"/>
  <c r="R77" i="16" s="1"/>
  <c r="Q59" i="16"/>
  <c r="Q77" i="16" s="1"/>
  <c r="P59" i="16"/>
  <c r="P77" i="16" s="1"/>
  <c r="O59" i="16"/>
  <c r="O77" i="16" s="1"/>
  <c r="N59" i="16"/>
  <c r="N77" i="16" s="1"/>
  <c r="M59" i="16"/>
  <c r="M77" i="16" s="1"/>
  <c r="L59" i="16"/>
  <c r="L77" i="16" s="1"/>
  <c r="K59" i="16"/>
  <c r="K77" i="16" s="1"/>
  <c r="J59" i="16"/>
  <c r="J77" i="16" s="1"/>
  <c r="I59" i="16"/>
  <c r="I77" i="16" s="1"/>
  <c r="H59" i="16"/>
  <c r="H77" i="16" s="1"/>
  <c r="G59" i="16"/>
  <c r="G77" i="16" s="1"/>
  <c r="F59" i="16"/>
  <c r="F77" i="16" s="1"/>
  <c r="E59" i="16"/>
  <c r="D59" i="16"/>
  <c r="CA58" i="16"/>
  <c r="CA76" i="16" s="1"/>
  <c r="BZ58" i="16"/>
  <c r="BZ76" i="16" s="1"/>
  <c r="BY58" i="16"/>
  <c r="BY76" i="16" s="1"/>
  <c r="BX58" i="16"/>
  <c r="BX76" i="16" s="1"/>
  <c r="BW58" i="16"/>
  <c r="BW76" i="16" s="1"/>
  <c r="BV58" i="16"/>
  <c r="BV76" i="16" s="1"/>
  <c r="BU58" i="16"/>
  <c r="BU76" i="16" s="1"/>
  <c r="BT58" i="16"/>
  <c r="BT76" i="16" s="1"/>
  <c r="BS58" i="16"/>
  <c r="BS76" i="16" s="1"/>
  <c r="BR58" i="16"/>
  <c r="BR76" i="16" s="1"/>
  <c r="BQ58" i="16"/>
  <c r="BQ76" i="16" s="1"/>
  <c r="BP58" i="16"/>
  <c r="BP76" i="16" s="1"/>
  <c r="BO58" i="16"/>
  <c r="BO76" i="16" s="1"/>
  <c r="BN58" i="16"/>
  <c r="BN76" i="16" s="1"/>
  <c r="BM58" i="16"/>
  <c r="BM76" i="16" s="1"/>
  <c r="BL58" i="16"/>
  <c r="BL76" i="16" s="1"/>
  <c r="BK58" i="16"/>
  <c r="BK76" i="16" s="1"/>
  <c r="BJ58" i="16"/>
  <c r="BJ76" i="16" s="1"/>
  <c r="BI58" i="16"/>
  <c r="BI76" i="16" s="1"/>
  <c r="BH58" i="16"/>
  <c r="BH76" i="16" s="1"/>
  <c r="BG58" i="16"/>
  <c r="BG76" i="16" s="1"/>
  <c r="BF58" i="16"/>
  <c r="BF76" i="16" s="1"/>
  <c r="BE58" i="16"/>
  <c r="BE76" i="16" s="1"/>
  <c r="BD58" i="16"/>
  <c r="BD76" i="16" s="1"/>
  <c r="BC58" i="16"/>
  <c r="BC76" i="16" s="1"/>
  <c r="BB58" i="16"/>
  <c r="BB76" i="16" s="1"/>
  <c r="BA58" i="16"/>
  <c r="BA76" i="16" s="1"/>
  <c r="AZ58" i="16"/>
  <c r="AZ76" i="16" s="1"/>
  <c r="AY58" i="16"/>
  <c r="AY76" i="16" s="1"/>
  <c r="AX58" i="16"/>
  <c r="AX76" i="16" s="1"/>
  <c r="AW58" i="16"/>
  <c r="AW76" i="16" s="1"/>
  <c r="AV58" i="16"/>
  <c r="AV76" i="16" s="1"/>
  <c r="AU58" i="16"/>
  <c r="AU76" i="16" s="1"/>
  <c r="AT58" i="16"/>
  <c r="AT76" i="16" s="1"/>
  <c r="AS58" i="16"/>
  <c r="AS76" i="16" s="1"/>
  <c r="AR58" i="16"/>
  <c r="AR76" i="16" s="1"/>
  <c r="AQ58" i="16"/>
  <c r="AQ76" i="16" s="1"/>
  <c r="AP58" i="16"/>
  <c r="AP76" i="16" s="1"/>
  <c r="AO58" i="16"/>
  <c r="AO76" i="16" s="1"/>
  <c r="AN58" i="16"/>
  <c r="AN76" i="16" s="1"/>
  <c r="AM58" i="16"/>
  <c r="AM76" i="16" s="1"/>
  <c r="AL58" i="16"/>
  <c r="AL76" i="16" s="1"/>
  <c r="AK58" i="16"/>
  <c r="AK76" i="16" s="1"/>
  <c r="AJ58" i="16"/>
  <c r="AJ76" i="16" s="1"/>
  <c r="AI58" i="16"/>
  <c r="AI76" i="16" s="1"/>
  <c r="AH58" i="16"/>
  <c r="AH76" i="16" s="1"/>
  <c r="AG58" i="16"/>
  <c r="AG76" i="16" s="1"/>
  <c r="AF58" i="16"/>
  <c r="AF76" i="16" s="1"/>
  <c r="AE58" i="16"/>
  <c r="AE76" i="16" s="1"/>
  <c r="AD58" i="16"/>
  <c r="AD76" i="16" s="1"/>
  <c r="AC58" i="16"/>
  <c r="AC76" i="16" s="1"/>
  <c r="AB58" i="16"/>
  <c r="AB76" i="16" s="1"/>
  <c r="AA58" i="16"/>
  <c r="AA76" i="16" s="1"/>
  <c r="Z58" i="16"/>
  <c r="Z76" i="16" s="1"/>
  <c r="Y58" i="16"/>
  <c r="Y76" i="16" s="1"/>
  <c r="X58" i="16"/>
  <c r="X76" i="16" s="1"/>
  <c r="W58" i="16"/>
  <c r="W76" i="16" s="1"/>
  <c r="V58" i="16"/>
  <c r="V76" i="16" s="1"/>
  <c r="U58" i="16"/>
  <c r="U76" i="16" s="1"/>
  <c r="T58" i="16"/>
  <c r="T76" i="16" s="1"/>
  <c r="S58" i="16"/>
  <c r="S76" i="16" s="1"/>
  <c r="R58" i="16"/>
  <c r="R76" i="16" s="1"/>
  <c r="Q58" i="16"/>
  <c r="Q76" i="16" s="1"/>
  <c r="P58" i="16"/>
  <c r="P76" i="16" s="1"/>
  <c r="O58" i="16"/>
  <c r="O76" i="16" s="1"/>
  <c r="N58" i="16"/>
  <c r="N76" i="16" s="1"/>
  <c r="M58" i="16"/>
  <c r="M76" i="16" s="1"/>
  <c r="L58" i="16"/>
  <c r="L76" i="16" s="1"/>
  <c r="K58" i="16"/>
  <c r="K76" i="16" s="1"/>
  <c r="J58" i="16"/>
  <c r="J76" i="16" s="1"/>
  <c r="I58" i="16"/>
  <c r="I76" i="16" s="1"/>
  <c r="H58" i="16"/>
  <c r="H76" i="16" s="1"/>
  <c r="G58" i="16"/>
  <c r="G76" i="16" s="1"/>
  <c r="F58" i="16"/>
  <c r="F76" i="16" s="1"/>
  <c r="E58" i="16"/>
  <c r="D58" i="16"/>
  <c r="CA57" i="16"/>
  <c r="CA75" i="16" s="1"/>
  <c r="BZ57" i="16"/>
  <c r="BZ75" i="16" s="1"/>
  <c r="BY57" i="16"/>
  <c r="BY75" i="16" s="1"/>
  <c r="BX57" i="16"/>
  <c r="BX75" i="16" s="1"/>
  <c r="BW57" i="16"/>
  <c r="BW75" i="16" s="1"/>
  <c r="BV57" i="16"/>
  <c r="BV75" i="16" s="1"/>
  <c r="BU57" i="16"/>
  <c r="BU75" i="16" s="1"/>
  <c r="BT57" i="16"/>
  <c r="BT75" i="16" s="1"/>
  <c r="BS57" i="16"/>
  <c r="BS75" i="16" s="1"/>
  <c r="BR57" i="16"/>
  <c r="BR75" i="16" s="1"/>
  <c r="BQ57" i="16"/>
  <c r="BQ75" i="16" s="1"/>
  <c r="BP57" i="16"/>
  <c r="BP75" i="16" s="1"/>
  <c r="BO57" i="16"/>
  <c r="BO75" i="16" s="1"/>
  <c r="BN57" i="16"/>
  <c r="BN75" i="16" s="1"/>
  <c r="BM57" i="16"/>
  <c r="BM75" i="16" s="1"/>
  <c r="BL57" i="16"/>
  <c r="BL75" i="16" s="1"/>
  <c r="BK57" i="16"/>
  <c r="BK75" i="16" s="1"/>
  <c r="BJ57" i="16"/>
  <c r="BJ75" i="16" s="1"/>
  <c r="BI57" i="16"/>
  <c r="BI75" i="16" s="1"/>
  <c r="BH57" i="16"/>
  <c r="BH75" i="16" s="1"/>
  <c r="BG57" i="16"/>
  <c r="BG75" i="16" s="1"/>
  <c r="BF57" i="16"/>
  <c r="BF75" i="16" s="1"/>
  <c r="BE57" i="16"/>
  <c r="BE75" i="16" s="1"/>
  <c r="BD57" i="16"/>
  <c r="BD75" i="16" s="1"/>
  <c r="BC57" i="16"/>
  <c r="BC75" i="16" s="1"/>
  <c r="BB57" i="16"/>
  <c r="BB75" i="16" s="1"/>
  <c r="BA57" i="16"/>
  <c r="BA75" i="16" s="1"/>
  <c r="AZ57" i="16"/>
  <c r="AZ75" i="16" s="1"/>
  <c r="AY57" i="16"/>
  <c r="AY75" i="16" s="1"/>
  <c r="AX57" i="16"/>
  <c r="AX75" i="16" s="1"/>
  <c r="AW57" i="16"/>
  <c r="AW75" i="16" s="1"/>
  <c r="AV57" i="16"/>
  <c r="AV75" i="16" s="1"/>
  <c r="AU57" i="16"/>
  <c r="AU75" i="16" s="1"/>
  <c r="AT57" i="16"/>
  <c r="AT75" i="16" s="1"/>
  <c r="AS57" i="16"/>
  <c r="AS75" i="16" s="1"/>
  <c r="AR57" i="16"/>
  <c r="AR75" i="16" s="1"/>
  <c r="AQ57" i="16"/>
  <c r="AQ75" i="16" s="1"/>
  <c r="AP57" i="16"/>
  <c r="AP75" i="16" s="1"/>
  <c r="AO57" i="16"/>
  <c r="AO75" i="16" s="1"/>
  <c r="AN57" i="16"/>
  <c r="AN75" i="16" s="1"/>
  <c r="AM57" i="16"/>
  <c r="AM75" i="16" s="1"/>
  <c r="AL57" i="16"/>
  <c r="AL75" i="16" s="1"/>
  <c r="AK57" i="16"/>
  <c r="AK75" i="16" s="1"/>
  <c r="AJ57" i="16"/>
  <c r="AJ75" i="16" s="1"/>
  <c r="AI57" i="16"/>
  <c r="AI75" i="16" s="1"/>
  <c r="AH57" i="16"/>
  <c r="AH75" i="16" s="1"/>
  <c r="AG57" i="16"/>
  <c r="AG75" i="16" s="1"/>
  <c r="AF57" i="16"/>
  <c r="AF75" i="16" s="1"/>
  <c r="AE57" i="16"/>
  <c r="AE75" i="16" s="1"/>
  <c r="AD57" i="16"/>
  <c r="AD75" i="16" s="1"/>
  <c r="AC57" i="16"/>
  <c r="AC75" i="16" s="1"/>
  <c r="AB57" i="16"/>
  <c r="AB75" i="16" s="1"/>
  <c r="AA57" i="16"/>
  <c r="AA75" i="16" s="1"/>
  <c r="Z57" i="16"/>
  <c r="Z75" i="16" s="1"/>
  <c r="Y57" i="16"/>
  <c r="Y75" i="16" s="1"/>
  <c r="X57" i="16"/>
  <c r="X75" i="16" s="1"/>
  <c r="W57" i="16"/>
  <c r="W75" i="16" s="1"/>
  <c r="V57" i="16"/>
  <c r="V75" i="16" s="1"/>
  <c r="U57" i="16"/>
  <c r="U75" i="16" s="1"/>
  <c r="T57" i="16"/>
  <c r="T75" i="16" s="1"/>
  <c r="S57" i="16"/>
  <c r="S75" i="16" s="1"/>
  <c r="R57" i="16"/>
  <c r="R75" i="16" s="1"/>
  <c r="Q57" i="16"/>
  <c r="Q75" i="16" s="1"/>
  <c r="P57" i="16"/>
  <c r="P75" i="16" s="1"/>
  <c r="O57" i="16"/>
  <c r="O75" i="16" s="1"/>
  <c r="N57" i="16"/>
  <c r="N75" i="16" s="1"/>
  <c r="M57" i="16"/>
  <c r="M75" i="16" s="1"/>
  <c r="L57" i="16"/>
  <c r="L75" i="16" s="1"/>
  <c r="K57" i="16"/>
  <c r="K75" i="16" s="1"/>
  <c r="J57" i="16"/>
  <c r="J75" i="16" s="1"/>
  <c r="I57" i="16"/>
  <c r="I75" i="16" s="1"/>
  <c r="H57" i="16"/>
  <c r="H75" i="16" s="1"/>
  <c r="G57" i="16"/>
  <c r="G75" i="16" s="1"/>
  <c r="F57" i="16"/>
  <c r="F75" i="16" s="1"/>
  <c r="E57" i="16"/>
  <c r="D57" i="16"/>
  <c r="CA56" i="16"/>
  <c r="CA74" i="16" s="1"/>
  <c r="BZ56" i="16"/>
  <c r="BZ74" i="16" s="1"/>
  <c r="BY56" i="16"/>
  <c r="BY74" i="16" s="1"/>
  <c r="BX56" i="16"/>
  <c r="BX74" i="16" s="1"/>
  <c r="BW56" i="16"/>
  <c r="BW74" i="16" s="1"/>
  <c r="BV56" i="16"/>
  <c r="BV74" i="16" s="1"/>
  <c r="BU56" i="16"/>
  <c r="BU74" i="16" s="1"/>
  <c r="BT56" i="16"/>
  <c r="BT74" i="16" s="1"/>
  <c r="BS56" i="16"/>
  <c r="BS74" i="16" s="1"/>
  <c r="BR56" i="16"/>
  <c r="BR74" i="16" s="1"/>
  <c r="BQ56" i="16"/>
  <c r="BQ74" i="16" s="1"/>
  <c r="BP56" i="16"/>
  <c r="BP74" i="16" s="1"/>
  <c r="BO56" i="16"/>
  <c r="BO74" i="16" s="1"/>
  <c r="BN56" i="16"/>
  <c r="BN74" i="16" s="1"/>
  <c r="BM56" i="16"/>
  <c r="BM74" i="16" s="1"/>
  <c r="BL56" i="16"/>
  <c r="BL74" i="16" s="1"/>
  <c r="BK56" i="16"/>
  <c r="BK74" i="16" s="1"/>
  <c r="BJ56" i="16"/>
  <c r="BJ74" i="16" s="1"/>
  <c r="BI56" i="16"/>
  <c r="BI74" i="16" s="1"/>
  <c r="BH56" i="16"/>
  <c r="BH74" i="16" s="1"/>
  <c r="BG56" i="16"/>
  <c r="BG74" i="16" s="1"/>
  <c r="BF56" i="16"/>
  <c r="BF74" i="16" s="1"/>
  <c r="BE56" i="16"/>
  <c r="BE74" i="16" s="1"/>
  <c r="BD56" i="16"/>
  <c r="BD74" i="16" s="1"/>
  <c r="BC56" i="16"/>
  <c r="BC74" i="16" s="1"/>
  <c r="BB56" i="16"/>
  <c r="BB74" i="16" s="1"/>
  <c r="BA56" i="16"/>
  <c r="BA74" i="16" s="1"/>
  <c r="AZ56" i="16"/>
  <c r="AZ74" i="16" s="1"/>
  <c r="AY56" i="16"/>
  <c r="AY74" i="16" s="1"/>
  <c r="AX56" i="16"/>
  <c r="AX74" i="16" s="1"/>
  <c r="AW56" i="16"/>
  <c r="AW74" i="16" s="1"/>
  <c r="AV56" i="16"/>
  <c r="AV74" i="16" s="1"/>
  <c r="AU56" i="16"/>
  <c r="AU74" i="16" s="1"/>
  <c r="AT56" i="16"/>
  <c r="AT74" i="16" s="1"/>
  <c r="AS56" i="16"/>
  <c r="AS74" i="16" s="1"/>
  <c r="AR56" i="16"/>
  <c r="AR74" i="16" s="1"/>
  <c r="AQ56" i="16"/>
  <c r="AQ74" i="16" s="1"/>
  <c r="AP56" i="16"/>
  <c r="AP74" i="16" s="1"/>
  <c r="AO56" i="16"/>
  <c r="AO74" i="16" s="1"/>
  <c r="AN56" i="16"/>
  <c r="AN74" i="16" s="1"/>
  <c r="AM56" i="16"/>
  <c r="AM74" i="16" s="1"/>
  <c r="AL56" i="16"/>
  <c r="AL74" i="16" s="1"/>
  <c r="AK56" i="16"/>
  <c r="AK74" i="16" s="1"/>
  <c r="AJ56" i="16"/>
  <c r="AJ74" i="16" s="1"/>
  <c r="AI56" i="16"/>
  <c r="AI74" i="16" s="1"/>
  <c r="AH56" i="16"/>
  <c r="AH74" i="16" s="1"/>
  <c r="AG56" i="16"/>
  <c r="AG74" i="16" s="1"/>
  <c r="AF56" i="16"/>
  <c r="AF74" i="16" s="1"/>
  <c r="AE56" i="16"/>
  <c r="AE74" i="16" s="1"/>
  <c r="AD56" i="16"/>
  <c r="AD74" i="16" s="1"/>
  <c r="AC56" i="16"/>
  <c r="AC74" i="16" s="1"/>
  <c r="AB56" i="16"/>
  <c r="AB74" i="16" s="1"/>
  <c r="AA56" i="16"/>
  <c r="AA74" i="16" s="1"/>
  <c r="Z56" i="16"/>
  <c r="Z74" i="16" s="1"/>
  <c r="Y56" i="16"/>
  <c r="Y74" i="16" s="1"/>
  <c r="X56" i="16"/>
  <c r="X74" i="16" s="1"/>
  <c r="W56" i="16"/>
  <c r="W74" i="16" s="1"/>
  <c r="V56" i="16"/>
  <c r="V74" i="16" s="1"/>
  <c r="U56" i="16"/>
  <c r="U74" i="16" s="1"/>
  <c r="T56" i="16"/>
  <c r="T74" i="16" s="1"/>
  <c r="S56" i="16"/>
  <c r="S74" i="16" s="1"/>
  <c r="R56" i="16"/>
  <c r="R74" i="16" s="1"/>
  <c r="Q56" i="16"/>
  <c r="Q74" i="16" s="1"/>
  <c r="P56" i="16"/>
  <c r="P74" i="16" s="1"/>
  <c r="O56" i="16"/>
  <c r="O74" i="16" s="1"/>
  <c r="N56" i="16"/>
  <c r="N74" i="16" s="1"/>
  <c r="M56" i="16"/>
  <c r="M74" i="16" s="1"/>
  <c r="L56" i="16"/>
  <c r="L74" i="16" s="1"/>
  <c r="K56" i="16"/>
  <c r="K74" i="16" s="1"/>
  <c r="J56" i="16"/>
  <c r="J74" i="16" s="1"/>
  <c r="I56" i="16"/>
  <c r="I74" i="16" s="1"/>
  <c r="H56" i="16"/>
  <c r="H74" i="16" s="1"/>
  <c r="G56" i="16"/>
  <c r="G74" i="16" s="1"/>
  <c r="F56" i="16"/>
  <c r="F74" i="16" s="1"/>
  <c r="E56" i="16"/>
  <c r="D56" i="16"/>
  <c r="CA55" i="16"/>
  <c r="CA73" i="16" s="1"/>
  <c r="BZ55" i="16"/>
  <c r="BZ73" i="16" s="1"/>
  <c r="BY55" i="16"/>
  <c r="BY73" i="16" s="1"/>
  <c r="BX55" i="16"/>
  <c r="BX73" i="16" s="1"/>
  <c r="BW55" i="16"/>
  <c r="BW73" i="16" s="1"/>
  <c r="BV55" i="16"/>
  <c r="BV73" i="16" s="1"/>
  <c r="BU55" i="16"/>
  <c r="BU73" i="16" s="1"/>
  <c r="BT55" i="16"/>
  <c r="BT73" i="16" s="1"/>
  <c r="BS55" i="16"/>
  <c r="BS73" i="16" s="1"/>
  <c r="BR55" i="16"/>
  <c r="BR73" i="16" s="1"/>
  <c r="BQ55" i="16"/>
  <c r="BQ73" i="16" s="1"/>
  <c r="BP55" i="16"/>
  <c r="BP73" i="16" s="1"/>
  <c r="BO55" i="16"/>
  <c r="BO73" i="16" s="1"/>
  <c r="BN55" i="16"/>
  <c r="BN73" i="16" s="1"/>
  <c r="BM55" i="16"/>
  <c r="BM73" i="16" s="1"/>
  <c r="BL55" i="16"/>
  <c r="BL73" i="16" s="1"/>
  <c r="BK55" i="16"/>
  <c r="BK73" i="16" s="1"/>
  <c r="BJ55" i="16"/>
  <c r="BJ73" i="16" s="1"/>
  <c r="BI55" i="16"/>
  <c r="BI73" i="16" s="1"/>
  <c r="BH55" i="16"/>
  <c r="BH73" i="16" s="1"/>
  <c r="BG55" i="16"/>
  <c r="BG73" i="16" s="1"/>
  <c r="BF55" i="16"/>
  <c r="BF73" i="16" s="1"/>
  <c r="BE55" i="16"/>
  <c r="BE73" i="16" s="1"/>
  <c r="BD55" i="16"/>
  <c r="BD73" i="16" s="1"/>
  <c r="BC55" i="16"/>
  <c r="BC73" i="16" s="1"/>
  <c r="BB55" i="16"/>
  <c r="BB73" i="16" s="1"/>
  <c r="BA55" i="16"/>
  <c r="BA73" i="16" s="1"/>
  <c r="AZ55" i="16"/>
  <c r="AZ73" i="16" s="1"/>
  <c r="AY55" i="16"/>
  <c r="AY73" i="16" s="1"/>
  <c r="AX55" i="16"/>
  <c r="AX73" i="16" s="1"/>
  <c r="AW55" i="16"/>
  <c r="AW73" i="16" s="1"/>
  <c r="AV55" i="16"/>
  <c r="AV73" i="16" s="1"/>
  <c r="AU55" i="16"/>
  <c r="AU73" i="16" s="1"/>
  <c r="AT55" i="16"/>
  <c r="AT73" i="16" s="1"/>
  <c r="AS55" i="16"/>
  <c r="AS73" i="16" s="1"/>
  <c r="AR55" i="16"/>
  <c r="AR73" i="16" s="1"/>
  <c r="AQ55" i="16"/>
  <c r="AQ73" i="16" s="1"/>
  <c r="AP55" i="16"/>
  <c r="AP73" i="16" s="1"/>
  <c r="AO55" i="16"/>
  <c r="AO73" i="16" s="1"/>
  <c r="AN55" i="16"/>
  <c r="AN73" i="16" s="1"/>
  <c r="AM55" i="16"/>
  <c r="AM73" i="16" s="1"/>
  <c r="AL55" i="16"/>
  <c r="AL73" i="16" s="1"/>
  <c r="AK55" i="16"/>
  <c r="AK73" i="16" s="1"/>
  <c r="AJ55" i="16"/>
  <c r="AJ73" i="16" s="1"/>
  <c r="AI55" i="16"/>
  <c r="AI73" i="16" s="1"/>
  <c r="AH55" i="16"/>
  <c r="AH73" i="16" s="1"/>
  <c r="AG55" i="16"/>
  <c r="AG73" i="16" s="1"/>
  <c r="AF55" i="16"/>
  <c r="AF73" i="16" s="1"/>
  <c r="AE55" i="16"/>
  <c r="AE73" i="16" s="1"/>
  <c r="AD55" i="16"/>
  <c r="AD73" i="16" s="1"/>
  <c r="AC55" i="16"/>
  <c r="AC73" i="16" s="1"/>
  <c r="AB55" i="16"/>
  <c r="AB73" i="16" s="1"/>
  <c r="AA55" i="16"/>
  <c r="AA73" i="16" s="1"/>
  <c r="Z55" i="16"/>
  <c r="Z73" i="16" s="1"/>
  <c r="Y55" i="16"/>
  <c r="Y73" i="16" s="1"/>
  <c r="X55" i="16"/>
  <c r="X73" i="16" s="1"/>
  <c r="W55" i="16"/>
  <c r="W73" i="16" s="1"/>
  <c r="V55" i="16"/>
  <c r="V73" i="16" s="1"/>
  <c r="U55" i="16"/>
  <c r="U73" i="16" s="1"/>
  <c r="T55" i="16"/>
  <c r="T73" i="16" s="1"/>
  <c r="S55" i="16"/>
  <c r="S73" i="16" s="1"/>
  <c r="R55" i="16"/>
  <c r="R73" i="16" s="1"/>
  <c r="Q55" i="16"/>
  <c r="Q73" i="16" s="1"/>
  <c r="P55" i="16"/>
  <c r="P73" i="16" s="1"/>
  <c r="O55" i="16"/>
  <c r="O73" i="16" s="1"/>
  <c r="N55" i="16"/>
  <c r="N73" i="16" s="1"/>
  <c r="M55" i="16"/>
  <c r="M73" i="16" s="1"/>
  <c r="L55" i="16"/>
  <c r="L73" i="16" s="1"/>
  <c r="K55" i="16"/>
  <c r="K73" i="16" s="1"/>
  <c r="J55" i="16"/>
  <c r="J73" i="16" s="1"/>
  <c r="I55" i="16"/>
  <c r="I73" i="16" s="1"/>
  <c r="H55" i="16"/>
  <c r="H73" i="16" s="1"/>
  <c r="G55" i="16"/>
  <c r="G73" i="16" s="1"/>
  <c r="F55" i="16"/>
  <c r="F73" i="16" s="1"/>
  <c r="E55" i="16"/>
  <c r="D55" i="16"/>
  <c r="CA54" i="16"/>
  <c r="CA72" i="16" s="1"/>
  <c r="BZ54" i="16"/>
  <c r="BZ72" i="16" s="1"/>
  <c r="BY54" i="16"/>
  <c r="BY72" i="16" s="1"/>
  <c r="BX54" i="16"/>
  <c r="BX72" i="16" s="1"/>
  <c r="BW54" i="16"/>
  <c r="BW72" i="16" s="1"/>
  <c r="BV54" i="16"/>
  <c r="BV72" i="16" s="1"/>
  <c r="BU54" i="16"/>
  <c r="BU72" i="16" s="1"/>
  <c r="BT54" i="16"/>
  <c r="BT72" i="16" s="1"/>
  <c r="BS54" i="16"/>
  <c r="BS72" i="16" s="1"/>
  <c r="BR54" i="16"/>
  <c r="BR72" i="16" s="1"/>
  <c r="BQ54" i="16"/>
  <c r="BQ72" i="16" s="1"/>
  <c r="BP54" i="16"/>
  <c r="BP72" i="16" s="1"/>
  <c r="BO54" i="16"/>
  <c r="BO72" i="16" s="1"/>
  <c r="BN54" i="16"/>
  <c r="BN72" i="16" s="1"/>
  <c r="BM54" i="16"/>
  <c r="BM72" i="16" s="1"/>
  <c r="BL54" i="16"/>
  <c r="BL72" i="16" s="1"/>
  <c r="BK54" i="16"/>
  <c r="BK72" i="16" s="1"/>
  <c r="BJ54" i="16"/>
  <c r="BJ72" i="16" s="1"/>
  <c r="BI54" i="16"/>
  <c r="BI72" i="16" s="1"/>
  <c r="BH54" i="16"/>
  <c r="BH72" i="16" s="1"/>
  <c r="BG54" i="16"/>
  <c r="BG72" i="16" s="1"/>
  <c r="BF54" i="16"/>
  <c r="BF72" i="16" s="1"/>
  <c r="BE54" i="16"/>
  <c r="BE72" i="16" s="1"/>
  <c r="BD54" i="16"/>
  <c r="BD72" i="16" s="1"/>
  <c r="BC54" i="16"/>
  <c r="BC72" i="16" s="1"/>
  <c r="BB54" i="16"/>
  <c r="BB72" i="16" s="1"/>
  <c r="BA54" i="16"/>
  <c r="BA72" i="16" s="1"/>
  <c r="AZ54" i="16"/>
  <c r="AZ72" i="16" s="1"/>
  <c r="AY54" i="16"/>
  <c r="AY72" i="16" s="1"/>
  <c r="AX54" i="16"/>
  <c r="AX72" i="16" s="1"/>
  <c r="AW54" i="16"/>
  <c r="AW72" i="16" s="1"/>
  <c r="AV54" i="16"/>
  <c r="AV72" i="16" s="1"/>
  <c r="AU54" i="16"/>
  <c r="AU72" i="16" s="1"/>
  <c r="AT54" i="16"/>
  <c r="AT72" i="16" s="1"/>
  <c r="AS54" i="16"/>
  <c r="AS72" i="16" s="1"/>
  <c r="AR54" i="16"/>
  <c r="AR72" i="16" s="1"/>
  <c r="AQ54" i="16"/>
  <c r="AQ72" i="16" s="1"/>
  <c r="AP54" i="16"/>
  <c r="AP72" i="16" s="1"/>
  <c r="AO54" i="16"/>
  <c r="AO72" i="16" s="1"/>
  <c r="AN54" i="16"/>
  <c r="AN72" i="16" s="1"/>
  <c r="AM54" i="16"/>
  <c r="AM72" i="16" s="1"/>
  <c r="AL54" i="16"/>
  <c r="AL72" i="16" s="1"/>
  <c r="AK54" i="16"/>
  <c r="AK72" i="16" s="1"/>
  <c r="AJ54" i="16"/>
  <c r="AJ72" i="16" s="1"/>
  <c r="AI54" i="16"/>
  <c r="AI72" i="16" s="1"/>
  <c r="AH54" i="16"/>
  <c r="AH72" i="16" s="1"/>
  <c r="AG54" i="16"/>
  <c r="AG72" i="16" s="1"/>
  <c r="AF54" i="16"/>
  <c r="AF72" i="16" s="1"/>
  <c r="AE54" i="16"/>
  <c r="AE72" i="16" s="1"/>
  <c r="AD54" i="16"/>
  <c r="AD72" i="16" s="1"/>
  <c r="AC54" i="16"/>
  <c r="AC72" i="16" s="1"/>
  <c r="AB54" i="16"/>
  <c r="AB72" i="16" s="1"/>
  <c r="AA54" i="16"/>
  <c r="AA72" i="16" s="1"/>
  <c r="Z54" i="16"/>
  <c r="Z72" i="16" s="1"/>
  <c r="Y54" i="16"/>
  <c r="Y72" i="16" s="1"/>
  <c r="X54" i="16"/>
  <c r="X72" i="16" s="1"/>
  <c r="W54" i="16"/>
  <c r="W72" i="16" s="1"/>
  <c r="V54" i="16"/>
  <c r="V72" i="16" s="1"/>
  <c r="U54" i="16"/>
  <c r="U72" i="16" s="1"/>
  <c r="T54" i="16"/>
  <c r="T72" i="16" s="1"/>
  <c r="S54" i="16"/>
  <c r="S72" i="16" s="1"/>
  <c r="R54" i="16"/>
  <c r="R72" i="16" s="1"/>
  <c r="Q54" i="16"/>
  <c r="Q72" i="16" s="1"/>
  <c r="P54" i="16"/>
  <c r="P72" i="16" s="1"/>
  <c r="O54" i="16"/>
  <c r="O72" i="16" s="1"/>
  <c r="N54" i="16"/>
  <c r="N72" i="16" s="1"/>
  <c r="M54" i="16"/>
  <c r="M72" i="16" s="1"/>
  <c r="L54" i="16"/>
  <c r="L72" i="16" s="1"/>
  <c r="K54" i="16"/>
  <c r="K72" i="16" s="1"/>
  <c r="J54" i="16"/>
  <c r="J72" i="16" s="1"/>
  <c r="I54" i="16"/>
  <c r="I72" i="16" s="1"/>
  <c r="H54" i="16"/>
  <c r="H72" i="16" s="1"/>
  <c r="G54" i="16"/>
  <c r="G72" i="16" s="1"/>
  <c r="F54" i="16"/>
  <c r="F72" i="16" s="1"/>
  <c r="E54" i="16"/>
  <c r="D54" i="16"/>
  <c r="CA53" i="16"/>
  <c r="CA71" i="16" s="1"/>
  <c r="BZ53" i="16"/>
  <c r="BZ71" i="16" s="1"/>
  <c r="BY53" i="16"/>
  <c r="BY71" i="16" s="1"/>
  <c r="BX53" i="16"/>
  <c r="BX71" i="16" s="1"/>
  <c r="BW53" i="16"/>
  <c r="BW71" i="16" s="1"/>
  <c r="BV53" i="16"/>
  <c r="BV71" i="16" s="1"/>
  <c r="BU53" i="16"/>
  <c r="BU71" i="16" s="1"/>
  <c r="BT53" i="16"/>
  <c r="BT71" i="16" s="1"/>
  <c r="BS53" i="16"/>
  <c r="BS71" i="16" s="1"/>
  <c r="BR53" i="16"/>
  <c r="BR71" i="16" s="1"/>
  <c r="BQ53" i="16"/>
  <c r="BQ71" i="16" s="1"/>
  <c r="BP53" i="16"/>
  <c r="BP71" i="16" s="1"/>
  <c r="BO53" i="16"/>
  <c r="BO71" i="16" s="1"/>
  <c r="BN53" i="16"/>
  <c r="BN71" i="16" s="1"/>
  <c r="BM53" i="16"/>
  <c r="BM71" i="16" s="1"/>
  <c r="BL53" i="16"/>
  <c r="BL71" i="16" s="1"/>
  <c r="BK53" i="16"/>
  <c r="BK71" i="16" s="1"/>
  <c r="BJ53" i="16"/>
  <c r="BJ71" i="16" s="1"/>
  <c r="BI53" i="16"/>
  <c r="BI71" i="16" s="1"/>
  <c r="BH53" i="16"/>
  <c r="BH71" i="16" s="1"/>
  <c r="BG53" i="16"/>
  <c r="BG71" i="16" s="1"/>
  <c r="BF53" i="16"/>
  <c r="BF71" i="16" s="1"/>
  <c r="BE53" i="16"/>
  <c r="BE71" i="16" s="1"/>
  <c r="BD53" i="16"/>
  <c r="BD71" i="16" s="1"/>
  <c r="BC53" i="16"/>
  <c r="BC71" i="16" s="1"/>
  <c r="BB53" i="16"/>
  <c r="BB71" i="16" s="1"/>
  <c r="BA53" i="16"/>
  <c r="BA71" i="16" s="1"/>
  <c r="AZ53" i="16"/>
  <c r="AZ71" i="16" s="1"/>
  <c r="AY53" i="16"/>
  <c r="AY71" i="16" s="1"/>
  <c r="AX53" i="16"/>
  <c r="AX71" i="16" s="1"/>
  <c r="AW53" i="16"/>
  <c r="AW71" i="16" s="1"/>
  <c r="AV53" i="16"/>
  <c r="AV71" i="16" s="1"/>
  <c r="AU53" i="16"/>
  <c r="AU71" i="16" s="1"/>
  <c r="AT53" i="16"/>
  <c r="AT71" i="16" s="1"/>
  <c r="AS53" i="16"/>
  <c r="AS71" i="16" s="1"/>
  <c r="AR53" i="16"/>
  <c r="AR71" i="16" s="1"/>
  <c r="AQ53" i="16"/>
  <c r="AQ71" i="16" s="1"/>
  <c r="AP53" i="16"/>
  <c r="AP71" i="16" s="1"/>
  <c r="AO53" i="16"/>
  <c r="AO71" i="16" s="1"/>
  <c r="AN53" i="16"/>
  <c r="AN71" i="16" s="1"/>
  <c r="AM53" i="16"/>
  <c r="AM71" i="16" s="1"/>
  <c r="AL53" i="16"/>
  <c r="AL71" i="16" s="1"/>
  <c r="AK53" i="16"/>
  <c r="AK71" i="16" s="1"/>
  <c r="AJ53" i="16"/>
  <c r="AJ71" i="16" s="1"/>
  <c r="AI53" i="16"/>
  <c r="AI71" i="16" s="1"/>
  <c r="AH53" i="16"/>
  <c r="AH71" i="16" s="1"/>
  <c r="AG53" i="16"/>
  <c r="AG71" i="16" s="1"/>
  <c r="AF53" i="16"/>
  <c r="AF71" i="16" s="1"/>
  <c r="AE53" i="16"/>
  <c r="AE71" i="16" s="1"/>
  <c r="AD53" i="16"/>
  <c r="AD71" i="16" s="1"/>
  <c r="AC53" i="16"/>
  <c r="AC71" i="16" s="1"/>
  <c r="AB53" i="16"/>
  <c r="AB71" i="16" s="1"/>
  <c r="AA53" i="16"/>
  <c r="AA71" i="16" s="1"/>
  <c r="Z53" i="16"/>
  <c r="Z71" i="16" s="1"/>
  <c r="Y53" i="16"/>
  <c r="Y71" i="16" s="1"/>
  <c r="X53" i="16"/>
  <c r="X71" i="16" s="1"/>
  <c r="W53" i="16"/>
  <c r="W71" i="16" s="1"/>
  <c r="V53" i="16"/>
  <c r="V71" i="16" s="1"/>
  <c r="U53" i="16"/>
  <c r="U71" i="16" s="1"/>
  <c r="T53" i="16"/>
  <c r="T71" i="16" s="1"/>
  <c r="S53" i="16"/>
  <c r="S71" i="16" s="1"/>
  <c r="R53" i="16"/>
  <c r="R71" i="16" s="1"/>
  <c r="Q53" i="16"/>
  <c r="Q71" i="16" s="1"/>
  <c r="P53" i="16"/>
  <c r="P71" i="16" s="1"/>
  <c r="O53" i="16"/>
  <c r="O71" i="16" s="1"/>
  <c r="N53" i="16"/>
  <c r="N71" i="16" s="1"/>
  <c r="M53" i="16"/>
  <c r="M71" i="16" s="1"/>
  <c r="L53" i="16"/>
  <c r="L71" i="16" s="1"/>
  <c r="K53" i="16"/>
  <c r="K71" i="16" s="1"/>
  <c r="J53" i="16"/>
  <c r="J71" i="16" s="1"/>
  <c r="I53" i="16"/>
  <c r="I71" i="16" s="1"/>
  <c r="H53" i="16"/>
  <c r="H71" i="16" s="1"/>
  <c r="G53" i="16"/>
  <c r="G71" i="16" s="1"/>
  <c r="F53" i="16"/>
  <c r="F71" i="16" s="1"/>
  <c r="E53" i="16"/>
  <c r="D53" i="16"/>
  <c r="CA52" i="16"/>
  <c r="CA70" i="16" s="1"/>
  <c r="BZ52" i="16"/>
  <c r="BZ70" i="16" s="1"/>
  <c r="BY52" i="16"/>
  <c r="BY70" i="16" s="1"/>
  <c r="BX52" i="16"/>
  <c r="BX70" i="16" s="1"/>
  <c r="BW52" i="16"/>
  <c r="BW70" i="16" s="1"/>
  <c r="BV52" i="16"/>
  <c r="BV70" i="16" s="1"/>
  <c r="BU52" i="16"/>
  <c r="BU70" i="16" s="1"/>
  <c r="BT52" i="16"/>
  <c r="BT70" i="16" s="1"/>
  <c r="BS52" i="16"/>
  <c r="BS70" i="16" s="1"/>
  <c r="BR52" i="16"/>
  <c r="BR70" i="16" s="1"/>
  <c r="BQ52" i="16"/>
  <c r="BQ70" i="16" s="1"/>
  <c r="BP52" i="16"/>
  <c r="BP70" i="16" s="1"/>
  <c r="BO52" i="16"/>
  <c r="BO70" i="16" s="1"/>
  <c r="BN52" i="16"/>
  <c r="BN70" i="16" s="1"/>
  <c r="BM52" i="16"/>
  <c r="BM70" i="16" s="1"/>
  <c r="BL52" i="16"/>
  <c r="BL70" i="16" s="1"/>
  <c r="BK52" i="16"/>
  <c r="BK70" i="16" s="1"/>
  <c r="BJ52" i="16"/>
  <c r="BJ70" i="16" s="1"/>
  <c r="BI52" i="16"/>
  <c r="BI70" i="16" s="1"/>
  <c r="BH52" i="16"/>
  <c r="BH70" i="16" s="1"/>
  <c r="BG52" i="16"/>
  <c r="BG70" i="16" s="1"/>
  <c r="BF52" i="16"/>
  <c r="BF70" i="16" s="1"/>
  <c r="BE52" i="16"/>
  <c r="BE70" i="16" s="1"/>
  <c r="BD52" i="16"/>
  <c r="BD70" i="16" s="1"/>
  <c r="BC52" i="16"/>
  <c r="BC70" i="16" s="1"/>
  <c r="BB52" i="16"/>
  <c r="BB70" i="16" s="1"/>
  <c r="BA52" i="16"/>
  <c r="BA70" i="16" s="1"/>
  <c r="AZ52" i="16"/>
  <c r="AZ70" i="16" s="1"/>
  <c r="AY52" i="16"/>
  <c r="AY70" i="16" s="1"/>
  <c r="AX52" i="16"/>
  <c r="AX70" i="16" s="1"/>
  <c r="AW52" i="16"/>
  <c r="AW70" i="16" s="1"/>
  <c r="AV52" i="16"/>
  <c r="AV70" i="16" s="1"/>
  <c r="AU52" i="16"/>
  <c r="AU70" i="16" s="1"/>
  <c r="AT52" i="16"/>
  <c r="AT70" i="16" s="1"/>
  <c r="AS52" i="16"/>
  <c r="AS70" i="16" s="1"/>
  <c r="AR52" i="16"/>
  <c r="AR70" i="16" s="1"/>
  <c r="AQ52" i="16"/>
  <c r="AQ70" i="16" s="1"/>
  <c r="AP52" i="16"/>
  <c r="AP70" i="16" s="1"/>
  <c r="AO52" i="16"/>
  <c r="AO70" i="16" s="1"/>
  <c r="AN52" i="16"/>
  <c r="AN70" i="16" s="1"/>
  <c r="AM52" i="16"/>
  <c r="AM70" i="16" s="1"/>
  <c r="AL52" i="16"/>
  <c r="AL70" i="16" s="1"/>
  <c r="AK52" i="16"/>
  <c r="AK70" i="16" s="1"/>
  <c r="AJ52" i="16"/>
  <c r="AJ70" i="16" s="1"/>
  <c r="AI52" i="16"/>
  <c r="AI70" i="16" s="1"/>
  <c r="AH52" i="16"/>
  <c r="AH70" i="16" s="1"/>
  <c r="AG52" i="16"/>
  <c r="AG70" i="16" s="1"/>
  <c r="AF52" i="16"/>
  <c r="AF70" i="16" s="1"/>
  <c r="AE52" i="16"/>
  <c r="AE70" i="16" s="1"/>
  <c r="AD52" i="16"/>
  <c r="AD70" i="16" s="1"/>
  <c r="AC52" i="16"/>
  <c r="AC70" i="16" s="1"/>
  <c r="AB52" i="16"/>
  <c r="AB70" i="16" s="1"/>
  <c r="AA52" i="16"/>
  <c r="AA70" i="16" s="1"/>
  <c r="Z52" i="16"/>
  <c r="Z70" i="16" s="1"/>
  <c r="Y52" i="16"/>
  <c r="Y70" i="16" s="1"/>
  <c r="X52" i="16"/>
  <c r="X70" i="16" s="1"/>
  <c r="W52" i="16"/>
  <c r="W70" i="16" s="1"/>
  <c r="V52" i="16"/>
  <c r="V70" i="16" s="1"/>
  <c r="U52" i="16"/>
  <c r="U70" i="16" s="1"/>
  <c r="T52" i="16"/>
  <c r="T70" i="16" s="1"/>
  <c r="S52" i="16"/>
  <c r="S70" i="16" s="1"/>
  <c r="R52" i="16"/>
  <c r="R70" i="16" s="1"/>
  <c r="Q52" i="16"/>
  <c r="Q70" i="16" s="1"/>
  <c r="P52" i="16"/>
  <c r="P70" i="16" s="1"/>
  <c r="O52" i="16"/>
  <c r="O70" i="16" s="1"/>
  <c r="N52" i="16"/>
  <c r="N70" i="16" s="1"/>
  <c r="M52" i="16"/>
  <c r="M70" i="16" s="1"/>
  <c r="L52" i="16"/>
  <c r="L70" i="16" s="1"/>
  <c r="K52" i="16"/>
  <c r="K70" i="16" s="1"/>
  <c r="J52" i="16"/>
  <c r="J70" i="16" s="1"/>
  <c r="I52" i="16"/>
  <c r="I70" i="16" s="1"/>
  <c r="H52" i="16"/>
  <c r="H70" i="16" s="1"/>
  <c r="G52" i="16"/>
  <c r="G70" i="16" s="1"/>
  <c r="F52" i="16"/>
  <c r="F70" i="16" s="1"/>
  <c r="E52" i="16"/>
  <c r="D52" i="16"/>
  <c r="CA51" i="16"/>
  <c r="CA69" i="16" s="1"/>
  <c r="BZ51" i="16"/>
  <c r="BZ69" i="16" s="1"/>
  <c r="BY51" i="16"/>
  <c r="BY69" i="16" s="1"/>
  <c r="BX51" i="16"/>
  <c r="BX69" i="16" s="1"/>
  <c r="BW51" i="16"/>
  <c r="BW69" i="16" s="1"/>
  <c r="BV51" i="16"/>
  <c r="BV69" i="16" s="1"/>
  <c r="BU51" i="16"/>
  <c r="BU69" i="16" s="1"/>
  <c r="BT51" i="16"/>
  <c r="BT69" i="16" s="1"/>
  <c r="BS51" i="16"/>
  <c r="BS69" i="16" s="1"/>
  <c r="BR51" i="16"/>
  <c r="BR69" i="16" s="1"/>
  <c r="BQ51" i="16"/>
  <c r="BQ69" i="16" s="1"/>
  <c r="BP51" i="16"/>
  <c r="BP69" i="16" s="1"/>
  <c r="BO51" i="16"/>
  <c r="BO69" i="16" s="1"/>
  <c r="BN51" i="16"/>
  <c r="BN69" i="16" s="1"/>
  <c r="BM51" i="16"/>
  <c r="BM69" i="16" s="1"/>
  <c r="BL51" i="16"/>
  <c r="BL69" i="16" s="1"/>
  <c r="BK51" i="16"/>
  <c r="BK69" i="16" s="1"/>
  <c r="BJ51" i="16"/>
  <c r="BJ69" i="16" s="1"/>
  <c r="BI51" i="16"/>
  <c r="BI69" i="16" s="1"/>
  <c r="BH51" i="16"/>
  <c r="BH69" i="16" s="1"/>
  <c r="BG51" i="16"/>
  <c r="BG69" i="16" s="1"/>
  <c r="BF51" i="16"/>
  <c r="BF69" i="16" s="1"/>
  <c r="BE51" i="16"/>
  <c r="BE69" i="16" s="1"/>
  <c r="BD51" i="16"/>
  <c r="BD69" i="16" s="1"/>
  <c r="BC51" i="16"/>
  <c r="BC69" i="16" s="1"/>
  <c r="BB51" i="16"/>
  <c r="BB69" i="16" s="1"/>
  <c r="BA51" i="16"/>
  <c r="BA69" i="16" s="1"/>
  <c r="AZ51" i="16"/>
  <c r="AZ69" i="16" s="1"/>
  <c r="AY51" i="16"/>
  <c r="AY69" i="16" s="1"/>
  <c r="AX51" i="16"/>
  <c r="AX69" i="16" s="1"/>
  <c r="AW51" i="16"/>
  <c r="AW69" i="16" s="1"/>
  <c r="AV51" i="16"/>
  <c r="AV69" i="16" s="1"/>
  <c r="AU51" i="16"/>
  <c r="AU69" i="16" s="1"/>
  <c r="AT51" i="16"/>
  <c r="AT69" i="16" s="1"/>
  <c r="AS51" i="16"/>
  <c r="AS69" i="16" s="1"/>
  <c r="AR51" i="16"/>
  <c r="AR69" i="16" s="1"/>
  <c r="AQ51" i="16"/>
  <c r="AQ69" i="16" s="1"/>
  <c r="AP51" i="16"/>
  <c r="AP69" i="16" s="1"/>
  <c r="AO51" i="16"/>
  <c r="AO69" i="16" s="1"/>
  <c r="AN51" i="16"/>
  <c r="AN69" i="16" s="1"/>
  <c r="AM51" i="16"/>
  <c r="AM69" i="16" s="1"/>
  <c r="AL51" i="16"/>
  <c r="AL69" i="16" s="1"/>
  <c r="AK51" i="16"/>
  <c r="AK69" i="16" s="1"/>
  <c r="AJ51" i="16"/>
  <c r="AJ69" i="16" s="1"/>
  <c r="AI51" i="16"/>
  <c r="AI69" i="16" s="1"/>
  <c r="AH51" i="16"/>
  <c r="AH69" i="16" s="1"/>
  <c r="AG51" i="16"/>
  <c r="AG69" i="16" s="1"/>
  <c r="AF51" i="16"/>
  <c r="AF69" i="16" s="1"/>
  <c r="AE51" i="16"/>
  <c r="AE69" i="16" s="1"/>
  <c r="AD51" i="16"/>
  <c r="AD69" i="16" s="1"/>
  <c r="AC51" i="16"/>
  <c r="AC69" i="16" s="1"/>
  <c r="AB51" i="16"/>
  <c r="AB69" i="16" s="1"/>
  <c r="AA51" i="16"/>
  <c r="AA69" i="16" s="1"/>
  <c r="Z51" i="16"/>
  <c r="Z69" i="16" s="1"/>
  <c r="Y51" i="16"/>
  <c r="Y69" i="16" s="1"/>
  <c r="X51" i="16"/>
  <c r="X69" i="16" s="1"/>
  <c r="W51" i="16"/>
  <c r="W69" i="16" s="1"/>
  <c r="V51" i="16"/>
  <c r="V69" i="16" s="1"/>
  <c r="U51" i="16"/>
  <c r="U69" i="16" s="1"/>
  <c r="T51" i="16"/>
  <c r="T69" i="16" s="1"/>
  <c r="S51" i="16"/>
  <c r="S69" i="16" s="1"/>
  <c r="R51" i="16"/>
  <c r="R69" i="16" s="1"/>
  <c r="Q51" i="16"/>
  <c r="Q69" i="16" s="1"/>
  <c r="P51" i="16"/>
  <c r="P69" i="16" s="1"/>
  <c r="O51" i="16"/>
  <c r="O69" i="16" s="1"/>
  <c r="N51" i="16"/>
  <c r="N69" i="16" s="1"/>
  <c r="M51" i="16"/>
  <c r="M69" i="16" s="1"/>
  <c r="L51" i="16"/>
  <c r="L69" i="16" s="1"/>
  <c r="K51" i="16"/>
  <c r="K69" i="16" s="1"/>
  <c r="J51" i="16"/>
  <c r="J69" i="16" s="1"/>
  <c r="I51" i="16"/>
  <c r="I69" i="16" s="1"/>
  <c r="H51" i="16"/>
  <c r="H69" i="16" s="1"/>
  <c r="G51" i="16"/>
  <c r="G69" i="16" s="1"/>
  <c r="F51" i="16"/>
  <c r="F69" i="16" s="1"/>
  <c r="E51" i="16"/>
  <c r="D51" i="16"/>
  <c r="CA50" i="16"/>
  <c r="CA68" i="16" s="1"/>
  <c r="BZ50" i="16"/>
  <c r="BZ68" i="16" s="1"/>
  <c r="BY50" i="16"/>
  <c r="BY68" i="16" s="1"/>
  <c r="BX50" i="16"/>
  <c r="BX68" i="16" s="1"/>
  <c r="BW50" i="16"/>
  <c r="BW68" i="16" s="1"/>
  <c r="BV50" i="16"/>
  <c r="BV68" i="16" s="1"/>
  <c r="BU50" i="16"/>
  <c r="BU68" i="16" s="1"/>
  <c r="BT50" i="16"/>
  <c r="BT68" i="16" s="1"/>
  <c r="BS50" i="16"/>
  <c r="BS68" i="16" s="1"/>
  <c r="BR50" i="16"/>
  <c r="BR68" i="16" s="1"/>
  <c r="BQ50" i="16"/>
  <c r="BQ68" i="16" s="1"/>
  <c r="BP50" i="16"/>
  <c r="BP68" i="16" s="1"/>
  <c r="BO50" i="16"/>
  <c r="BO68" i="16" s="1"/>
  <c r="BN50" i="16"/>
  <c r="BN68" i="16" s="1"/>
  <c r="BM50" i="16"/>
  <c r="BM68" i="16" s="1"/>
  <c r="BL50" i="16"/>
  <c r="BL68" i="16" s="1"/>
  <c r="BK50" i="16"/>
  <c r="BK68" i="16" s="1"/>
  <c r="BJ50" i="16"/>
  <c r="BJ68" i="16" s="1"/>
  <c r="BI50" i="16"/>
  <c r="BI68" i="16" s="1"/>
  <c r="BH50" i="16"/>
  <c r="BH68" i="16" s="1"/>
  <c r="BG50" i="16"/>
  <c r="BG68" i="16" s="1"/>
  <c r="BF50" i="16"/>
  <c r="BF68" i="16" s="1"/>
  <c r="BE50" i="16"/>
  <c r="BE68" i="16" s="1"/>
  <c r="BD50" i="16"/>
  <c r="BD68" i="16" s="1"/>
  <c r="BC50" i="16"/>
  <c r="BC68" i="16" s="1"/>
  <c r="BB50" i="16"/>
  <c r="BB68" i="16" s="1"/>
  <c r="BA50" i="16"/>
  <c r="BA68" i="16" s="1"/>
  <c r="AZ50" i="16"/>
  <c r="AZ68" i="16" s="1"/>
  <c r="AY50" i="16"/>
  <c r="AY68" i="16" s="1"/>
  <c r="AX50" i="16"/>
  <c r="AX68" i="16" s="1"/>
  <c r="AW50" i="16"/>
  <c r="AW68" i="16" s="1"/>
  <c r="AV50" i="16"/>
  <c r="AV68" i="16" s="1"/>
  <c r="AU50" i="16"/>
  <c r="AU68" i="16" s="1"/>
  <c r="AT50" i="16"/>
  <c r="AT68" i="16" s="1"/>
  <c r="AS50" i="16"/>
  <c r="AS68" i="16" s="1"/>
  <c r="AR50" i="16"/>
  <c r="AR68" i="16" s="1"/>
  <c r="AQ50" i="16"/>
  <c r="AQ68" i="16" s="1"/>
  <c r="AP50" i="16"/>
  <c r="AP68" i="16" s="1"/>
  <c r="AO50" i="16"/>
  <c r="AO68" i="16" s="1"/>
  <c r="AN50" i="16"/>
  <c r="AN68" i="16" s="1"/>
  <c r="AM50" i="16"/>
  <c r="AM68" i="16" s="1"/>
  <c r="AL50" i="16"/>
  <c r="AL68" i="16" s="1"/>
  <c r="AK50" i="16"/>
  <c r="AK68" i="16" s="1"/>
  <c r="AJ50" i="16"/>
  <c r="AJ68" i="16" s="1"/>
  <c r="AI50" i="16"/>
  <c r="AI68" i="16" s="1"/>
  <c r="AH50" i="16"/>
  <c r="AH68" i="16" s="1"/>
  <c r="AG50" i="16"/>
  <c r="AG68" i="16" s="1"/>
  <c r="AF50" i="16"/>
  <c r="AF68" i="16" s="1"/>
  <c r="AE50" i="16"/>
  <c r="AE68" i="16" s="1"/>
  <c r="AD50" i="16"/>
  <c r="AD68" i="16" s="1"/>
  <c r="AC50" i="16"/>
  <c r="AC68" i="16" s="1"/>
  <c r="AB50" i="16"/>
  <c r="AB68" i="16" s="1"/>
  <c r="AA50" i="16"/>
  <c r="AA68" i="16" s="1"/>
  <c r="Z50" i="16"/>
  <c r="Z68" i="16" s="1"/>
  <c r="Y50" i="16"/>
  <c r="Y68" i="16" s="1"/>
  <c r="X50" i="16"/>
  <c r="X68" i="16" s="1"/>
  <c r="W50" i="16"/>
  <c r="W68" i="16" s="1"/>
  <c r="V50" i="16"/>
  <c r="V68" i="16" s="1"/>
  <c r="U50" i="16"/>
  <c r="U68" i="16" s="1"/>
  <c r="T50" i="16"/>
  <c r="T68" i="16" s="1"/>
  <c r="S50" i="16"/>
  <c r="S68" i="16" s="1"/>
  <c r="R50" i="16"/>
  <c r="R68" i="16" s="1"/>
  <c r="Q50" i="16"/>
  <c r="Q68" i="16" s="1"/>
  <c r="P50" i="16"/>
  <c r="P68" i="16" s="1"/>
  <c r="O50" i="16"/>
  <c r="O68" i="16" s="1"/>
  <c r="N50" i="16"/>
  <c r="N68" i="16" s="1"/>
  <c r="M50" i="16"/>
  <c r="M68" i="16" s="1"/>
  <c r="L50" i="16"/>
  <c r="L68" i="16" s="1"/>
  <c r="K50" i="16"/>
  <c r="K68" i="16" s="1"/>
  <c r="J50" i="16"/>
  <c r="J68" i="16" s="1"/>
  <c r="I50" i="16"/>
  <c r="I68" i="16" s="1"/>
  <c r="H50" i="16"/>
  <c r="H68" i="16" s="1"/>
  <c r="G50" i="16"/>
  <c r="G68" i="16" s="1"/>
  <c r="F50" i="16"/>
  <c r="F68" i="16" s="1"/>
  <c r="E50" i="16"/>
  <c r="D50" i="16"/>
  <c r="CA49" i="16"/>
  <c r="CA67" i="16" s="1"/>
  <c r="BZ49" i="16"/>
  <c r="BZ67" i="16" s="1"/>
  <c r="BY49" i="16"/>
  <c r="BY67" i="16" s="1"/>
  <c r="BX49" i="16"/>
  <c r="BX67" i="16" s="1"/>
  <c r="BW49" i="16"/>
  <c r="BW67" i="16" s="1"/>
  <c r="BV49" i="16"/>
  <c r="BV67" i="16" s="1"/>
  <c r="BU49" i="16"/>
  <c r="BU67" i="16" s="1"/>
  <c r="BT49" i="16"/>
  <c r="BT67" i="16" s="1"/>
  <c r="BS49" i="16"/>
  <c r="BS67" i="16" s="1"/>
  <c r="BR49" i="16"/>
  <c r="BR67" i="16" s="1"/>
  <c r="BQ49" i="16"/>
  <c r="BQ67" i="16" s="1"/>
  <c r="BP49" i="16"/>
  <c r="BP67" i="16" s="1"/>
  <c r="BO49" i="16"/>
  <c r="BO67" i="16" s="1"/>
  <c r="BN49" i="16"/>
  <c r="BN67" i="16" s="1"/>
  <c r="BM49" i="16"/>
  <c r="BM67" i="16" s="1"/>
  <c r="BL49" i="16"/>
  <c r="BL67" i="16" s="1"/>
  <c r="BK49" i="16"/>
  <c r="BK67" i="16" s="1"/>
  <c r="BJ49" i="16"/>
  <c r="BJ67" i="16" s="1"/>
  <c r="BI49" i="16"/>
  <c r="BI67" i="16" s="1"/>
  <c r="BH49" i="16"/>
  <c r="BH67" i="16" s="1"/>
  <c r="BG49" i="16"/>
  <c r="BG67" i="16" s="1"/>
  <c r="BF49" i="16"/>
  <c r="BF67" i="16" s="1"/>
  <c r="BE49" i="16"/>
  <c r="BE67" i="16" s="1"/>
  <c r="BD49" i="16"/>
  <c r="BD67" i="16" s="1"/>
  <c r="BC49" i="16"/>
  <c r="BC67" i="16" s="1"/>
  <c r="BB49" i="16"/>
  <c r="BB67" i="16" s="1"/>
  <c r="BA49" i="16"/>
  <c r="BA67" i="16" s="1"/>
  <c r="AZ49" i="16"/>
  <c r="AZ67" i="16" s="1"/>
  <c r="AY49" i="16"/>
  <c r="AY67" i="16" s="1"/>
  <c r="AX49" i="16"/>
  <c r="AX67" i="16" s="1"/>
  <c r="AW49" i="16"/>
  <c r="AW67" i="16" s="1"/>
  <c r="AV49" i="16"/>
  <c r="AV67" i="16" s="1"/>
  <c r="AU49" i="16"/>
  <c r="AU67" i="16" s="1"/>
  <c r="AT49" i="16"/>
  <c r="AT67" i="16" s="1"/>
  <c r="AS49" i="16"/>
  <c r="AS67" i="16" s="1"/>
  <c r="AR49" i="16"/>
  <c r="AR67" i="16" s="1"/>
  <c r="AQ49" i="16"/>
  <c r="AQ67" i="16" s="1"/>
  <c r="AP49" i="16"/>
  <c r="AP67" i="16" s="1"/>
  <c r="AO49" i="16"/>
  <c r="AO67" i="16" s="1"/>
  <c r="AN49" i="16"/>
  <c r="AN67" i="16" s="1"/>
  <c r="AM49" i="16"/>
  <c r="AM67" i="16" s="1"/>
  <c r="AL49" i="16"/>
  <c r="AL67" i="16" s="1"/>
  <c r="AK49" i="16"/>
  <c r="AK67" i="16" s="1"/>
  <c r="AJ49" i="16"/>
  <c r="AJ67" i="16" s="1"/>
  <c r="AI49" i="16"/>
  <c r="AI67" i="16" s="1"/>
  <c r="AH49" i="16"/>
  <c r="AH67" i="16" s="1"/>
  <c r="AG49" i="16"/>
  <c r="AG67" i="16" s="1"/>
  <c r="AF49" i="16"/>
  <c r="AF67" i="16" s="1"/>
  <c r="AE49" i="16"/>
  <c r="AE67" i="16" s="1"/>
  <c r="AD49" i="16"/>
  <c r="AD67" i="16" s="1"/>
  <c r="AC49" i="16"/>
  <c r="AC67" i="16" s="1"/>
  <c r="AB49" i="16"/>
  <c r="AB67" i="16" s="1"/>
  <c r="AA49" i="16"/>
  <c r="AA67" i="16" s="1"/>
  <c r="Z49" i="16"/>
  <c r="Z67" i="16" s="1"/>
  <c r="Y49" i="16"/>
  <c r="Y67" i="16" s="1"/>
  <c r="X49" i="16"/>
  <c r="X67" i="16" s="1"/>
  <c r="W49" i="16"/>
  <c r="W67" i="16" s="1"/>
  <c r="V49" i="16"/>
  <c r="V67" i="16" s="1"/>
  <c r="U49" i="16"/>
  <c r="U67" i="16" s="1"/>
  <c r="T49" i="16"/>
  <c r="T67" i="16" s="1"/>
  <c r="S49" i="16"/>
  <c r="S67" i="16" s="1"/>
  <c r="R49" i="16"/>
  <c r="R67" i="16" s="1"/>
  <c r="Q49" i="16"/>
  <c r="Q67" i="16" s="1"/>
  <c r="P49" i="16"/>
  <c r="P67" i="16" s="1"/>
  <c r="O49" i="16"/>
  <c r="O67" i="16" s="1"/>
  <c r="N49" i="16"/>
  <c r="N67" i="16" s="1"/>
  <c r="M49" i="16"/>
  <c r="M67" i="16" s="1"/>
  <c r="L49" i="16"/>
  <c r="L67" i="16" s="1"/>
  <c r="K49" i="16"/>
  <c r="K67" i="16" s="1"/>
  <c r="J49" i="16"/>
  <c r="J67" i="16" s="1"/>
  <c r="I49" i="16"/>
  <c r="I67" i="16" s="1"/>
  <c r="H49" i="16"/>
  <c r="H67" i="16" s="1"/>
  <c r="G49" i="16"/>
  <c r="G67" i="16" s="1"/>
  <c r="F49" i="16"/>
  <c r="F67" i="16" s="1"/>
  <c r="E49" i="16"/>
  <c r="D49" i="16"/>
  <c r="CA48" i="16"/>
  <c r="CA66" i="16" s="1"/>
  <c r="BZ48" i="16"/>
  <c r="BZ66" i="16" s="1"/>
  <c r="BY48" i="16"/>
  <c r="BY66" i="16" s="1"/>
  <c r="BX48" i="16"/>
  <c r="BX66" i="16" s="1"/>
  <c r="BW48" i="16"/>
  <c r="BW66" i="16" s="1"/>
  <c r="BV48" i="16"/>
  <c r="BV66" i="16" s="1"/>
  <c r="BU48" i="16"/>
  <c r="BU66" i="16" s="1"/>
  <c r="BT48" i="16"/>
  <c r="BT66" i="16" s="1"/>
  <c r="BS48" i="16"/>
  <c r="BS66" i="16" s="1"/>
  <c r="BR48" i="16"/>
  <c r="BR66" i="16" s="1"/>
  <c r="BQ48" i="16"/>
  <c r="BQ66" i="16" s="1"/>
  <c r="BP48" i="16"/>
  <c r="BP66" i="16" s="1"/>
  <c r="BO48" i="16"/>
  <c r="BO66" i="16" s="1"/>
  <c r="BN48" i="16"/>
  <c r="BN66" i="16" s="1"/>
  <c r="BM48" i="16"/>
  <c r="BM66" i="16" s="1"/>
  <c r="BL48" i="16"/>
  <c r="BL66" i="16" s="1"/>
  <c r="BK48" i="16"/>
  <c r="BK66" i="16" s="1"/>
  <c r="BJ48" i="16"/>
  <c r="BJ66" i="16" s="1"/>
  <c r="BI48" i="16"/>
  <c r="BI66" i="16" s="1"/>
  <c r="BH48" i="16"/>
  <c r="BH66" i="16" s="1"/>
  <c r="BG48" i="16"/>
  <c r="BG66" i="16" s="1"/>
  <c r="BF48" i="16"/>
  <c r="BF66" i="16" s="1"/>
  <c r="BE48" i="16"/>
  <c r="BE66" i="16" s="1"/>
  <c r="BD48" i="16"/>
  <c r="BD66" i="16" s="1"/>
  <c r="BC48" i="16"/>
  <c r="BC66" i="16" s="1"/>
  <c r="BB48" i="16"/>
  <c r="BB66" i="16" s="1"/>
  <c r="BA48" i="16"/>
  <c r="BA66" i="16" s="1"/>
  <c r="AZ48" i="16"/>
  <c r="AZ66" i="16" s="1"/>
  <c r="AY48" i="16"/>
  <c r="AY66" i="16" s="1"/>
  <c r="AX48" i="16"/>
  <c r="AX66" i="16" s="1"/>
  <c r="AW48" i="16"/>
  <c r="AW66" i="16" s="1"/>
  <c r="AV48" i="16"/>
  <c r="AV66" i="16" s="1"/>
  <c r="AU48" i="16"/>
  <c r="AU66" i="16" s="1"/>
  <c r="AT48" i="16"/>
  <c r="AT66" i="16" s="1"/>
  <c r="AS48" i="16"/>
  <c r="AS66" i="16" s="1"/>
  <c r="AR48" i="16"/>
  <c r="AR66" i="16" s="1"/>
  <c r="AQ48" i="16"/>
  <c r="AQ66" i="16" s="1"/>
  <c r="AP48" i="16"/>
  <c r="AP66" i="16" s="1"/>
  <c r="AO48" i="16"/>
  <c r="AO66" i="16" s="1"/>
  <c r="AN48" i="16"/>
  <c r="AN66" i="16" s="1"/>
  <c r="AM48" i="16"/>
  <c r="AM66" i="16" s="1"/>
  <c r="AL48" i="16"/>
  <c r="AL66" i="16" s="1"/>
  <c r="AK48" i="16"/>
  <c r="AK66" i="16" s="1"/>
  <c r="AJ48" i="16"/>
  <c r="AJ66" i="16" s="1"/>
  <c r="AI48" i="16"/>
  <c r="AI66" i="16" s="1"/>
  <c r="AH48" i="16"/>
  <c r="AH66" i="16" s="1"/>
  <c r="AG48" i="16"/>
  <c r="AG66" i="16" s="1"/>
  <c r="AF48" i="16"/>
  <c r="AF66" i="16" s="1"/>
  <c r="AE48" i="16"/>
  <c r="AE66" i="16" s="1"/>
  <c r="AD48" i="16"/>
  <c r="AD66" i="16" s="1"/>
  <c r="AC48" i="16"/>
  <c r="AC66" i="16" s="1"/>
  <c r="AB48" i="16"/>
  <c r="AB66" i="16" s="1"/>
  <c r="AA48" i="16"/>
  <c r="AA66" i="16" s="1"/>
  <c r="Z48" i="16"/>
  <c r="Z66" i="16" s="1"/>
  <c r="Y48" i="16"/>
  <c r="Y66" i="16" s="1"/>
  <c r="X48" i="16"/>
  <c r="X66" i="16" s="1"/>
  <c r="W48" i="16"/>
  <c r="W66" i="16" s="1"/>
  <c r="V48" i="16"/>
  <c r="V66" i="16" s="1"/>
  <c r="U48" i="16"/>
  <c r="U66" i="16" s="1"/>
  <c r="T48" i="16"/>
  <c r="T66" i="16" s="1"/>
  <c r="S48" i="16"/>
  <c r="S66" i="16" s="1"/>
  <c r="R48" i="16"/>
  <c r="R66" i="16" s="1"/>
  <c r="Q48" i="16"/>
  <c r="Q66" i="16" s="1"/>
  <c r="P48" i="16"/>
  <c r="P66" i="16" s="1"/>
  <c r="O48" i="16"/>
  <c r="O66" i="16" s="1"/>
  <c r="N48" i="16"/>
  <c r="N66" i="16" s="1"/>
  <c r="M48" i="16"/>
  <c r="M66" i="16" s="1"/>
  <c r="L48" i="16"/>
  <c r="L66" i="16" s="1"/>
  <c r="K48" i="16"/>
  <c r="K66" i="16" s="1"/>
  <c r="J48" i="16"/>
  <c r="J66" i="16" s="1"/>
  <c r="I48" i="16"/>
  <c r="I66" i="16" s="1"/>
  <c r="H48" i="16"/>
  <c r="H66" i="16" s="1"/>
  <c r="G48" i="16"/>
  <c r="G66" i="16" s="1"/>
  <c r="F48" i="16"/>
  <c r="F66" i="16" s="1"/>
  <c r="E48" i="16"/>
  <c r="D48" i="16"/>
  <c r="CA47" i="16"/>
  <c r="CA65" i="16" s="1"/>
  <c r="BZ47" i="16"/>
  <c r="BZ65" i="16" s="1"/>
  <c r="BY47" i="16"/>
  <c r="BY65" i="16" s="1"/>
  <c r="BX47" i="16"/>
  <c r="BX65" i="16" s="1"/>
  <c r="BW47" i="16"/>
  <c r="BW65" i="16" s="1"/>
  <c r="BV47" i="16"/>
  <c r="BV65" i="16" s="1"/>
  <c r="BU47" i="16"/>
  <c r="BU65" i="16" s="1"/>
  <c r="BT47" i="16"/>
  <c r="BT65" i="16" s="1"/>
  <c r="BS47" i="16"/>
  <c r="BS65" i="16" s="1"/>
  <c r="BR47" i="16"/>
  <c r="BR65" i="16" s="1"/>
  <c r="BQ47" i="16"/>
  <c r="BQ65" i="16" s="1"/>
  <c r="BP47" i="16"/>
  <c r="BP65" i="16" s="1"/>
  <c r="BO47" i="16"/>
  <c r="BO65" i="16" s="1"/>
  <c r="BN47" i="16"/>
  <c r="BN65" i="16" s="1"/>
  <c r="BM47" i="16"/>
  <c r="BM65" i="16" s="1"/>
  <c r="BL47" i="16"/>
  <c r="BL65" i="16" s="1"/>
  <c r="BK47" i="16"/>
  <c r="BK65" i="16" s="1"/>
  <c r="BJ47" i="16"/>
  <c r="BJ65" i="16" s="1"/>
  <c r="BI47" i="16"/>
  <c r="BI65" i="16" s="1"/>
  <c r="BH47" i="16"/>
  <c r="BH65" i="16" s="1"/>
  <c r="BG47" i="16"/>
  <c r="BG65" i="16" s="1"/>
  <c r="BF47" i="16"/>
  <c r="BF65" i="16" s="1"/>
  <c r="BE47" i="16"/>
  <c r="BE65" i="16" s="1"/>
  <c r="BD47" i="16"/>
  <c r="BD65" i="16" s="1"/>
  <c r="BC47" i="16"/>
  <c r="BC65" i="16" s="1"/>
  <c r="BB47" i="16"/>
  <c r="BB65" i="16" s="1"/>
  <c r="BA47" i="16"/>
  <c r="BA65" i="16" s="1"/>
  <c r="AZ47" i="16"/>
  <c r="AZ65" i="16" s="1"/>
  <c r="AY47" i="16"/>
  <c r="AY65" i="16" s="1"/>
  <c r="AX47" i="16"/>
  <c r="AX65" i="16" s="1"/>
  <c r="AW47" i="16"/>
  <c r="AW65" i="16" s="1"/>
  <c r="AV47" i="16"/>
  <c r="AV65" i="16" s="1"/>
  <c r="AU47" i="16"/>
  <c r="AU65" i="16" s="1"/>
  <c r="AT47" i="16"/>
  <c r="AT65" i="16" s="1"/>
  <c r="AS47" i="16"/>
  <c r="AS65" i="16" s="1"/>
  <c r="AR47" i="16"/>
  <c r="AR65" i="16" s="1"/>
  <c r="AQ47" i="16"/>
  <c r="AQ65" i="16" s="1"/>
  <c r="AP47" i="16"/>
  <c r="AP65" i="16" s="1"/>
  <c r="AO47" i="16"/>
  <c r="AO65" i="16" s="1"/>
  <c r="AN47" i="16"/>
  <c r="AN65" i="16" s="1"/>
  <c r="AM47" i="16"/>
  <c r="AM65" i="16" s="1"/>
  <c r="AL47" i="16"/>
  <c r="AL65" i="16" s="1"/>
  <c r="AK47" i="16"/>
  <c r="AK65" i="16" s="1"/>
  <c r="AJ47" i="16"/>
  <c r="AJ65" i="16" s="1"/>
  <c r="AI47" i="16"/>
  <c r="AI65" i="16" s="1"/>
  <c r="AH47" i="16"/>
  <c r="AH65" i="16" s="1"/>
  <c r="AG47" i="16"/>
  <c r="AG65" i="16" s="1"/>
  <c r="AF47" i="16"/>
  <c r="AF65" i="16" s="1"/>
  <c r="AE47" i="16"/>
  <c r="AE65" i="16" s="1"/>
  <c r="AD47" i="16"/>
  <c r="AD65" i="16" s="1"/>
  <c r="AC47" i="16"/>
  <c r="AC65" i="16" s="1"/>
  <c r="AB47" i="16"/>
  <c r="AB65" i="16" s="1"/>
  <c r="AA47" i="16"/>
  <c r="AA65" i="16" s="1"/>
  <c r="Z47" i="16"/>
  <c r="Z65" i="16" s="1"/>
  <c r="Y47" i="16"/>
  <c r="Y65" i="16" s="1"/>
  <c r="X47" i="16"/>
  <c r="X65" i="16" s="1"/>
  <c r="W47" i="16"/>
  <c r="W65" i="16" s="1"/>
  <c r="V47" i="16"/>
  <c r="V65" i="16" s="1"/>
  <c r="U47" i="16"/>
  <c r="U65" i="16" s="1"/>
  <c r="T47" i="16"/>
  <c r="T65" i="16" s="1"/>
  <c r="S47" i="16"/>
  <c r="S65" i="16" s="1"/>
  <c r="R47" i="16"/>
  <c r="R65" i="16" s="1"/>
  <c r="Q47" i="16"/>
  <c r="Q65" i="16" s="1"/>
  <c r="P47" i="16"/>
  <c r="P65" i="16" s="1"/>
  <c r="O47" i="16"/>
  <c r="O65" i="16" s="1"/>
  <c r="N47" i="16"/>
  <c r="N65" i="16" s="1"/>
  <c r="M47" i="16"/>
  <c r="M65" i="16" s="1"/>
  <c r="L47" i="16"/>
  <c r="L65" i="16" s="1"/>
  <c r="K47" i="16"/>
  <c r="K65" i="16" s="1"/>
  <c r="J47" i="16"/>
  <c r="J65" i="16" s="1"/>
  <c r="I47" i="16"/>
  <c r="I65" i="16" s="1"/>
  <c r="H47" i="16"/>
  <c r="H65" i="16" s="1"/>
  <c r="G47" i="16"/>
  <c r="G65" i="16" s="1"/>
  <c r="F47" i="16"/>
  <c r="F65" i="16" s="1"/>
  <c r="E47" i="16"/>
  <c r="D47" i="16"/>
  <c r="CA46" i="16"/>
  <c r="CA64" i="16" s="1"/>
  <c r="BZ46" i="16"/>
  <c r="BZ64" i="16" s="1"/>
  <c r="BY46" i="16"/>
  <c r="BY64" i="16" s="1"/>
  <c r="BX46" i="16"/>
  <c r="BX64" i="16" s="1"/>
  <c r="BW46" i="16"/>
  <c r="BW64" i="16" s="1"/>
  <c r="BV46" i="16"/>
  <c r="BV64" i="16" s="1"/>
  <c r="BU46" i="16"/>
  <c r="BU64" i="16" s="1"/>
  <c r="BT46" i="16"/>
  <c r="BT64" i="16" s="1"/>
  <c r="BS46" i="16"/>
  <c r="BS64" i="16" s="1"/>
  <c r="BR46" i="16"/>
  <c r="BR64" i="16" s="1"/>
  <c r="BQ46" i="16"/>
  <c r="BQ64" i="16" s="1"/>
  <c r="BP46" i="16"/>
  <c r="BP64" i="16" s="1"/>
  <c r="BO46" i="16"/>
  <c r="BO64" i="16" s="1"/>
  <c r="BN46" i="16"/>
  <c r="BN64" i="16" s="1"/>
  <c r="BM46" i="16"/>
  <c r="BM64" i="16" s="1"/>
  <c r="BL46" i="16"/>
  <c r="BL64" i="16" s="1"/>
  <c r="BK46" i="16"/>
  <c r="BK64" i="16" s="1"/>
  <c r="BJ46" i="16"/>
  <c r="BJ64" i="16" s="1"/>
  <c r="BI46" i="16"/>
  <c r="BI64" i="16" s="1"/>
  <c r="BH46" i="16"/>
  <c r="BH64" i="16" s="1"/>
  <c r="BG46" i="16"/>
  <c r="BG64" i="16" s="1"/>
  <c r="BF46" i="16"/>
  <c r="BF64" i="16" s="1"/>
  <c r="BE46" i="16"/>
  <c r="BE64" i="16" s="1"/>
  <c r="BD46" i="16"/>
  <c r="BD64" i="16" s="1"/>
  <c r="BC46" i="16"/>
  <c r="BC64" i="16" s="1"/>
  <c r="BB46" i="16"/>
  <c r="BB64" i="16" s="1"/>
  <c r="BA46" i="16"/>
  <c r="BA64" i="16" s="1"/>
  <c r="AZ46" i="16"/>
  <c r="AZ64" i="16" s="1"/>
  <c r="AY46" i="16"/>
  <c r="AY64" i="16" s="1"/>
  <c r="AX46" i="16"/>
  <c r="AX64" i="16" s="1"/>
  <c r="AW46" i="16"/>
  <c r="AW64" i="16" s="1"/>
  <c r="AV46" i="16"/>
  <c r="AV64" i="16" s="1"/>
  <c r="AU46" i="16"/>
  <c r="AU64" i="16" s="1"/>
  <c r="AT46" i="16"/>
  <c r="AT64" i="16" s="1"/>
  <c r="AS46" i="16"/>
  <c r="AS64" i="16" s="1"/>
  <c r="AR46" i="16"/>
  <c r="AR64" i="16" s="1"/>
  <c r="AQ46" i="16"/>
  <c r="AQ64" i="16" s="1"/>
  <c r="AP46" i="16"/>
  <c r="AP64" i="16" s="1"/>
  <c r="AO46" i="16"/>
  <c r="AO64" i="16" s="1"/>
  <c r="AN46" i="16"/>
  <c r="AN64" i="16" s="1"/>
  <c r="AM46" i="16"/>
  <c r="AM64" i="16" s="1"/>
  <c r="AL46" i="16"/>
  <c r="AL64" i="16" s="1"/>
  <c r="AK46" i="16"/>
  <c r="AK64" i="16" s="1"/>
  <c r="AJ46" i="16"/>
  <c r="AJ64" i="16" s="1"/>
  <c r="AI46" i="16"/>
  <c r="AI64" i="16" s="1"/>
  <c r="AH46" i="16"/>
  <c r="AH64" i="16" s="1"/>
  <c r="AG46" i="16"/>
  <c r="AG64" i="16" s="1"/>
  <c r="AF46" i="16"/>
  <c r="AF64" i="16" s="1"/>
  <c r="AE46" i="16"/>
  <c r="AE64" i="16" s="1"/>
  <c r="AD46" i="16"/>
  <c r="AD64" i="16" s="1"/>
  <c r="AC46" i="16"/>
  <c r="AC64" i="16" s="1"/>
  <c r="AB46" i="16"/>
  <c r="AB64" i="16" s="1"/>
  <c r="AA46" i="16"/>
  <c r="AA64" i="16" s="1"/>
  <c r="Z46" i="16"/>
  <c r="Z64" i="16" s="1"/>
  <c r="Y46" i="16"/>
  <c r="Y64" i="16" s="1"/>
  <c r="X46" i="16"/>
  <c r="X64" i="16" s="1"/>
  <c r="W46" i="16"/>
  <c r="W64" i="16" s="1"/>
  <c r="V46" i="16"/>
  <c r="V64" i="16" s="1"/>
  <c r="U46" i="16"/>
  <c r="U64" i="16" s="1"/>
  <c r="T46" i="16"/>
  <c r="T64" i="16" s="1"/>
  <c r="S46" i="16"/>
  <c r="S64" i="16" s="1"/>
  <c r="R46" i="16"/>
  <c r="R64" i="16" s="1"/>
  <c r="Q46" i="16"/>
  <c r="Q64" i="16" s="1"/>
  <c r="P46" i="16"/>
  <c r="P64" i="16" s="1"/>
  <c r="O46" i="16"/>
  <c r="O64" i="16" s="1"/>
  <c r="N46" i="16"/>
  <c r="N64" i="16" s="1"/>
  <c r="M46" i="16"/>
  <c r="M64" i="16" s="1"/>
  <c r="L46" i="16"/>
  <c r="L64" i="16" s="1"/>
  <c r="K46" i="16"/>
  <c r="K64" i="16" s="1"/>
  <c r="J46" i="16"/>
  <c r="J64" i="16" s="1"/>
  <c r="I46" i="16"/>
  <c r="I64" i="16" s="1"/>
  <c r="H46" i="16"/>
  <c r="H64" i="16" s="1"/>
  <c r="G46" i="16"/>
  <c r="G64" i="16" s="1"/>
  <c r="F46" i="16"/>
  <c r="F64" i="16" s="1"/>
  <c r="E46" i="16"/>
  <c r="D46" i="16"/>
  <c r="CA45" i="16"/>
  <c r="CA63" i="16" s="1"/>
  <c r="BZ45" i="16"/>
  <c r="BZ63" i="16" s="1"/>
  <c r="BY45" i="16"/>
  <c r="BY63" i="16" s="1"/>
  <c r="BX45" i="16"/>
  <c r="BX63" i="16" s="1"/>
  <c r="BW45" i="16"/>
  <c r="BW63" i="16" s="1"/>
  <c r="BV45" i="16"/>
  <c r="BV63" i="16" s="1"/>
  <c r="BU45" i="16"/>
  <c r="BU63" i="16" s="1"/>
  <c r="BT45" i="16"/>
  <c r="BT63" i="16" s="1"/>
  <c r="BS45" i="16"/>
  <c r="BS63" i="16" s="1"/>
  <c r="BR45" i="16"/>
  <c r="BR63" i="16" s="1"/>
  <c r="BQ45" i="16"/>
  <c r="BQ63" i="16" s="1"/>
  <c r="BP45" i="16"/>
  <c r="BP63" i="16" s="1"/>
  <c r="BO45" i="16"/>
  <c r="BO63" i="16" s="1"/>
  <c r="BN45" i="16"/>
  <c r="BN63" i="16" s="1"/>
  <c r="BM45" i="16"/>
  <c r="BM63" i="16" s="1"/>
  <c r="BL45" i="16"/>
  <c r="BL63" i="16" s="1"/>
  <c r="BK45" i="16"/>
  <c r="BK63" i="16" s="1"/>
  <c r="BJ45" i="16"/>
  <c r="BJ63" i="16" s="1"/>
  <c r="BI45" i="16"/>
  <c r="BI63" i="16" s="1"/>
  <c r="BH45" i="16"/>
  <c r="BH63" i="16" s="1"/>
  <c r="BG45" i="16"/>
  <c r="BG63" i="16" s="1"/>
  <c r="BF45" i="16"/>
  <c r="BF63" i="16" s="1"/>
  <c r="BE45" i="16"/>
  <c r="BE63" i="16" s="1"/>
  <c r="BD45" i="16"/>
  <c r="BD63" i="16" s="1"/>
  <c r="BC45" i="16"/>
  <c r="BC63" i="16" s="1"/>
  <c r="BB45" i="16"/>
  <c r="BB63" i="16" s="1"/>
  <c r="BA45" i="16"/>
  <c r="BA63" i="16" s="1"/>
  <c r="AZ45" i="16"/>
  <c r="AZ63" i="16" s="1"/>
  <c r="AY45" i="16"/>
  <c r="AY63" i="16" s="1"/>
  <c r="AX45" i="16"/>
  <c r="AX63" i="16" s="1"/>
  <c r="AW45" i="16"/>
  <c r="AW63" i="16" s="1"/>
  <c r="AV45" i="16"/>
  <c r="AV63" i="16" s="1"/>
  <c r="AU45" i="16"/>
  <c r="AU63" i="16" s="1"/>
  <c r="AT45" i="16"/>
  <c r="AT63" i="16" s="1"/>
  <c r="AS45" i="16"/>
  <c r="AS63" i="16" s="1"/>
  <c r="AR45" i="16"/>
  <c r="AR63" i="16" s="1"/>
  <c r="AQ45" i="16"/>
  <c r="AQ63" i="16" s="1"/>
  <c r="AP45" i="16"/>
  <c r="AP63" i="16" s="1"/>
  <c r="AO45" i="16"/>
  <c r="AO63" i="16" s="1"/>
  <c r="AN45" i="16"/>
  <c r="AN63" i="16" s="1"/>
  <c r="AM45" i="16"/>
  <c r="AM63" i="16" s="1"/>
  <c r="AL45" i="16"/>
  <c r="AL63" i="16" s="1"/>
  <c r="AK45" i="16"/>
  <c r="AK63" i="16" s="1"/>
  <c r="AJ45" i="16"/>
  <c r="AJ63" i="16" s="1"/>
  <c r="AI45" i="16"/>
  <c r="AI63" i="16" s="1"/>
  <c r="AH45" i="16"/>
  <c r="AH63" i="16" s="1"/>
  <c r="AG45" i="16"/>
  <c r="AG63" i="16" s="1"/>
  <c r="AF45" i="16"/>
  <c r="AF63" i="16" s="1"/>
  <c r="AE45" i="16"/>
  <c r="AE63" i="16" s="1"/>
  <c r="AD45" i="16"/>
  <c r="AD63" i="16" s="1"/>
  <c r="AC45" i="16"/>
  <c r="AC63" i="16" s="1"/>
  <c r="AB45" i="16"/>
  <c r="AB63" i="16" s="1"/>
  <c r="AA45" i="16"/>
  <c r="AA63" i="16" s="1"/>
  <c r="Z45" i="16"/>
  <c r="Z63" i="16" s="1"/>
  <c r="Y45" i="16"/>
  <c r="Y63" i="16" s="1"/>
  <c r="X45" i="16"/>
  <c r="X63" i="16" s="1"/>
  <c r="W45" i="16"/>
  <c r="W63" i="16" s="1"/>
  <c r="V45" i="16"/>
  <c r="V63" i="16" s="1"/>
  <c r="U45" i="16"/>
  <c r="U63" i="16" s="1"/>
  <c r="T45" i="16"/>
  <c r="T63" i="16" s="1"/>
  <c r="S45" i="16"/>
  <c r="S63" i="16" s="1"/>
  <c r="R45" i="16"/>
  <c r="R63" i="16" s="1"/>
  <c r="Q45" i="16"/>
  <c r="Q63" i="16" s="1"/>
  <c r="P45" i="16"/>
  <c r="P63" i="16" s="1"/>
  <c r="O45" i="16"/>
  <c r="O63" i="16" s="1"/>
  <c r="N45" i="16"/>
  <c r="N63" i="16" s="1"/>
  <c r="M45" i="16"/>
  <c r="M63" i="16" s="1"/>
  <c r="L45" i="16"/>
  <c r="L63" i="16" s="1"/>
  <c r="K45" i="16"/>
  <c r="K63" i="16" s="1"/>
  <c r="J45" i="16"/>
  <c r="J63" i="16" s="1"/>
  <c r="I45" i="16"/>
  <c r="I63" i="16" s="1"/>
  <c r="H45" i="16"/>
  <c r="H63" i="16" s="1"/>
  <c r="G45" i="16"/>
  <c r="G63" i="16" s="1"/>
  <c r="F45" i="16"/>
  <c r="F63" i="16" s="1"/>
  <c r="E45" i="16"/>
  <c r="E63" i="16" s="1"/>
  <c r="D45" i="16"/>
  <c r="B1" i="16"/>
  <c r="C71" i="16" s="1"/>
  <c r="E65" i="16" l="1"/>
  <c r="E71" i="16"/>
  <c r="D63" i="16"/>
  <c r="E66" i="16"/>
  <c r="E69" i="16"/>
  <c r="E72" i="16"/>
  <c r="E64" i="16"/>
  <c r="E67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B63" i="16"/>
  <c r="B65" i="16"/>
  <c r="C68" i="16"/>
  <c r="E68" i="16"/>
  <c r="E70" i="16"/>
  <c r="E73" i="16"/>
  <c r="E74" i="16"/>
  <c r="E75" i="16"/>
  <c r="E76" i="16"/>
  <c r="E77" i="16"/>
  <c r="E78" i="16"/>
  <c r="E79" i="16"/>
  <c r="C63" i="16"/>
  <c r="B67" i="16"/>
  <c r="C74" i="16"/>
  <c r="B64" i="16"/>
  <c r="B66" i="16"/>
  <c r="B70" i="16"/>
  <c r="C78" i="16"/>
  <c r="C76" i="16"/>
  <c r="B78" i="16"/>
  <c r="B75" i="16"/>
  <c r="C79" i="16"/>
  <c r="B76" i="16"/>
  <c r="B79" i="16"/>
  <c r="C77" i="16"/>
  <c r="B77" i="16"/>
  <c r="C75" i="16"/>
  <c r="B74" i="16"/>
  <c r="B72" i="16"/>
  <c r="B73" i="16"/>
  <c r="B71" i="16"/>
  <c r="C72" i="16"/>
  <c r="C69" i="16"/>
  <c r="C67" i="16"/>
  <c r="C65" i="16"/>
  <c r="C73" i="16"/>
  <c r="B69" i="16"/>
  <c r="C64" i="16"/>
  <c r="C66" i="16"/>
  <c r="B68" i="16"/>
  <c r="C70" i="16"/>
</calcChain>
</file>

<file path=xl/sharedStrings.xml><?xml version="1.0" encoding="utf-8"?>
<sst xmlns="http://schemas.openxmlformats.org/spreadsheetml/2006/main" count="476" uniqueCount="270">
  <si>
    <t>ADM1_NAME</t>
  </si>
  <si>
    <t>NIGERIA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</si>
  <si>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</si>
  <si>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</si>
  <si>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</si>
  <si>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</si>
  <si>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</si>
  <si>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</si>
  <si>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</si>
  <si>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</si>
  <si>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</si>
  <si>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</si>
  <si>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</si>
  <si>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</si>
  <si>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</si>
  <si>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</si>
  <si>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</si>
  <si>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</si>
  <si>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</si>
  <si>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</si>
  <si>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</si>
  <si>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</si>
  <si>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NASARAWA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</si>
  <si>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</si>
  <si>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</si>
  <si>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</si>
  <si>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</si>
  <si>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</si>
  <si>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</si>
  <si>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</si>
  <si>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</si>
  <si>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</si>
  <si>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</si>
  <si>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</si>
  <si>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</si>
  <si>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</si>
  <si>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</si>
  <si>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</si>
  <si>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</si>
  <si>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80+</t>
  </si>
  <si>
    <t>ADM0_NAME</t>
  </si>
  <si>
    <t>ADM0_PCODE</t>
  </si>
  <si>
    <t>ADM1_PCODE</t>
  </si>
  <si>
    <t>Row Labels</t>
  </si>
  <si>
    <t>Grand Total</t>
  </si>
  <si>
    <t>Sum of Male_00-04</t>
  </si>
  <si>
    <t>Sum of Male_05-09</t>
  </si>
  <si>
    <t>Sum of Male_10-14</t>
  </si>
  <si>
    <t>Sum of Male_15-19</t>
  </si>
  <si>
    <t>Sum of Male_20-24</t>
  </si>
  <si>
    <t>Sum of Male_25-29</t>
  </si>
  <si>
    <t>Sum of Male_30-34</t>
  </si>
  <si>
    <t>Sum of Male_35-39</t>
  </si>
  <si>
    <t>Sum of Male_40-44</t>
  </si>
  <si>
    <t>Sum of Male_45-49</t>
  </si>
  <si>
    <t>Sum of Male_50-54</t>
  </si>
  <si>
    <t>Sum of Male_55-59</t>
  </si>
  <si>
    <t>Sum of Male_60-64</t>
  </si>
  <si>
    <t>Sum of Male_65-69</t>
  </si>
  <si>
    <t>Sum of Male_70-74</t>
  </si>
  <si>
    <t>Sum of Male_75-79</t>
  </si>
  <si>
    <t>Sum of Male_80+</t>
  </si>
  <si>
    <t>Sum of Female_00-04</t>
  </si>
  <si>
    <t>Sum of Female_05-09</t>
  </si>
  <si>
    <t>Sum of Female_10-14</t>
  </si>
  <si>
    <t>Sum of Female_15-19</t>
  </si>
  <si>
    <t>Sum of Female_20-24</t>
  </si>
  <si>
    <t>Sum of Female_25-29</t>
  </si>
  <si>
    <t>Sum of Female_30-34</t>
  </si>
  <si>
    <t>Sum of Female_35-39</t>
  </si>
  <si>
    <t>Sum of Female_40-44</t>
  </si>
  <si>
    <t>Sum of Female_45-49</t>
  </si>
  <si>
    <t>Sum of Female_50-54</t>
  </si>
  <si>
    <t>Sum of Female_55-59</t>
  </si>
  <si>
    <t>Sum of Female_60-64</t>
  </si>
  <si>
    <t>Sum of Female_65-69</t>
  </si>
  <si>
    <t>Sum of Female_70-74</t>
  </si>
  <si>
    <t>Sum of Female_75-79</t>
  </si>
  <si>
    <t>Sum of Female_80+</t>
  </si>
  <si>
    <t>Sum of Male_Total</t>
  </si>
  <si>
    <t>Sum of Female_Total</t>
  </si>
  <si>
    <t>Age</t>
  </si>
  <si>
    <t>ADM0 Male
(WPP 2020 projection)</t>
  </si>
  <si>
    <t>ADM0 Female
(WPP 2020 projection)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</si>
  <si>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</si>
  <si>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</si>
  <si>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</si>
  <si>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</si>
  <si>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</si>
  <si>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</si>
  <si>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</si>
  <si>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</si>
  <si>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</si>
  <si>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</si>
  <si>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</si>
  <si>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</si>
  <si>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</si>
  <si>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</si>
  <si>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</si>
  <si>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</si>
  <si>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ADM0 Male
(USCB 2020 projection)</t>
  </si>
  <si>
    <t>ADM0 Female
(USCB 2020 projection)</t>
  </si>
  <si>
    <t xml:space="preserve">ADM1 (Abia)
Male (USCB 2020) </t>
  </si>
  <si>
    <t>ADM1 (Abia)
Female (USCB 2020)</t>
  </si>
  <si>
    <t xml:space="preserve">ADM1 (Adamawa)
Male (USCB 2020) </t>
  </si>
  <si>
    <t>ADM1 (Adamawa)
Female (USCB 2020)</t>
  </si>
  <si>
    <t xml:space="preserve">ADM1 (Akwa Ibom)
Male (USCB 2020) </t>
  </si>
  <si>
    <t>ADM1 (Akwa Ibom)
Female (USCB 2020)</t>
  </si>
  <si>
    <t xml:space="preserve">ADM1 (Anambra)
Male (USCB 2020) </t>
  </si>
  <si>
    <t>ADM1 (Anambra)
Female (USCB 2020)</t>
  </si>
  <si>
    <t xml:space="preserve">ADM1 (Bauchi)
Male (USCB 2020) </t>
  </si>
  <si>
    <t>ADM1 (Bauchi)
Female (USCB 2020)</t>
  </si>
  <si>
    <t xml:space="preserve">ADM1 (Bayelsa)
Male (USCB 2020) </t>
  </si>
  <si>
    <t>ADM1 (Bayelsa)
Female (USCB 2020)</t>
  </si>
  <si>
    <t xml:space="preserve">ADM1 (Benue)
Male (USCB 2020) </t>
  </si>
  <si>
    <t>ADM1 (Benue)
Female (USCB 2020)</t>
  </si>
  <si>
    <t xml:space="preserve">ADM1 (Borno)
Male (USCB 2020) </t>
  </si>
  <si>
    <t>ADM1 (Borno)
Female (USCB 2020)</t>
  </si>
  <si>
    <t xml:space="preserve">ADM1 (Cross River)
Male (USCB 2020) </t>
  </si>
  <si>
    <t>ADM1 (Cross River)
Female (USCB 2020)</t>
  </si>
  <si>
    <t xml:space="preserve">ADM1 (Delta)
Male (USCB 2020) </t>
  </si>
  <si>
    <t>ADM1 (Delta)
Female (USCB 2020)</t>
  </si>
  <si>
    <t xml:space="preserve">ADM1 (Ebonyi)
Male (USCB 2020) </t>
  </si>
  <si>
    <t>ADM1 (Ebonyi)
Female (USCB 2020)</t>
  </si>
  <si>
    <t xml:space="preserve">ADM1 (Edo)
Male (USCB 2020) </t>
  </si>
  <si>
    <t>ADM1 (Edo)
Female (USCB 2020)</t>
  </si>
  <si>
    <t xml:space="preserve">ADM1 (Ekiti)
Male (USCB 2020) </t>
  </si>
  <si>
    <t>ADM1 (Ekiti)
Female (USCB 2020)</t>
  </si>
  <si>
    <t xml:space="preserve">ADM1 (Enugu)
Male (USCB 2020) </t>
  </si>
  <si>
    <t>ADM1 (Enugu)
Female (USCB 2020)</t>
  </si>
  <si>
    <t xml:space="preserve">ADM1 (Federal Capital Territory)
Male (USCB 2020) </t>
  </si>
  <si>
    <t>ADM1 (Federal Capital Territory)
Female (USCB 2020)</t>
  </si>
  <si>
    <t xml:space="preserve">ADM1 (Gombe)
Male (USCB 2020) </t>
  </si>
  <si>
    <t>ADM1 (Gombe)
Female (USCB 2020)</t>
  </si>
  <si>
    <t xml:space="preserve">ADM1 (Imo)
Male (USCB 2020) </t>
  </si>
  <si>
    <t>ADM1 (Imo)
Female (USCB 2020)</t>
  </si>
  <si>
    <t xml:space="preserve">ADM1 (Jigawa)
Male (USCB 2020) </t>
  </si>
  <si>
    <t>ADM1 (Jigawa)
Female (USCB 2020)</t>
  </si>
  <si>
    <t xml:space="preserve">ADM1 (Kaduna)
Male (USCB 2020) </t>
  </si>
  <si>
    <t>ADM1 (Kaduna)
Female (USCB 2020)</t>
  </si>
  <si>
    <t xml:space="preserve">ADM1 (Kano)
Male (USCB 2020) </t>
  </si>
  <si>
    <t>ADM1 (Kano)
Female (USCB 2020)</t>
  </si>
  <si>
    <t xml:space="preserve">ADM1 (Katsina)
Male (USCB 2020) </t>
  </si>
  <si>
    <t>ADM1 (Katsina)
Female (USCB 2020)</t>
  </si>
  <si>
    <t xml:space="preserve">ADM1 (Kebbi)
Male (USCB 2020) </t>
  </si>
  <si>
    <t>ADM1 (Kebbi)
Female (USCB 2020)</t>
  </si>
  <si>
    <t xml:space="preserve">ADM1 (Kogi)
Male (USCB 2020) </t>
  </si>
  <si>
    <t>ADM1 (Kogi)
Female (USCB 2020)</t>
  </si>
  <si>
    <t xml:space="preserve">ADM1 (Kwara)
Male (USCB 2020) </t>
  </si>
  <si>
    <t>ADM1 (Kwara)
Female (USCB 2020)</t>
  </si>
  <si>
    <t xml:space="preserve">ADM1 (Lagos)
Male (USCB 2020) </t>
  </si>
  <si>
    <t>ADM1 (Lagos)
Female (USCB 2020)</t>
  </si>
  <si>
    <t xml:space="preserve">ADM1 (Nawarawa)
Male (USCB 2020) </t>
  </si>
  <si>
    <t>ADM1 (Nawarawa)
Female (USCB 2020)</t>
  </si>
  <si>
    <t xml:space="preserve">ADM1 (Niger)
Male (USCB 2020) </t>
  </si>
  <si>
    <t>ADM1 (Niger)
Female (USCB 2020)</t>
  </si>
  <si>
    <t xml:space="preserve">ADM1 (Ogun)
Male (USCB 2020) </t>
  </si>
  <si>
    <t>ADM1 (Ogun)
Female (USCB 2020)</t>
  </si>
  <si>
    <t xml:space="preserve">ADM1 (Ondo)
Male (USCB 2020) </t>
  </si>
  <si>
    <t>ADM1 (Ondo)
Female (USCB 2020)</t>
  </si>
  <si>
    <t xml:space="preserve">ADM1 (Osun)
Male (USCB 2020) </t>
  </si>
  <si>
    <t>ADM1 (Osun)
Female (USCB 2020)</t>
  </si>
  <si>
    <t xml:space="preserve">ADM1 (Oyo)
Male (USCB 2020) </t>
  </si>
  <si>
    <t>ADM1 (Oyo)
Female (USCB 2020)</t>
  </si>
  <si>
    <t xml:space="preserve">ADM1 (Plateau)
Male (USCB 2020) </t>
  </si>
  <si>
    <t>ADM1 (Plateau)
Female (USCB 2020)</t>
  </si>
  <si>
    <t xml:space="preserve">ADM1 (Rivers)
Male (USCB 2020) </t>
  </si>
  <si>
    <t>ADM1 (Rivers)
Female (USCB 2020)</t>
  </si>
  <si>
    <t xml:space="preserve">ADM1 (Sokoto)
Male (USCB 2020) </t>
  </si>
  <si>
    <t>ADM1 (Sokoto)
Female (USCB 2020)</t>
  </si>
  <si>
    <t xml:space="preserve">ADM1 (Taraba)
Male (USCB 2020) </t>
  </si>
  <si>
    <t>ADM1 (Taraba)
Female (USCB 2020)</t>
  </si>
  <si>
    <t xml:space="preserve">ADM1 (Yobe)
Male (USCB 2020) </t>
  </si>
  <si>
    <t>ADM1 (Yobe)
Female (USCB 2020)</t>
  </si>
  <si>
    <t xml:space="preserve">ADM1 (Zamfara)
Male (USCB 2020) </t>
  </si>
  <si>
    <t>ADM1 (Zamfara)
Female (USCB 2020)</t>
  </si>
  <si>
    <t>M_TL</t>
  </si>
  <si>
    <t>F_TL</t>
  </si>
  <si>
    <t>T_TL</t>
  </si>
  <si>
    <t>M_10_14</t>
  </si>
  <si>
    <t>M_15_19</t>
  </si>
  <si>
    <t>M_20_24</t>
  </si>
  <si>
    <t>M_25_29</t>
  </si>
  <si>
    <t>M_30_34</t>
  </si>
  <si>
    <t>M_35_39</t>
  </si>
  <si>
    <t>M_40_44</t>
  </si>
  <si>
    <t>M_45_49</t>
  </si>
  <si>
    <t>M_50_54</t>
  </si>
  <si>
    <t>M_55_59</t>
  </si>
  <si>
    <t>M_60_64</t>
  </si>
  <si>
    <t>M_65_69</t>
  </si>
  <si>
    <t>M_70_74</t>
  </si>
  <si>
    <t>M_75_79</t>
  </si>
  <si>
    <t>F_10_14</t>
  </si>
  <si>
    <t>F_15_19</t>
  </si>
  <si>
    <t>F_20_24</t>
  </si>
  <si>
    <t>F_25_29</t>
  </si>
  <si>
    <t>F_30_34</t>
  </si>
  <si>
    <t>F_35_39</t>
  </si>
  <si>
    <t>F_40_44</t>
  </si>
  <si>
    <t>F_45_49</t>
  </si>
  <si>
    <t>F_50_54</t>
  </si>
  <si>
    <t>F_55_59</t>
  </si>
  <si>
    <t>F_60_64</t>
  </si>
  <si>
    <t>F_65_69</t>
  </si>
  <si>
    <t>F_70_74</t>
  </si>
  <si>
    <t>F_75_79</t>
  </si>
  <si>
    <t>T_10_14</t>
  </si>
  <si>
    <t>T_15_19</t>
  </si>
  <si>
    <t>T_20_24</t>
  </si>
  <si>
    <t>T_25_29</t>
  </si>
  <si>
    <t>T_30_34</t>
  </si>
  <si>
    <t>T_35_39</t>
  </si>
  <si>
    <t>T_40_44</t>
  </si>
  <si>
    <t>T_45_49</t>
  </si>
  <si>
    <t>T_50_54</t>
  </si>
  <si>
    <t>T_55_59</t>
  </si>
  <si>
    <t>T_60_64</t>
  </si>
  <si>
    <t>T_65_69</t>
  </si>
  <si>
    <t>T_70_74</t>
  </si>
  <si>
    <t>T_75_79</t>
  </si>
  <si>
    <t>M_00_04</t>
  </si>
  <si>
    <t>M_05_09</t>
  </si>
  <si>
    <t>F_00_04</t>
  </si>
  <si>
    <t>F_05_09</t>
  </si>
  <si>
    <t>T_00_04</t>
  </si>
  <si>
    <t>T_05_09</t>
  </si>
  <si>
    <t>National total</t>
  </si>
  <si>
    <t>Sum of Both_Total</t>
  </si>
  <si>
    <t>NG001</t>
  </si>
  <si>
    <t>NG</t>
  </si>
  <si>
    <t>NG008</t>
  </si>
  <si>
    <t>NG015</t>
  </si>
  <si>
    <t>NG003</t>
  </si>
  <si>
    <t>NG011</t>
  </si>
  <si>
    <t>NG028</t>
  </si>
  <si>
    <t>NG009</t>
  </si>
  <si>
    <t>NG017</t>
  </si>
  <si>
    <t>NG033</t>
  </si>
  <si>
    <t>NG023</t>
  </si>
  <si>
    <t>NG007</t>
  </si>
  <si>
    <t>NG013</t>
  </si>
  <si>
    <t>NG031</t>
  </si>
  <si>
    <t>NG027</t>
  </si>
  <si>
    <t>NG025</t>
  </si>
  <si>
    <t>NG004</t>
  </si>
  <si>
    <t>NG030</t>
  </si>
  <si>
    <t>NG020</t>
  </si>
  <si>
    <t>NG016</t>
  </si>
  <si>
    <t>NG012</t>
  </si>
  <si>
    <t>NG029</t>
  </si>
  <si>
    <t>NG026</t>
  </si>
  <si>
    <t>NG022</t>
  </si>
  <si>
    <t>NG005</t>
  </si>
  <si>
    <t>NG014</t>
  </si>
  <si>
    <t>NG010</t>
  </si>
  <si>
    <t>NG037</t>
  </si>
  <si>
    <t>NG035</t>
  </si>
  <si>
    <t>NG024</t>
  </si>
  <si>
    <t>NG018</t>
  </si>
  <si>
    <t>NG036</t>
  </si>
  <si>
    <t>NG021</t>
  </si>
  <si>
    <t>NG032</t>
  </si>
  <si>
    <t>NG034</t>
  </si>
  <si>
    <t>NG019</t>
  </si>
  <si>
    <t>NG006</t>
  </si>
  <si>
    <t>NG002</t>
  </si>
  <si>
    <t>F_80Plus</t>
  </si>
  <si>
    <t>M_80Plus</t>
  </si>
  <si>
    <t>T_80Plus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</si>
</sst>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2" xfId="0" applyFont="1" applyFill="1" applyBorder="1"/>
    <xf numFmtId="49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right"/>
    </xf>
    <xf numFmtId="3" fontId="4" fillId="0" borderId="0" xfId="0" applyNumberFormat="1" applyFont="1" applyAlignment="1">
      <alignment horizontal="right"/>
    </xf>
  </cellXfs>
  <cellStyles count="4">
    <cellStyle name="표준" xfId="0" builtinId="0"/>
    <cellStyle name="Normal 2" xfId="1" xr:uid="{00000000-0005-0000-0000-000001000000}"/>
    <cellStyle name="Normal 2 2" xfId="2" xr:uid="{FC357A2C-024F-42C8-BBB6-A9A382ADEA66}"/>
    <cellStyle name="Normal 3" xfId="3" xr:uid="{E225C832-6410-4164-A648-65CE5EE32D5F}"/>
  </cellStyles>
  <dxfs count="4">
    <dxf>
      <alignment wrapText="1" indent="0"/>
    </dxf>
    <dxf>
      <alignment wrapText="1" indent="0"/>
    </dxf>
    <dxf>
      <alignment wrapText="1" indent="0"/>
    </dxf>
    <dxf>
      <alignment wrapText="1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2(t).</a:t>
            </a:r>
          </a:p>
          <a:p>
            <a:pPr>
              <a:defRPr sz="1100"/>
            </a:pPr>
            <a:r>
              <a:rPr lang="en-US" sz="1100" b="1" i="0" baseline="0">
                <a:effectLst/>
              </a:rPr>
              <a:t>Nigeria: WPP ADM 0 (2020) vs Katsina ADM 1 (2020)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5105123127415085"/>
          <c:y val="3.7416639503668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1435763501722"/>
          <c:y val="0.31363955696770413"/>
          <c:w val="0.84727811364993311"/>
          <c:h val="0.60732187657437142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 w="19050"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6C8-406C-8ECC-69D22EE2232F}"/>
            </c:ext>
          </c:extLst>
        </c:ser>
        <c:ser>
          <c:idx val="1"/>
          <c:order val="1"/>
          <c:spPr>
            <a:noFill/>
            <a:ln w="19050">
              <a:solidFill>
                <a:sysClr val="windowText" lastClr="000000"/>
              </a:solidFill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6C8-406C-8ECC-69D22EE2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10556472"/>
        <c:axId val="710556800"/>
      </c:barChart>
      <c:barChart>
        <c:barDir val="bar"/>
        <c:grouping val="stacked"/>
        <c:varyColors val="0"/>
        <c:ser>
          <c:idx val="2"/>
          <c:order val="2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E6C8-406C-8ECC-69D22EE2232F}"/>
            </c:ext>
          </c:extLst>
        </c:ser>
        <c:ser>
          <c:idx val="3"/>
          <c:order val="3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E6C8-406C-8ECC-69D22EE22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1180902744"/>
        <c:axId val="1180911600"/>
      </c:barChart>
      <c:catAx>
        <c:axId val="710556472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56800"/>
        <c:crossesAt val="0"/>
        <c:auto val="1"/>
        <c:lblAlgn val="ctr"/>
        <c:lblOffset val="100"/>
        <c:noMultiLvlLbl val="0"/>
      </c:catAx>
      <c:valAx>
        <c:axId val="710556800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56472"/>
        <c:crosses val="autoZero"/>
        <c:crossBetween val="between"/>
        <c:majorUnit val="2.0000000000000004E-2"/>
      </c:valAx>
      <c:valAx>
        <c:axId val="1180911600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80902744"/>
        <c:crosses val="max"/>
        <c:crossBetween val="between"/>
      </c:valAx>
      <c:catAx>
        <c:axId val="11809027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180911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686073036184078"/>
          <c:y val="0.14602238623881886"/>
          <c:w val="0.77450590646197137"/>
          <c:h val="0.13458676691559887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0</xdr:colOff>
      <xdr:row>86</xdr:row>
      <xdr:rowOff>0</xdr:rowOff>
    </xdr:from>
    <xdr:to>
      <xdr:col>54</xdr:col>
      <xdr:colOff>0</xdr:colOff>
      <xdr:row>105</xdr:row>
      <xdr:rowOff>114133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004CE2-2B9D-482C-8635-C1AFA4C4C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 Han" refreshedDate="44336.842359259259" createdVersion="7" refreshedVersion="7" minRefreshableVersion="3" recordCount="774" xr:uid="{8763881F-EE30-4F8B-81F0-C22989E006D3}">
  <cacheSource type="worksheet">
    <worksheetSource ref="A1:L774" sheet="NGA_ADM2_POP_2020"/>
  </cacheSource>
  <cacheFields count="61">
    <cacheField name="ISO3" numFmtId="0">
      <sharedItems/>
    </cacheField>
    <cacheField name="ADM0_NAME" numFmtId="0">
      <sharedItems count="1">
        <s v="NIGERIA"/>
      </sharedItems>
    </cacheField>
    <cacheField name="ADM0_PCODE" numFmtId="0">
      <sharedItems containsNonDate="0" containsString="0" containsBlank="1"/>
    </cacheField>
    <cacheField name="ADM1_NAME" numFmtId="0">
      <sharedItems count="37">
        <s v="ABIA"/>
        <s v="ADAMAWA"/>
        <s v="AKWA IBOM"/>
        <s v="ANAMBRA"/>
        <s v="BAUCHI"/>
        <s v="BAYELSA"/>
        <s v="BENUE"/>
        <s v="BORNO"/>
        <s v="CROSS RIVER"/>
        <s v="DELTA"/>
        <s v="EBONYI"/>
        <s v="EDO"/>
        <s v="EKITI"/>
        <s v="ENUGU"/>
        <s v="FEDERAL CAPITAL TERRITORY"/>
        <s v="GOMBE"/>
        <s v="IMO"/>
        <s v="JIGAWA"/>
        <s v="KADUNA"/>
        <s v="KANO"/>
        <s v="KATSINA"/>
        <s v="KEBBI"/>
        <s v="KOGI"/>
        <s v="KWARA"/>
        <s v="LAGOS"/>
        <s v="NASARAWA"/>
        <s v="NIGER"/>
        <s v="OGUN"/>
        <s v="ONDO"/>
        <s v="OSUN"/>
        <s v="OYO"/>
        <s v="PLATEAU"/>
        <s v="RIVERS"/>
        <s v="SOKOTO"/>
        <s v="TARABA"/>
        <s v="YOBE"/>
        <s v="ZAMFARA"/>
      </sharedItems>
    </cacheField>
    <cacheField name="ADM1_PCODE" numFmtId="0">
      <sharedItems containsNonDate="0" containsString="0" containsBlank="1"/>
    </cacheField>
    <cacheField name="ADM2_NAME" numFmtId="0">
      <sharedItems/>
    </cacheField>
    <cacheField name="ADM2_PCODE" numFmtId="0">
      <sharedItems containsNonDate="0" containsString="0" containsBlank="1"/>
    </cacheField>
    <cacheField name="Male_Total" numFmtId="0">
      <sharedItems containsSemiMixedTypes="0" containsString="0" containsNumber="1" containsInteger="1" minValue="18153" maxValue="7187521"/>
    </cacheField>
    <cacheField name="Female_Total" numFmtId="0">
      <sharedItems containsSemiMixedTypes="0" containsString="0" containsNumber="1" containsInteger="1" minValue="17881" maxValue="6424609"/>
    </cacheField>
    <cacheField name="Both_Total" numFmtId="0">
      <sharedItems containsSemiMixedTypes="0" containsString="0" containsNumber="1" containsInteger="1" minValue="36034" maxValue="13612130"/>
    </cacheField>
    <cacheField name="Male_00-04" numFmtId="0">
      <sharedItems containsSemiMixedTypes="0" containsString="0" containsNumber="1" containsInteger="1" minValue="2884" maxValue="1342927"/>
    </cacheField>
    <cacheField name="Male_05-09" numFmtId="0">
      <sharedItems containsSemiMixedTypes="0" containsString="0" containsNumber="1" containsInteger="1" minValue="2657" maxValue="1107956"/>
    </cacheField>
    <cacheField name="Male_10-14" numFmtId="0">
      <sharedItems containsSemiMixedTypes="0" containsString="0" containsNumber="1" containsInteger="1" minValue="2231" maxValue="949996"/>
    </cacheField>
    <cacheField name="Male_15-19" numFmtId="0">
      <sharedItems containsSemiMixedTypes="0" containsString="0" containsNumber="1" containsInteger="1" minValue="2025" maxValue="811896"/>
    </cacheField>
    <cacheField name="Male_20-24" numFmtId="0">
      <sharedItems containsSemiMixedTypes="0" containsString="0" containsNumber="1" containsInteger="1" minValue="1560" maxValue="572752"/>
    </cacheField>
    <cacheField name="Male_25-29" numFmtId="0">
      <sharedItems containsSemiMixedTypes="0" containsString="0" containsNumber="1" containsInteger="1" minValue="1326" maxValue="481403"/>
    </cacheField>
    <cacheField name="Male_30-34" numFmtId="0">
      <sharedItems containsSemiMixedTypes="0" containsString="0" containsNumber="1" containsInteger="1" minValue="1090" maxValue="436874"/>
    </cacheField>
    <cacheField name="Male_35-39" numFmtId="0">
      <sharedItems containsSemiMixedTypes="0" containsString="0" containsNumber="1" containsInteger="1" minValue="966" maxValue="355042"/>
    </cacheField>
    <cacheField name="Male_40-44" numFmtId="0">
      <sharedItems containsSemiMixedTypes="0" containsString="0" containsNumber="1" containsInteger="1" minValue="811" maxValue="313063"/>
    </cacheField>
    <cacheField name="Male_45-49" numFmtId="0">
      <sharedItems containsSemiMixedTypes="0" containsString="0" containsNumber="1" containsInteger="1" minValue="576" maxValue="208951"/>
    </cacheField>
    <cacheField name="Male_50-54" numFmtId="0">
      <sharedItems containsSemiMixedTypes="0" containsString="0" containsNumber="1" containsInteger="1" minValue="478" maxValue="195036"/>
    </cacheField>
    <cacheField name="Male_55-59" numFmtId="0">
      <sharedItems containsSemiMixedTypes="0" containsString="0" containsNumber="1" containsInteger="1" minValue="351" maxValue="120240"/>
    </cacheField>
    <cacheField name="Male_60-64" numFmtId="0">
      <sharedItems containsSemiMixedTypes="0" containsString="0" containsNumber="1" containsInteger="1" minValue="274" maxValue="112472"/>
    </cacheField>
    <cacheField name="Male_65-69" numFmtId="0">
      <sharedItems containsSemiMixedTypes="0" containsString="0" containsNumber="1" containsInteger="1" minValue="233" maxValue="58784"/>
    </cacheField>
    <cacheField name="Male_70-74" numFmtId="0">
      <sharedItems containsSemiMixedTypes="0" containsString="0" containsNumber="1" containsInteger="1" minValue="126" maxValue="65980"/>
    </cacheField>
    <cacheField name="Male_75-79" numFmtId="0">
      <sharedItems containsSemiMixedTypes="0" containsString="0" containsNumber="1" containsInteger="1" minValue="90" maxValue="27544"/>
    </cacheField>
    <cacheField name="Male_80+" numFmtId="0">
      <sharedItems containsSemiMixedTypes="0" containsString="0" containsNumber="1" containsInteger="1" minValue="57" maxValue="26605"/>
    </cacheField>
    <cacheField name="Female_00-04" numFmtId="0">
      <sharedItems containsSemiMixedTypes="0" containsString="0" containsNumber="1" containsInteger="1" minValue="2787" maxValue="1256406"/>
    </cacheField>
    <cacheField name="Female_05-09" numFmtId="0">
      <sharedItems containsSemiMixedTypes="0" containsString="0" containsNumber="1" containsInteger="1" minValue="2508" maxValue="1011215"/>
    </cacheField>
    <cacheField name="Female_10-14" numFmtId="0">
      <sharedItems containsSemiMixedTypes="0" containsString="0" containsNumber="1" containsInteger="1" minValue="2181" maxValue="766886"/>
    </cacheField>
    <cacheField name="Female_15-19" numFmtId="0">
      <sharedItems containsSemiMixedTypes="0" containsString="0" containsNumber="1" containsInteger="1" minValue="1916" maxValue="665509"/>
    </cacheField>
    <cacheField name="Female_20-24" numFmtId="0">
      <sharedItems containsSemiMixedTypes="0" containsString="0" containsNumber="1" containsInteger="1" minValue="1570" maxValue="565371"/>
    </cacheField>
    <cacheField name="Female_25-29" numFmtId="0">
      <sharedItems containsSemiMixedTypes="0" containsString="0" containsNumber="1" containsInteger="1" minValue="1337" maxValue="471469"/>
    </cacheField>
    <cacheField name="Female_30-34" numFmtId="0">
      <sharedItems containsSemiMixedTypes="0" containsString="0" containsNumber="1" containsInteger="1" minValue="1126" maxValue="403281"/>
    </cacheField>
    <cacheField name="Female_35-39" numFmtId="0">
      <sharedItems containsSemiMixedTypes="0" containsString="0" containsNumber="1" containsInteger="1" minValue="943" maxValue="297232"/>
    </cacheField>
    <cacheField name="Female_40-44" numFmtId="0">
      <sharedItems containsSemiMixedTypes="0" containsString="0" containsNumber="1" containsInteger="1" minValue="776" maxValue="275925"/>
    </cacheField>
    <cacheField name="Female_45-49" numFmtId="0">
      <sharedItems containsSemiMixedTypes="0" containsString="0" containsNumber="1" containsInteger="1" minValue="554" maxValue="166310"/>
    </cacheField>
    <cacheField name="Female_50-54" numFmtId="0">
      <sharedItems containsSemiMixedTypes="0" containsString="0" containsNumber="1" containsInteger="1" minValue="422" maxValue="170736"/>
    </cacheField>
    <cacheField name="Female_55-59" numFmtId="0">
      <sharedItems containsSemiMixedTypes="0" containsString="0" containsNumber="1" containsInteger="1" minValue="480" maxValue="94671"/>
    </cacheField>
    <cacheField name="Female_60-64" numFmtId="0">
      <sharedItems containsSemiMixedTypes="0" containsString="0" containsNumber="1" containsInteger="1" minValue="340" maxValue="102851"/>
    </cacheField>
    <cacheField name="Female_65-69" numFmtId="0">
      <sharedItems containsSemiMixedTypes="0" containsString="0" containsNumber="1" containsInteger="1" minValue="261" maxValue="52016"/>
    </cacheField>
    <cacheField name="Female_70-74" numFmtId="0">
      <sharedItems containsSemiMixedTypes="0" containsString="0" containsNumber="1" containsInteger="1" minValue="106" maxValue="67473"/>
    </cacheField>
    <cacheField name="Female_75-79" numFmtId="0">
      <sharedItems containsSemiMixedTypes="0" containsString="0" containsNumber="1" containsInteger="1" minValue="94" maxValue="26539"/>
    </cacheField>
    <cacheField name="Female_80+" numFmtId="0">
      <sharedItems containsSemiMixedTypes="0" containsString="0" containsNumber="1" containsInteger="1" minValue="42" maxValue="30719"/>
    </cacheField>
    <cacheField name="Both_00-04" numFmtId="0">
      <sharedItems containsSemiMixedTypes="0" containsString="0" containsNumber="1" containsInteger="1" minValue="5671" maxValue="2599333"/>
    </cacheField>
    <cacheField name="Both_05-09" numFmtId="0">
      <sharedItems containsSemiMixedTypes="0" containsString="0" containsNumber="1" containsInteger="1" minValue="5165" maxValue="2119171"/>
    </cacheField>
    <cacheField name="Both_10-14" numFmtId="0">
      <sharedItems containsSemiMixedTypes="0" containsString="0" containsNumber="1" containsInteger="1" minValue="4412" maxValue="1716882"/>
    </cacheField>
    <cacheField name="Both_15-19" numFmtId="0">
      <sharedItems containsSemiMixedTypes="0" containsString="0" containsNumber="1" containsInteger="1" minValue="3941" maxValue="1477405"/>
    </cacheField>
    <cacheField name="Both_20-24" numFmtId="0">
      <sharedItems containsSemiMixedTypes="0" containsString="0" containsNumber="1" containsInteger="1" minValue="3130" maxValue="1138123"/>
    </cacheField>
    <cacheField name="Both_25-29" numFmtId="0">
      <sharedItems containsSemiMixedTypes="0" containsString="0" containsNumber="1" containsInteger="1" minValue="2663" maxValue="952872"/>
    </cacheField>
    <cacheField name="Both_30-34" numFmtId="0">
      <sharedItems containsSemiMixedTypes="0" containsString="0" containsNumber="1" containsInteger="1" minValue="2216" maxValue="840155"/>
    </cacheField>
    <cacheField name="Both_35-39" numFmtId="0">
      <sharedItems containsSemiMixedTypes="0" containsString="0" containsNumber="1" containsInteger="1" minValue="1909" maxValue="652274"/>
    </cacheField>
    <cacheField name="Both_40-44" numFmtId="0">
      <sharedItems containsSemiMixedTypes="0" containsString="0" containsNumber="1" containsInteger="1" minValue="1587" maxValue="588988"/>
    </cacheField>
    <cacheField name="Both_45-49" numFmtId="0">
      <sharedItems containsSemiMixedTypes="0" containsString="0" containsNumber="1" containsInteger="1" minValue="1130" maxValue="375261"/>
    </cacheField>
    <cacheField name="Both_50-54" numFmtId="0">
      <sharedItems containsSemiMixedTypes="0" containsString="0" containsNumber="1" containsInteger="1" minValue="900" maxValue="365772"/>
    </cacheField>
    <cacheField name="Both_55-59" numFmtId="0">
      <sharedItems containsSemiMixedTypes="0" containsString="0" containsNumber="1" containsInteger="1" minValue="831" maxValue="214911"/>
    </cacheField>
    <cacheField name="Both_60-64" numFmtId="0">
      <sharedItems containsSemiMixedTypes="0" containsString="0" containsNumber="1" containsInteger="1" minValue="614" maxValue="215323"/>
    </cacheField>
    <cacheField name="Both_65-69" numFmtId="0">
      <sharedItems containsSemiMixedTypes="0" containsString="0" containsNumber="1" containsInteger="1" minValue="528" maxValue="110800"/>
    </cacheField>
    <cacheField name="Both_70-74" numFmtId="0">
      <sharedItems containsSemiMixedTypes="0" containsString="0" containsNumber="1" containsInteger="1" minValue="232" maxValue="133453"/>
    </cacheField>
    <cacheField name="Both_75-79" numFmtId="0">
      <sharedItems containsSemiMixedTypes="0" containsString="0" containsNumber="1" containsInteger="1" minValue="212" maxValue="54083"/>
    </cacheField>
    <cacheField name="Both_80+" numFmtId="0">
      <sharedItems containsSemiMixedTypes="0" containsString="0" containsNumber="1" containsInteger="1" minValue="103" maxValue="573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4">
  <r>
    <s v="NGA"/>
    <x v="0"/>
    <m/>
    <x v="0"/>
    <m/>
    <s v="ABA NORTH"/>
    <m/>
    <n v="57619"/>
    <n v="57686"/>
    <n v="115305"/>
    <n v="6624"/>
    <n v="5870"/>
    <n v="6606"/>
    <n v="6046"/>
    <n v="5819"/>
    <n v="4994"/>
    <n v="4586"/>
    <n v="3865"/>
    <n v="3571"/>
    <n v="3160"/>
    <n v="2061"/>
    <n v="1845"/>
    <n v="907"/>
    <n v="911"/>
    <n v="374"/>
    <n v="277"/>
    <n v="103"/>
    <n v="6388"/>
    <n v="5977"/>
    <n v="7828"/>
    <n v="7206"/>
    <n v="5964"/>
    <n v="4996"/>
    <n v="4249"/>
    <n v="3896"/>
    <n v="2843"/>
    <n v="2483"/>
    <n v="1641"/>
    <n v="1517"/>
    <n v="935"/>
    <n v="828"/>
    <n v="443"/>
    <n v="315"/>
    <n v="177"/>
    <n v="13012"/>
    <n v="11847"/>
    <n v="14434"/>
    <n v="13252"/>
    <n v="11783"/>
    <n v="9990"/>
    <n v="8835"/>
    <n v="7761"/>
    <n v="6414"/>
    <n v="5643"/>
    <n v="3702"/>
    <n v="3362"/>
    <n v="1842"/>
    <n v="1739"/>
    <n v="817"/>
    <n v="592"/>
    <n v="280"/>
  </r>
  <r>
    <s v="NGA"/>
    <x v="0"/>
    <m/>
    <x v="0"/>
    <m/>
    <s v="ABA SOUTH"/>
    <m/>
    <n v="199626"/>
    <n v="185314"/>
    <n v="384940"/>
    <n v="20579"/>
    <n v="21416"/>
    <n v="24319"/>
    <n v="24659"/>
    <n v="21072"/>
    <n v="17262"/>
    <n v="14268"/>
    <n v="12228"/>
    <n v="11039"/>
    <n v="9561"/>
    <n v="7101"/>
    <n v="6022"/>
    <n v="3828"/>
    <n v="3118"/>
    <n v="1644"/>
    <n v="1020"/>
    <n v="490"/>
    <n v="19222"/>
    <n v="20744"/>
    <n v="24907"/>
    <n v="23586"/>
    <n v="18694"/>
    <n v="15988"/>
    <n v="13318"/>
    <n v="12485"/>
    <n v="9173"/>
    <n v="8381"/>
    <n v="5613"/>
    <n v="5142"/>
    <n v="2834"/>
    <n v="2467"/>
    <n v="1239"/>
    <n v="986"/>
    <n v="535"/>
    <n v="39801"/>
    <n v="42160"/>
    <n v="49226"/>
    <n v="48245"/>
    <n v="39766"/>
    <n v="33250"/>
    <n v="27586"/>
    <n v="24713"/>
    <n v="20212"/>
    <n v="17942"/>
    <n v="12714"/>
    <n v="11164"/>
    <n v="6662"/>
    <n v="5585"/>
    <n v="2883"/>
    <n v="2006"/>
    <n v="1025"/>
  </r>
  <r>
    <s v="NGA"/>
    <x v="0"/>
    <m/>
    <x v="0"/>
    <m/>
    <s v="AROCHUKWU"/>
    <m/>
    <n v="128709"/>
    <n v="126730"/>
    <n v="255439"/>
    <n v="14374"/>
    <n v="16017"/>
    <n v="17151"/>
    <n v="16624"/>
    <n v="12964"/>
    <n v="9550"/>
    <n v="7395"/>
    <n v="6701"/>
    <n v="6198"/>
    <n v="5546"/>
    <n v="4397"/>
    <n v="3689"/>
    <n v="2579"/>
    <n v="2452"/>
    <n v="1407"/>
    <n v="1179"/>
    <n v="486"/>
    <n v="13544"/>
    <n v="14969"/>
    <n v="15892"/>
    <n v="15049"/>
    <n v="10955"/>
    <n v="9022"/>
    <n v="8242"/>
    <n v="8102"/>
    <n v="6759"/>
    <n v="6111"/>
    <n v="4644"/>
    <n v="4393"/>
    <n v="3054"/>
    <n v="2717"/>
    <n v="1568"/>
    <n v="1065"/>
    <n v="644"/>
    <n v="27918"/>
    <n v="30986"/>
    <n v="33043"/>
    <n v="31673"/>
    <n v="23919"/>
    <n v="18572"/>
    <n v="15637"/>
    <n v="14803"/>
    <n v="12957"/>
    <n v="11657"/>
    <n v="9041"/>
    <n v="8082"/>
    <n v="5633"/>
    <n v="5169"/>
    <n v="2975"/>
    <n v="2244"/>
    <n v="1130"/>
  </r>
  <r>
    <s v="NGA"/>
    <x v="0"/>
    <m/>
    <x v="0"/>
    <m/>
    <s v="BENDE"/>
    <m/>
    <n v="120035"/>
    <n v="124460"/>
    <n v="244495"/>
    <n v="13632"/>
    <n v="14335"/>
    <n v="15180"/>
    <n v="14995"/>
    <n v="11648"/>
    <n v="8674"/>
    <n v="7119"/>
    <n v="6164"/>
    <n v="5804"/>
    <n v="5368"/>
    <n v="3973"/>
    <n v="4150"/>
    <n v="2546"/>
    <n v="2993"/>
    <n v="1523"/>
    <n v="1315"/>
    <n v="616"/>
    <n v="13473"/>
    <n v="13602"/>
    <n v="14501"/>
    <n v="13798"/>
    <n v="9908"/>
    <n v="8153"/>
    <n v="7678"/>
    <n v="7475"/>
    <n v="6353"/>
    <n v="6221"/>
    <n v="5070"/>
    <n v="5135"/>
    <n v="3817"/>
    <n v="4021"/>
    <n v="2598"/>
    <n v="1788"/>
    <n v="869"/>
    <n v="27105"/>
    <n v="27937"/>
    <n v="29681"/>
    <n v="28793"/>
    <n v="21556"/>
    <n v="16827"/>
    <n v="14797"/>
    <n v="13639"/>
    <n v="12157"/>
    <n v="11589"/>
    <n v="9043"/>
    <n v="9285"/>
    <n v="6363"/>
    <n v="7014"/>
    <n v="4121"/>
    <n v="3103"/>
    <n v="1485"/>
  </r>
  <r>
    <s v="NGA"/>
    <x v="0"/>
    <m/>
    <x v="0"/>
    <m/>
    <s v="IKWUANO"/>
    <m/>
    <n v="161525"/>
    <n v="155278"/>
    <n v="316803"/>
    <n v="16909"/>
    <n v="18989"/>
    <n v="20743"/>
    <n v="20924"/>
    <n v="20270"/>
    <n v="12862"/>
    <n v="9060"/>
    <n v="7906"/>
    <n v="7285"/>
    <n v="6483"/>
    <n v="4938"/>
    <n v="5091"/>
    <n v="3138"/>
    <n v="3092"/>
    <n v="1822"/>
    <n v="1365"/>
    <n v="648"/>
    <n v="16378"/>
    <n v="18303"/>
    <n v="19019"/>
    <n v="19069"/>
    <n v="15232"/>
    <n v="11109"/>
    <n v="9742"/>
    <n v="9133"/>
    <n v="7577"/>
    <n v="7187"/>
    <n v="5489"/>
    <n v="5428"/>
    <n v="3637"/>
    <n v="3631"/>
    <n v="2104"/>
    <n v="1414"/>
    <n v="826"/>
    <n v="33287"/>
    <n v="37292"/>
    <n v="39762"/>
    <n v="39993"/>
    <n v="35502"/>
    <n v="23971"/>
    <n v="18802"/>
    <n v="17039"/>
    <n v="14862"/>
    <n v="13670"/>
    <n v="10427"/>
    <n v="10519"/>
    <n v="6775"/>
    <n v="6723"/>
    <n v="3926"/>
    <n v="2779"/>
    <n v="1474"/>
  </r>
  <r>
    <s v="NGA"/>
    <x v="0"/>
    <m/>
    <x v="0"/>
    <m/>
    <s v="ISIALA NGWA NORTH"/>
    <m/>
    <n v="108993"/>
    <n v="112642"/>
    <n v="221635"/>
    <n v="12596"/>
    <n v="13190"/>
    <n v="14682"/>
    <n v="14187"/>
    <n v="10438"/>
    <n v="7669"/>
    <n v="6249"/>
    <n v="5570"/>
    <n v="5138"/>
    <n v="4599"/>
    <n v="3757"/>
    <n v="3456"/>
    <n v="2204"/>
    <n v="2158"/>
    <n v="1441"/>
    <n v="1075"/>
    <n v="584"/>
    <n v="12122"/>
    <n v="12698"/>
    <n v="14546"/>
    <n v="13791"/>
    <n v="9362"/>
    <n v="7858"/>
    <n v="7100"/>
    <n v="6799"/>
    <n v="5772"/>
    <n v="5205"/>
    <n v="4287"/>
    <n v="3878"/>
    <n v="2737"/>
    <n v="2556"/>
    <n v="1984"/>
    <n v="1118"/>
    <n v="829"/>
    <n v="24718"/>
    <n v="25888"/>
    <n v="29228"/>
    <n v="27978"/>
    <n v="19800"/>
    <n v="15527"/>
    <n v="13349"/>
    <n v="12369"/>
    <n v="10910"/>
    <n v="9804"/>
    <n v="8044"/>
    <n v="7334"/>
    <n v="4941"/>
    <n v="4714"/>
    <n v="3425"/>
    <n v="2193"/>
    <n v="1413"/>
  </r>
  <r>
    <s v="NGA"/>
    <x v="0"/>
    <m/>
    <x v="0"/>
    <m/>
    <s v="ISIALA NGWA SOUTH"/>
    <m/>
    <n v="80615"/>
    <n v="84520"/>
    <n v="165135"/>
    <n v="9746"/>
    <n v="9383"/>
    <n v="11724"/>
    <n v="10225"/>
    <n v="7117"/>
    <n v="5385"/>
    <n v="4768"/>
    <n v="4161"/>
    <n v="4044"/>
    <n v="3371"/>
    <n v="2718"/>
    <n v="2408"/>
    <n v="1710"/>
    <n v="1475"/>
    <n v="1060"/>
    <n v="833"/>
    <n v="487"/>
    <n v="9523"/>
    <n v="9062"/>
    <n v="11124"/>
    <n v="10189"/>
    <n v="7055"/>
    <n v="5705"/>
    <n v="5160"/>
    <n v="4907"/>
    <n v="4335"/>
    <n v="3745"/>
    <n v="3434"/>
    <n v="3005"/>
    <n v="2452"/>
    <n v="1800"/>
    <n v="1362"/>
    <n v="914"/>
    <n v="748"/>
    <n v="19269"/>
    <n v="18445"/>
    <n v="22848"/>
    <n v="20414"/>
    <n v="14172"/>
    <n v="11090"/>
    <n v="9928"/>
    <n v="9068"/>
    <n v="8379"/>
    <n v="7116"/>
    <n v="6152"/>
    <n v="5413"/>
    <n v="4162"/>
    <n v="3275"/>
    <n v="2422"/>
    <n v="1747"/>
    <n v="1235"/>
  </r>
  <r>
    <s v="NGA"/>
    <x v="0"/>
    <m/>
    <x v="0"/>
    <m/>
    <s v="ISUIKWUATO"/>
    <m/>
    <n v="87572"/>
    <n v="93491"/>
    <n v="181063"/>
    <n v="8511"/>
    <n v="8910"/>
    <n v="11734"/>
    <n v="12210"/>
    <n v="10640"/>
    <n v="6711"/>
    <n v="4747"/>
    <n v="4079"/>
    <n v="3804"/>
    <n v="3621"/>
    <n v="2718"/>
    <n v="2924"/>
    <n v="1979"/>
    <n v="2064"/>
    <n v="1316"/>
    <n v="1101"/>
    <n v="503"/>
    <n v="8525"/>
    <n v="8746"/>
    <n v="11130"/>
    <n v="12206"/>
    <n v="10032"/>
    <n v="5871"/>
    <n v="4877"/>
    <n v="4773"/>
    <n v="4335"/>
    <n v="4240"/>
    <n v="3755"/>
    <n v="4095"/>
    <n v="3161"/>
    <n v="3373"/>
    <n v="2045"/>
    <n v="1511"/>
    <n v="816"/>
    <n v="17036"/>
    <n v="17656"/>
    <n v="22864"/>
    <n v="24416"/>
    <n v="20672"/>
    <n v="12582"/>
    <n v="9624"/>
    <n v="8852"/>
    <n v="8139"/>
    <n v="7861"/>
    <n v="6473"/>
    <n v="7019"/>
    <n v="5140"/>
    <n v="5437"/>
    <n v="3361"/>
    <n v="2612"/>
    <n v="1319"/>
  </r>
  <r>
    <s v="NGA"/>
    <x v="0"/>
    <m/>
    <x v="0"/>
    <m/>
    <s v="OBINGWA"/>
    <m/>
    <n v="116490"/>
    <n v="121537"/>
    <n v="238027"/>
    <n v="13642"/>
    <n v="13960"/>
    <n v="16062"/>
    <n v="14501"/>
    <n v="10768"/>
    <n v="8067"/>
    <n v="6863"/>
    <n v="5791"/>
    <n v="5772"/>
    <n v="5263"/>
    <n v="4120"/>
    <n v="3616"/>
    <n v="2563"/>
    <n v="2222"/>
    <n v="1533"/>
    <n v="1046"/>
    <n v="701"/>
    <n v="13615"/>
    <n v="13484"/>
    <n v="16478"/>
    <n v="14886"/>
    <n v="10425"/>
    <n v="8067"/>
    <n v="7479"/>
    <n v="6939"/>
    <n v="6232"/>
    <n v="5514"/>
    <n v="4552"/>
    <n v="3785"/>
    <n v="3208"/>
    <n v="2504"/>
    <n v="2055"/>
    <n v="1274"/>
    <n v="1040"/>
    <n v="27257"/>
    <n v="27444"/>
    <n v="32540"/>
    <n v="29387"/>
    <n v="21193"/>
    <n v="16134"/>
    <n v="14342"/>
    <n v="12730"/>
    <n v="12004"/>
    <n v="10777"/>
    <n v="8672"/>
    <n v="7401"/>
    <n v="5771"/>
    <n v="4726"/>
    <n v="3588"/>
    <n v="2320"/>
    <n v="1741"/>
  </r>
  <r>
    <s v="NGA"/>
    <x v="0"/>
    <m/>
    <x v="0"/>
    <m/>
    <s v="OHAFIA"/>
    <m/>
    <n v="177797"/>
    <n v="176085"/>
    <n v="353882"/>
    <n v="20654"/>
    <n v="21767"/>
    <n v="24353"/>
    <n v="23893"/>
    <n v="17072"/>
    <n v="12733"/>
    <n v="10064"/>
    <n v="9080"/>
    <n v="8350"/>
    <n v="7490"/>
    <n v="5664"/>
    <n v="5486"/>
    <n v="3339"/>
    <n v="3320"/>
    <n v="2118"/>
    <n v="1604"/>
    <n v="810"/>
    <n v="19431"/>
    <n v="20452"/>
    <n v="21995"/>
    <n v="20914"/>
    <n v="14677"/>
    <n v="12154"/>
    <n v="11006"/>
    <n v="11002"/>
    <n v="9056"/>
    <n v="8479"/>
    <n v="6370"/>
    <n v="6527"/>
    <n v="4151"/>
    <n v="3993"/>
    <n v="2696"/>
    <n v="2117"/>
    <n v="1065"/>
    <n v="40085"/>
    <n v="42219"/>
    <n v="46348"/>
    <n v="44807"/>
    <n v="31749"/>
    <n v="24887"/>
    <n v="21070"/>
    <n v="20082"/>
    <n v="17406"/>
    <n v="15969"/>
    <n v="12034"/>
    <n v="12013"/>
    <n v="7490"/>
    <n v="7313"/>
    <n v="4814"/>
    <n v="3721"/>
    <n v="1875"/>
  </r>
  <r>
    <s v="NGA"/>
    <x v="0"/>
    <m/>
    <x v="0"/>
    <m/>
    <s v="OSISIOMA NGWA"/>
    <m/>
    <n v="145419"/>
    <n v="143335"/>
    <n v="288754"/>
    <n v="19000"/>
    <n v="16229"/>
    <n v="17748"/>
    <n v="16401"/>
    <n v="14294"/>
    <n v="11821"/>
    <n v="10432"/>
    <n v="8764"/>
    <n v="8056"/>
    <n v="6829"/>
    <n v="4956"/>
    <n v="4043"/>
    <n v="2293"/>
    <n v="2078"/>
    <n v="1139"/>
    <n v="869"/>
    <n v="467"/>
    <n v="17830"/>
    <n v="15892"/>
    <n v="19286"/>
    <n v="17189"/>
    <n v="13810"/>
    <n v="11661"/>
    <n v="9932"/>
    <n v="8861"/>
    <n v="6845"/>
    <n v="5787"/>
    <n v="4245"/>
    <n v="4076"/>
    <n v="2674"/>
    <n v="2083"/>
    <n v="1363"/>
    <n v="1075"/>
    <n v="726"/>
    <n v="36830"/>
    <n v="32121"/>
    <n v="37034"/>
    <n v="33590"/>
    <n v="28104"/>
    <n v="23482"/>
    <n v="20364"/>
    <n v="17625"/>
    <n v="14901"/>
    <n v="12616"/>
    <n v="9201"/>
    <n v="8119"/>
    <n v="4967"/>
    <n v="4161"/>
    <n v="2502"/>
    <n v="1944"/>
    <n v="1193"/>
  </r>
  <r>
    <s v="NGA"/>
    <x v="0"/>
    <m/>
    <x v="0"/>
    <m/>
    <s v="UGWUNAGBO"/>
    <m/>
    <n v="55886"/>
    <n v="55827"/>
    <n v="111713"/>
    <n v="6747"/>
    <n v="6956"/>
    <n v="7523"/>
    <n v="7059"/>
    <n v="5352"/>
    <n v="4034"/>
    <n v="3415"/>
    <n v="2992"/>
    <n v="2798"/>
    <n v="2390"/>
    <n v="1891"/>
    <n v="1540"/>
    <n v="1169"/>
    <n v="929"/>
    <n v="509"/>
    <n v="363"/>
    <n v="219"/>
    <n v="6639"/>
    <n v="6796"/>
    <n v="7135"/>
    <n v="6971"/>
    <n v="4795"/>
    <n v="4033"/>
    <n v="3607"/>
    <n v="3395"/>
    <n v="2717"/>
    <n v="2503"/>
    <n v="1923"/>
    <n v="1653"/>
    <n v="1106"/>
    <n v="1108"/>
    <n v="653"/>
    <n v="471"/>
    <n v="322"/>
    <n v="13386"/>
    <n v="13752"/>
    <n v="14658"/>
    <n v="14030"/>
    <n v="10147"/>
    <n v="8067"/>
    <n v="7022"/>
    <n v="6387"/>
    <n v="5515"/>
    <n v="4893"/>
    <n v="3814"/>
    <n v="3193"/>
    <n v="2275"/>
    <n v="2037"/>
    <n v="1162"/>
    <n v="834"/>
    <n v="541"/>
  </r>
  <r>
    <s v="NGA"/>
    <x v="0"/>
    <m/>
    <x v="0"/>
    <m/>
    <s v="UKWA EAST"/>
    <m/>
    <n v="45724"/>
    <n v="45031"/>
    <n v="90755"/>
    <n v="5601"/>
    <n v="5912"/>
    <n v="6121"/>
    <n v="5786"/>
    <n v="4371"/>
    <n v="3272"/>
    <n v="2668"/>
    <n v="2406"/>
    <n v="2238"/>
    <n v="1976"/>
    <n v="1581"/>
    <n v="1181"/>
    <n v="801"/>
    <n v="774"/>
    <n v="552"/>
    <n v="323"/>
    <n v="161"/>
    <n v="5382"/>
    <n v="5595"/>
    <n v="5681"/>
    <n v="5085"/>
    <n v="3798"/>
    <n v="3208"/>
    <n v="2928"/>
    <n v="2906"/>
    <n v="2338"/>
    <n v="2075"/>
    <n v="1462"/>
    <n v="1560"/>
    <n v="891"/>
    <n v="987"/>
    <n v="650"/>
    <n v="253"/>
    <n v="232"/>
    <n v="10983"/>
    <n v="11507"/>
    <n v="11802"/>
    <n v="10871"/>
    <n v="8169"/>
    <n v="6480"/>
    <n v="5596"/>
    <n v="5312"/>
    <n v="4576"/>
    <n v="4051"/>
    <n v="3043"/>
    <n v="2741"/>
    <n v="1692"/>
    <n v="1761"/>
    <n v="1202"/>
    <n v="576"/>
    <n v="393"/>
  </r>
  <r>
    <s v="NGA"/>
    <x v="0"/>
    <m/>
    <x v="0"/>
    <m/>
    <s v="UKWA WEST"/>
    <m/>
    <n v="69002"/>
    <n v="67657"/>
    <n v="136659"/>
    <n v="8024"/>
    <n v="8337"/>
    <n v="8971"/>
    <n v="8628"/>
    <n v="6604"/>
    <n v="5264"/>
    <n v="4474"/>
    <n v="3876"/>
    <n v="3491"/>
    <n v="3053"/>
    <n v="2387"/>
    <n v="1945"/>
    <n v="1427"/>
    <n v="1105"/>
    <n v="731"/>
    <n v="481"/>
    <n v="204"/>
    <n v="7811"/>
    <n v="8002"/>
    <n v="8765"/>
    <n v="8020"/>
    <n v="5927"/>
    <n v="5018"/>
    <n v="4523"/>
    <n v="4221"/>
    <n v="3472"/>
    <n v="3137"/>
    <n v="2440"/>
    <n v="1904"/>
    <n v="1398"/>
    <n v="1188"/>
    <n v="926"/>
    <n v="578"/>
    <n v="327"/>
    <n v="15835"/>
    <n v="16339"/>
    <n v="17736"/>
    <n v="16648"/>
    <n v="12531"/>
    <n v="10282"/>
    <n v="8997"/>
    <n v="8097"/>
    <n v="6963"/>
    <n v="6190"/>
    <n v="4827"/>
    <n v="3849"/>
    <n v="2825"/>
    <n v="2293"/>
    <n v="1657"/>
    <n v="1059"/>
    <n v="531"/>
  </r>
  <r>
    <s v="NGA"/>
    <x v="0"/>
    <m/>
    <x v="0"/>
    <m/>
    <s v="UMUAHIA NORTH"/>
    <m/>
    <n v="161062"/>
    <n v="158870"/>
    <n v="319932"/>
    <n v="17433"/>
    <n v="17041"/>
    <n v="20297"/>
    <n v="20489"/>
    <n v="16842"/>
    <n v="12818"/>
    <n v="10188"/>
    <n v="8653"/>
    <n v="8041"/>
    <n v="7718"/>
    <n v="5754"/>
    <n v="5421"/>
    <n v="3240"/>
    <n v="3344"/>
    <n v="1712"/>
    <n v="1498"/>
    <n v="573"/>
    <n v="16786"/>
    <n v="16648"/>
    <n v="19978"/>
    <n v="19383"/>
    <n v="15030"/>
    <n v="12164"/>
    <n v="10243"/>
    <n v="9767"/>
    <n v="7911"/>
    <n v="7362"/>
    <n v="5537"/>
    <n v="5871"/>
    <n v="3577"/>
    <n v="3645"/>
    <n v="2256"/>
    <n v="1806"/>
    <n v="906"/>
    <n v="34219"/>
    <n v="33689"/>
    <n v="40275"/>
    <n v="39872"/>
    <n v="31872"/>
    <n v="24982"/>
    <n v="20431"/>
    <n v="18420"/>
    <n v="15952"/>
    <n v="15080"/>
    <n v="11291"/>
    <n v="11292"/>
    <n v="6817"/>
    <n v="6989"/>
    <n v="3968"/>
    <n v="3304"/>
    <n v="1479"/>
  </r>
  <r>
    <s v="NGA"/>
    <x v="0"/>
    <m/>
    <x v="0"/>
    <m/>
    <s v="UMUAHIA SOUTH"/>
    <m/>
    <n v="98007"/>
    <n v="101375"/>
    <n v="199382"/>
    <n v="10406"/>
    <n v="10702"/>
    <n v="12043"/>
    <n v="11856"/>
    <n v="10006"/>
    <n v="7533"/>
    <n v="6038"/>
    <n v="5273"/>
    <n v="4973"/>
    <n v="4569"/>
    <n v="3443"/>
    <n v="3548"/>
    <n v="2109"/>
    <n v="2367"/>
    <n v="1389"/>
    <n v="1244"/>
    <n v="508"/>
    <n v="10022"/>
    <n v="10087"/>
    <n v="13954"/>
    <n v="12942"/>
    <n v="8752"/>
    <n v="6956"/>
    <n v="6232"/>
    <n v="5979"/>
    <n v="4906"/>
    <n v="4761"/>
    <n v="3724"/>
    <n v="4182"/>
    <n v="2572"/>
    <n v="2688"/>
    <n v="1687"/>
    <n v="1220"/>
    <n v="711"/>
    <n v="20428"/>
    <n v="20789"/>
    <n v="25997"/>
    <n v="24798"/>
    <n v="18758"/>
    <n v="14489"/>
    <n v="12270"/>
    <n v="11252"/>
    <n v="9879"/>
    <n v="9330"/>
    <n v="7167"/>
    <n v="7730"/>
    <n v="4681"/>
    <n v="5055"/>
    <n v="3076"/>
    <n v="2464"/>
    <n v="1219"/>
  </r>
  <r>
    <s v="NGA"/>
    <x v="0"/>
    <m/>
    <x v="0"/>
    <m/>
    <s v="UMUNNEOCHI"/>
    <m/>
    <n v="127657"/>
    <n v="127401"/>
    <n v="255058"/>
    <n v="14280"/>
    <n v="15617"/>
    <n v="17357"/>
    <n v="16214"/>
    <n v="12576"/>
    <n v="9197"/>
    <n v="7425"/>
    <n v="6714"/>
    <n v="6340"/>
    <n v="5565"/>
    <n v="4588"/>
    <n v="3690"/>
    <n v="2787"/>
    <n v="2341"/>
    <n v="1496"/>
    <n v="955"/>
    <n v="515"/>
    <n v="13792"/>
    <n v="14810"/>
    <n v="16486"/>
    <n v="15076"/>
    <n v="10915"/>
    <n v="9268"/>
    <n v="8436"/>
    <n v="8084"/>
    <n v="6567"/>
    <n v="6099"/>
    <n v="4461"/>
    <n v="4307"/>
    <n v="3248"/>
    <n v="2644"/>
    <n v="1526"/>
    <n v="1060"/>
    <n v="622"/>
    <n v="28072"/>
    <n v="30427"/>
    <n v="33843"/>
    <n v="31290"/>
    <n v="23491"/>
    <n v="18465"/>
    <n v="15861"/>
    <n v="14798"/>
    <n v="12907"/>
    <n v="11664"/>
    <n v="9049"/>
    <n v="7997"/>
    <n v="6035"/>
    <n v="4985"/>
    <n v="3022"/>
    <n v="2015"/>
    <n v="1137"/>
  </r>
  <r>
    <s v="NGA"/>
    <x v="0"/>
    <m/>
    <x v="1"/>
    <m/>
    <s v="DEMSA"/>
    <m/>
    <n v="146514"/>
    <n v="144840"/>
    <n v="291354"/>
    <n v="26393"/>
    <n v="22439"/>
    <n v="18551"/>
    <n v="16053"/>
    <n v="12094"/>
    <n v="10211"/>
    <n v="8958"/>
    <n v="7716"/>
    <n v="5985"/>
    <n v="4817"/>
    <n v="3448"/>
    <n v="3360"/>
    <n v="2001"/>
    <n v="1822"/>
    <n v="1313"/>
    <n v="884"/>
    <n v="469"/>
    <n v="25261"/>
    <n v="21528"/>
    <n v="18397"/>
    <n v="15490"/>
    <n v="12714"/>
    <n v="10768"/>
    <n v="8703"/>
    <n v="7113"/>
    <n v="5802"/>
    <n v="4502"/>
    <n v="3625"/>
    <n v="3264"/>
    <n v="2568"/>
    <n v="1896"/>
    <n v="1637"/>
    <n v="987"/>
    <n v="585"/>
    <n v="51654"/>
    <n v="43967"/>
    <n v="36948"/>
    <n v="31543"/>
    <n v="24808"/>
    <n v="20979"/>
    <n v="17661"/>
    <n v="14829"/>
    <n v="11787"/>
    <n v="9319"/>
    <n v="7073"/>
    <n v="6624"/>
    <n v="4569"/>
    <n v="3718"/>
    <n v="2950"/>
    <n v="1871"/>
    <n v="1054"/>
  </r>
  <r>
    <s v="NGA"/>
    <x v="0"/>
    <m/>
    <x v="1"/>
    <m/>
    <s v="FUFORE"/>
    <m/>
    <n v="122089"/>
    <n v="119794"/>
    <n v="241883"/>
    <n v="21581"/>
    <n v="18972"/>
    <n v="14932"/>
    <n v="12442"/>
    <n v="9342"/>
    <n v="8046"/>
    <n v="7412"/>
    <n v="6607"/>
    <n v="5573"/>
    <n v="4074"/>
    <n v="3639"/>
    <n v="2845"/>
    <n v="2233"/>
    <n v="1774"/>
    <n v="1390"/>
    <n v="743"/>
    <n v="484"/>
    <n v="20913"/>
    <n v="18633"/>
    <n v="15365"/>
    <n v="12441"/>
    <n v="10161"/>
    <n v="8143"/>
    <n v="7415"/>
    <n v="5612"/>
    <n v="5423"/>
    <n v="3311"/>
    <n v="3526"/>
    <n v="2186"/>
    <n v="2239"/>
    <n v="1495"/>
    <n v="1634"/>
    <n v="733"/>
    <n v="564"/>
    <n v="42494"/>
    <n v="37605"/>
    <n v="30297"/>
    <n v="24883"/>
    <n v="19503"/>
    <n v="16189"/>
    <n v="14827"/>
    <n v="12219"/>
    <n v="10996"/>
    <n v="7385"/>
    <n v="7165"/>
    <n v="5031"/>
    <n v="4472"/>
    <n v="3269"/>
    <n v="3024"/>
    <n v="1476"/>
    <n v="1048"/>
  </r>
  <r>
    <s v="NGA"/>
    <x v="0"/>
    <m/>
    <x v="1"/>
    <m/>
    <s v="GANYE"/>
    <m/>
    <n v="113312"/>
    <n v="110754"/>
    <n v="224066"/>
    <n v="20646"/>
    <n v="17139"/>
    <n v="13643"/>
    <n v="11944"/>
    <n v="8895"/>
    <n v="7576"/>
    <n v="7090"/>
    <n v="6366"/>
    <n v="4886"/>
    <n v="3948"/>
    <n v="3037"/>
    <n v="2601"/>
    <n v="1897"/>
    <n v="1420"/>
    <n v="1118"/>
    <n v="666"/>
    <n v="440"/>
    <n v="19397"/>
    <n v="16711"/>
    <n v="13374"/>
    <n v="11080"/>
    <n v="9630"/>
    <n v="7967"/>
    <n v="6954"/>
    <n v="5559"/>
    <n v="5143"/>
    <n v="3435"/>
    <n v="3144"/>
    <n v="2226"/>
    <n v="2235"/>
    <n v="1507"/>
    <n v="1242"/>
    <n v="627"/>
    <n v="523"/>
    <n v="40043"/>
    <n v="33850"/>
    <n v="27017"/>
    <n v="23024"/>
    <n v="18525"/>
    <n v="15543"/>
    <n v="14044"/>
    <n v="11925"/>
    <n v="10029"/>
    <n v="7383"/>
    <n v="6181"/>
    <n v="4827"/>
    <n v="4132"/>
    <n v="2927"/>
    <n v="2360"/>
    <n v="1293"/>
    <n v="963"/>
  </r>
  <r>
    <s v="NGA"/>
    <x v="0"/>
    <m/>
    <x v="1"/>
    <m/>
    <s v="GIREI"/>
    <m/>
    <n v="96116"/>
    <n v="89186"/>
    <n v="185302"/>
    <n v="16619"/>
    <n v="14083"/>
    <n v="11854"/>
    <n v="9833"/>
    <n v="9838"/>
    <n v="7902"/>
    <n v="5824"/>
    <n v="5167"/>
    <n v="3991"/>
    <n v="3083"/>
    <n v="2303"/>
    <n v="1877"/>
    <n v="1262"/>
    <n v="996"/>
    <n v="728"/>
    <n v="513"/>
    <n v="243"/>
    <n v="15752"/>
    <n v="13070"/>
    <n v="11237"/>
    <n v="10509"/>
    <n v="9056"/>
    <n v="6567"/>
    <n v="5422"/>
    <n v="4166"/>
    <n v="3587"/>
    <n v="2403"/>
    <n v="2114"/>
    <n v="1460"/>
    <n v="1337"/>
    <n v="903"/>
    <n v="812"/>
    <n v="454"/>
    <n v="337"/>
    <n v="32371"/>
    <n v="27153"/>
    <n v="23091"/>
    <n v="20342"/>
    <n v="18894"/>
    <n v="14469"/>
    <n v="11246"/>
    <n v="9333"/>
    <n v="7578"/>
    <n v="5486"/>
    <n v="4417"/>
    <n v="3337"/>
    <n v="2599"/>
    <n v="1899"/>
    <n v="1540"/>
    <n v="967"/>
    <n v="580"/>
  </r>
  <r>
    <s v="NGA"/>
    <x v="0"/>
    <m/>
    <x v="1"/>
    <m/>
    <s v="GOMBI"/>
    <m/>
    <n v="108167"/>
    <n v="106531"/>
    <n v="214698"/>
    <n v="19660"/>
    <n v="16681"/>
    <n v="13660"/>
    <n v="11733"/>
    <n v="8777"/>
    <n v="7386"/>
    <n v="6338"/>
    <n v="5461"/>
    <n v="4483"/>
    <n v="3444"/>
    <n v="2796"/>
    <n v="2416"/>
    <n v="1724"/>
    <n v="1553"/>
    <n v="1038"/>
    <n v="636"/>
    <n v="381"/>
    <n v="18628"/>
    <n v="16058"/>
    <n v="13108"/>
    <n v="11473"/>
    <n v="9014"/>
    <n v="7508"/>
    <n v="6295"/>
    <n v="5069"/>
    <n v="4602"/>
    <n v="3367"/>
    <n v="3142"/>
    <n v="2216"/>
    <n v="2031"/>
    <n v="1582"/>
    <n v="1328"/>
    <n v="642"/>
    <n v="468"/>
    <n v="38288"/>
    <n v="32739"/>
    <n v="26768"/>
    <n v="23206"/>
    <n v="17791"/>
    <n v="14894"/>
    <n v="12633"/>
    <n v="10530"/>
    <n v="9085"/>
    <n v="6811"/>
    <n v="5938"/>
    <n v="4632"/>
    <n v="3755"/>
    <n v="3135"/>
    <n v="2366"/>
    <n v="1278"/>
    <n v="849"/>
  </r>
  <r>
    <s v="NGA"/>
    <x v="0"/>
    <m/>
    <x v="1"/>
    <m/>
    <s v="GUYUK"/>
    <m/>
    <n v="194962"/>
    <n v="189363"/>
    <n v="384325"/>
    <n v="35799"/>
    <n v="29389"/>
    <n v="24801"/>
    <n v="21101"/>
    <n v="15283"/>
    <n v="13264"/>
    <n v="12187"/>
    <n v="10318"/>
    <n v="8547"/>
    <n v="6800"/>
    <n v="5100"/>
    <n v="3719"/>
    <n v="2840"/>
    <n v="2434"/>
    <n v="1668"/>
    <n v="1144"/>
    <n v="568"/>
    <n v="33387"/>
    <n v="28039"/>
    <n v="23559"/>
    <n v="20085"/>
    <n v="16154"/>
    <n v="14141"/>
    <n v="11669"/>
    <n v="9608"/>
    <n v="8183"/>
    <n v="6047"/>
    <n v="4836"/>
    <n v="4207"/>
    <n v="3188"/>
    <n v="2621"/>
    <n v="1962"/>
    <n v="1186"/>
    <n v="491"/>
    <n v="69186"/>
    <n v="57428"/>
    <n v="48360"/>
    <n v="41186"/>
    <n v="31437"/>
    <n v="27405"/>
    <n v="23856"/>
    <n v="19926"/>
    <n v="16730"/>
    <n v="12847"/>
    <n v="9936"/>
    <n v="7926"/>
    <n v="6028"/>
    <n v="5055"/>
    <n v="3630"/>
    <n v="2330"/>
    <n v="1059"/>
  </r>
  <r>
    <s v="NGA"/>
    <x v="0"/>
    <m/>
    <x v="1"/>
    <m/>
    <s v="HONG"/>
    <m/>
    <n v="105155"/>
    <n v="107651"/>
    <n v="212806"/>
    <n v="18226"/>
    <n v="15660"/>
    <n v="13156"/>
    <n v="11255"/>
    <n v="9134"/>
    <n v="7916"/>
    <n v="6560"/>
    <n v="5472"/>
    <n v="4198"/>
    <n v="3249"/>
    <n v="2444"/>
    <n v="2443"/>
    <n v="1606"/>
    <n v="1675"/>
    <n v="1104"/>
    <n v="705"/>
    <n v="352"/>
    <n v="17690"/>
    <n v="15571"/>
    <n v="13500"/>
    <n v="11000"/>
    <n v="8914"/>
    <n v="7230"/>
    <n v="6220"/>
    <n v="4724"/>
    <n v="4793"/>
    <n v="3607"/>
    <n v="3742"/>
    <n v="2810"/>
    <n v="2677"/>
    <n v="1794"/>
    <n v="1840"/>
    <n v="926"/>
    <n v="613"/>
    <n v="35916"/>
    <n v="31231"/>
    <n v="26656"/>
    <n v="22255"/>
    <n v="18048"/>
    <n v="15146"/>
    <n v="12780"/>
    <n v="10196"/>
    <n v="8991"/>
    <n v="6856"/>
    <n v="6186"/>
    <n v="5253"/>
    <n v="4283"/>
    <n v="3469"/>
    <n v="2944"/>
    <n v="1631"/>
    <n v="965"/>
  </r>
  <r>
    <s v="NGA"/>
    <x v="0"/>
    <m/>
    <x v="1"/>
    <m/>
    <s v="JADA"/>
    <m/>
    <n v="97412"/>
    <n v="100707"/>
    <n v="198119"/>
    <n v="16855"/>
    <n v="15127"/>
    <n v="11418"/>
    <n v="9337"/>
    <n v="7188"/>
    <n v="6473"/>
    <n v="6349"/>
    <n v="5738"/>
    <n v="4567"/>
    <n v="3433"/>
    <n v="2705"/>
    <n v="2481"/>
    <n v="1931"/>
    <n v="1460"/>
    <n v="1184"/>
    <n v="736"/>
    <n v="430"/>
    <n v="16321"/>
    <n v="15328"/>
    <n v="11515"/>
    <n v="9859"/>
    <n v="8423"/>
    <n v="7133"/>
    <n v="6564"/>
    <n v="4951"/>
    <n v="4943"/>
    <n v="3216"/>
    <n v="3323"/>
    <n v="2314"/>
    <n v="2393"/>
    <n v="1551"/>
    <n v="1546"/>
    <n v="743"/>
    <n v="584"/>
    <n v="33176"/>
    <n v="30455"/>
    <n v="22933"/>
    <n v="19196"/>
    <n v="15611"/>
    <n v="13606"/>
    <n v="12913"/>
    <n v="10689"/>
    <n v="9510"/>
    <n v="6649"/>
    <n v="6028"/>
    <n v="4795"/>
    <n v="4324"/>
    <n v="3011"/>
    <n v="2730"/>
    <n v="1479"/>
    <n v="1014"/>
  </r>
  <r>
    <s v="NGA"/>
    <x v="0"/>
    <m/>
    <x v="1"/>
    <m/>
    <s v="LAMURDE"/>
    <m/>
    <n v="76811"/>
    <n v="73917"/>
    <n v="150728"/>
    <n v="13595"/>
    <n v="11638"/>
    <n v="9558"/>
    <n v="8316"/>
    <n v="6321"/>
    <n v="5364"/>
    <n v="5095"/>
    <n v="4312"/>
    <n v="3444"/>
    <n v="2488"/>
    <n v="2018"/>
    <n v="1506"/>
    <n v="1007"/>
    <n v="873"/>
    <n v="583"/>
    <n v="460"/>
    <n v="233"/>
    <n v="12867"/>
    <n v="11189"/>
    <n v="9523"/>
    <n v="7784"/>
    <n v="6528"/>
    <n v="5650"/>
    <n v="4721"/>
    <n v="3633"/>
    <n v="2967"/>
    <n v="2291"/>
    <n v="1780"/>
    <n v="1465"/>
    <n v="1143"/>
    <n v="955"/>
    <n v="628"/>
    <n v="511"/>
    <n v="282"/>
    <n v="26462"/>
    <n v="22827"/>
    <n v="19081"/>
    <n v="16100"/>
    <n v="12849"/>
    <n v="11014"/>
    <n v="9816"/>
    <n v="7945"/>
    <n v="6411"/>
    <n v="4779"/>
    <n v="3798"/>
    <n v="2971"/>
    <n v="2150"/>
    <n v="1828"/>
    <n v="1211"/>
    <n v="971"/>
    <n v="515"/>
  </r>
  <r>
    <s v="NGA"/>
    <x v="0"/>
    <m/>
    <x v="1"/>
    <m/>
    <s v="MADAGALI"/>
    <m/>
    <n v="87497"/>
    <n v="89054"/>
    <n v="176551"/>
    <n v="16529"/>
    <n v="13349"/>
    <n v="11236"/>
    <n v="9691"/>
    <n v="6838"/>
    <n v="5716"/>
    <n v="5187"/>
    <n v="4403"/>
    <n v="3603"/>
    <n v="2703"/>
    <n v="2103"/>
    <n v="1877"/>
    <n v="1314"/>
    <n v="1125"/>
    <n v="939"/>
    <n v="527"/>
    <n v="357"/>
    <n v="15081"/>
    <n v="12934"/>
    <n v="11233"/>
    <n v="9142"/>
    <n v="7394"/>
    <n v="5895"/>
    <n v="5085"/>
    <n v="4152"/>
    <n v="4135"/>
    <n v="2966"/>
    <n v="3180"/>
    <n v="1968"/>
    <n v="2187"/>
    <n v="1335"/>
    <n v="1290"/>
    <n v="630"/>
    <n v="447"/>
    <n v="31610"/>
    <n v="26283"/>
    <n v="22469"/>
    <n v="18833"/>
    <n v="14232"/>
    <n v="11611"/>
    <n v="10272"/>
    <n v="8555"/>
    <n v="7738"/>
    <n v="5669"/>
    <n v="5283"/>
    <n v="3845"/>
    <n v="3501"/>
    <n v="2460"/>
    <n v="2229"/>
    <n v="1157"/>
    <n v="804"/>
  </r>
  <r>
    <s v="NGA"/>
    <x v="0"/>
    <m/>
    <x v="1"/>
    <m/>
    <s v="MAIHA"/>
    <m/>
    <n v="64435"/>
    <n v="62779"/>
    <n v="127214"/>
    <n v="12739"/>
    <n v="10456"/>
    <n v="8218"/>
    <n v="6552"/>
    <n v="4813"/>
    <n v="4153"/>
    <n v="3898"/>
    <n v="3214"/>
    <n v="2755"/>
    <n v="2085"/>
    <n v="1557"/>
    <n v="1207"/>
    <n v="868"/>
    <n v="714"/>
    <n v="605"/>
    <n v="360"/>
    <n v="241"/>
    <n v="11722"/>
    <n v="9778"/>
    <n v="7631"/>
    <n v="6707"/>
    <n v="5532"/>
    <n v="4573"/>
    <n v="3908"/>
    <n v="2896"/>
    <n v="2526"/>
    <n v="1777"/>
    <n v="1608"/>
    <n v="1091"/>
    <n v="968"/>
    <n v="631"/>
    <n v="762"/>
    <n v="366"/>
    <n v="303"/>
    <n v="24461"/>
    <n v="20234"/>
    <n v="15849"/>
    <n v="13259"/>
    <n v="10345"/>
    <n v="8726"/>
    <n v="7806"/>
    <n v="6110"/>
    <n v="5281"/>
    <n v="3862"/>
    <n v="3165"/>
    <n v="2298"/>
    <n v="1836"/>
    <n v="1345"/>
    <n v="1367"/>
    <n v="726"/>
    <n v="544"/>
  </r>
  <r>
    <s v="NGA"/>
    <x v="0"/>
    <m/>
    <x v="1"/>
    <m/>
    <s v="MAYO-BELWA"/>
    <m/>
    <n v="80228"/>
    <n v="82562"/>
    <n v="162790"/>
    <n v="12921"/>
    <n v="12181"/>
    <n v="10242"/>
    <n v="8454"/>
    <n v="6353"/>
    <n v="5333"/>
    <n v="4902"/>
    <n v="4338"/>
    <n v="3518"/>
    <n v="2901"/>
    <n v="2300"/>
    <n v="2088"/>
    <n v="1377"/>
    <n v="1279"/>
    <n v="956"/>
    <n v="686"/>
    <n v="399"/>
    <n v="13026"/>
    <n v="12261"/>
    <n v="10185"/>
    <n v="8308"/>
    <n v="7019"/>
    <n v="5821"/>
    <n v="5021"/>
    <n v="4153"/>
    <n v="3935"/>
    <n v="2612"/>
    <n v="2635"/>
    <n v="1980"/>
    <n v="1895"/>
    <n v="1289"/>
    <n v="1248"/>
    <n v="665"/>
    <n v="509"/>
    <n v="25947"/>
    <n v="24442"/>
    <n v="20427"/>
    <n v="16762"/>
    <n v="13372"/>
    <n v="11154"/>
    <n v="9923"/>
    <n v="8491"/>
    <n v="7453"/>
    <n v="5513"/>
    <n v="4935"/>
    <n v="4068"/>
    <n v="3272"/>
    <n v="2568"/>
    <n v="2204"/>
    <n v="1351"/>
    <n v="908"/>
  </r>
  <r>
    <s v="NGA"/>
    <x v="0"/>
    <m/>
    <x v="1"/>
    <m/>
    <s v="MICHIKA"/>
    <m/>
    <n v="85693"/>
    <n v="92842"/>
    <n v="178535"/>
    <n v="15138"/>
    <n v="13497"/>
    <n v="11300"/>
    <n v="9570"/>
    <n v="6507"/>
    <n v="5372"/>
    <n v="4870"/>
    <n v="4294"/>
    <n v="3404"/>
    <n v="2825"/>
    <n v="2102"/>
    <n v="1961"/>
    <n v="1384"/>
    <n v="1317"/>
    <n v="1062"/>
    <n v="639"/>
    <n v="451"/>
    <n v="14853"/>
    <n v="13150"/>
    <n v="11248"/>
    <n v="9896"/>
    <n v="7348"/>
    <n v="6091"/>
    <n v="5181"/>
    <n v="4330"/>
    <n v="3913"/>
    <n v="3282"/>
    <n v="3125"/>
    <n v="2455"/>
    <n v="2420"/>
    <n v="2096"/>
    <n v="1899"/>
    <n v="915"/>
    <n v="640"/>
    <n v="29991"/>
    <n v="26647"/>
    <n v="22548"/>
    <n v="19466"/>
    <n v="13855"/>
    <n v="11463"/>
    <n v="10051"/>
    <n v="8624"/>
    <n v="7317"/>
    <n v="6107"/>
    <n v="5227"/>
    <n v="4416"/>
    <n v="3804"/>
    <n v="3413"/>
    <n v="2961"/>
    <n v="1554"/>
    <n v="1091"/>
  </r>
  <r>
    <s v="NGA"/>
    <x v="0"/>
    <m/>
    <x v="1"/>
    <m/>
    <s v="MUBI NORTH"/>
    <m/>
    <n v="78149"/>
    <n v="73379"/>
    <n v="151528"/>
    <n v="12671"/>
    <n v="11198"/>
    <n v="10003"/>
    <n v="8527"/>
    <n v="7852"/>
    <n v="6353"/>
    <n v="4786"/>
    <n v="4030"/>
    <n v="2968"/>
    <n v="2649"/>
    <n v="1868"/>
    <n v="1848"/>
    <n v="1000"/>
    <n v="1012"/>
    <n v="653"/>
    <n v="490"/>
    <n v="241"/>
    <n v="12340"/>
    <n v="10861"/>
    <n v="9728"/>
    <n v="8023"/>
    <n v="6280"/>
    <n v="5025"/>
    <n v="4070"/>
    <n v="3429"/>
    <n v="3000"/>
    <n v="2439"/>
    <n v="2081"/>
    <n v="1671"/>
    <n v="1362"/>
    <n v="1198"/>
    <n v="940"/>
    <n v="553"/>
    <n v="379"/>
    <n v="25011"/>
    <n v="22059"/>
    <n v="19731"/>
    <n v="16550"/>
    <n v="14132"/>
    <n v="11378"/>
    <n v="8856"/>
    <n v="7459"/>
    <n v="5968"/>
    <n v="5088"/>
    <n v="3949"/>
    <n v="3519"/>
    <n v="2362"/>
    <n v="2210"/>
    <n v="1593"/>
    <n v="1043"/>
    <n v="620"/>
  </r>
  <r>
    <s v="NGA"/>
    <x v="0"/>
    <m/>
    <x v="1"/>
    <m/>
    <s v="MUBI SOUTH"/>
    <m/>
    <n v="66682"/>
    <n v="63287"/>
    <n v="129969"/>
    <n v="11393"/>
    <n v="9689"/>
    <n v="8948"/>
    <n v="7384"/>
    <n v="5861"/>
    <n v="4781"/>
    <n v="3974"/>
    <n v="3425"/>
    <n v="2527"/>
    <n v="2168"/>
    <n v="1522"/>
    <n v="1660"/>
    <n v="918"/>
    <n v="1014"/>
    <n v="653"/>
    <n v="503"/>
    <n v="262"/>
    <n v="10817"/>
    <n v="9517"/>
    <n v="8710"/>
    <n v="6700"/>
    <n v="5235"/>
    <n v="4377"/>
    <n v="3572"/>
    <n v="2971"/>
    <n v="2594"/>
    <n v="1923"/>
    <n v="1783"/>
    <n v="1191"/>
    <n v="1226"/>
    <n v="881"/>
    <n v="913"/>
    <n v="509"/>
    <n v="368"/>
    <n v="22210"/>
    <n v="19206"/>
    <n v="17658"/>
    <n v="14084"/>
    <n v="11096"/>
    <n v="9158"/>
    <n v="7546"/>
    <n v="6396"/>
    <n v="5121"/>
    <n v="4091"/>
    <n v="3305"/>
    <n v="2851"/>
    <n v="2144"/>
    <n v="1895"/>
    <n v="1566"/>
    <n v="1012"/>
    <n v="630"/>
  </r>
  <r>
    <s v="NGA"/>
    <x v="0"/>
    <m/>
    <x v="1"/>
    <m/>
    <s v="NUMAN"/>
    <m/>
    <n v="64606"/>
    <n v="59424"/>
    <n v="124030"/>
    <n v="10111"/>
    <n v="8590"/>
    <n v="7912"/>
    <n v="7013"/>
    <n v="6122"/>
    <n v="5375"/>
    <n v="4675"/>
    <n v="3790"/>
    <n v="2880"/>
    <n v="2318"/>
    <n v="1515"/>
    <n v="1455"/>
    <n v="922"/>
    <n v="907"/>
    <n v="448"/>
    <n v="396"/>
    <n v="177"/>
    <n v="9414"/>
    <n v="8481"/>
    <n v="7391"/>
    <n v="6421"/>
    <n v="5385"/>
    <n v="4405"/>
    <n v="3755"/>
    <n v="3079"/>
    <n v="2348"/>
    <n v="1936"/>
    <n v="1735"/>
    <n v="1426"/>
    <n v="1213"/>
    <n v="997"/>
    <n v="691"/>
    <n v="419"/>
    <n v="328"/>
    <n v="19525"/>
    <n v="17071"/>
    <n v="15303"/>
    <n v="13434"/>
    <n v="11507"/>
    <n v="9780"/>
    <n v="8430"/>
    <n v="6869"/>
    <n v="5228"/>
    <n v="4254"/>
    <n v="3250"/>
    <n v="2881"/>
    <n v="2135"/>
    <n v="1904"/>
    <n v="1139"/>
    <n v="815"/>
    <n v="505"/>
  </r>
  <r>
    <s v="NGA"/>
    <x v="0"/>
    <m/>
    <x v="1"/>
    <m/>
    <s v="SHELLENG"/>
    <m/>
    <n v="185314"/>
    <n v="180082"/>
    <n v="365396"/>
    <n v="37948"/>
    <n v="28776"/>
    <n v="23438"/>
    <n v="19555"/>
    <n v="14410"/>
    <n v="11893"/>
    <n v="10848"/>
    <n v="9360"/>
    <n v="7709"/>
    <n v="5907"/>
    <n v="4743"/>
    <n v="3113"/>
    <n v="2535"/>
    <n v="1825"/>
    <n v="1671"/>
    <n v="1053"/>
    <n v="530"/>
    <n v="35746"/>
    <n v="27021"/>
    <n v="21722"/>
    <n v="18559"/>
    <n v="15393"/>
    <n v="13065"/>
    <n v="10973"/>
    <n v="8686"/>
    <n v="7287"/>
    <n v="5371"/>
    <n v="4414"/>
    <n v="3418"/>
    <n v="2961"/>
    <n v="2208"/>
    <n v="1786"/>
    <n v="908"/>
    <n v="564"/>
    <n v="73694"/>
    <n v="55797"/>
    <n v="45160"/>
    <n v="38114"/>
    <n v="29803"/>
    <n v="24958"/>
    <n v="21821"/>
    <n v="18046"/>
    <n v="14996"/>
    <n v="11278"/>
    <n v="9157"/>
    <n v="6531"/>
    <n v="5496"/>
    <n v="4033"/>
    <n v="3457"/>
    <n v="1961"/>
    <n v="1094"/>
  </r>
  <r>
    <s v="NGA"/>
    <x v="0"/>
    <m/>
    <x v="1"/>
    <m/>
    <s v="SONG"/>
    <m/>
    <n v="139085"/>
    <n v="139452"/>
    <n v="278537"/>
    <n v="25489"/>
    <n v="21614"/>
    <n v="17457"/>
    <n v="14487"/>
    <n v="10841"/>
    <n v="9654"/>
    <n v="8616"/>
    <n v="7360"/>
    <n v="6333"/>
    <n v="4551"/>
    <n v="3495"/>
    <n v="2769"/>
    <n v="2135"/>
    <n v="1708"/>
    <n v="1235"/>
    <n v="844"/>
    <n v="497"/>
    <n v="24258"/>
    <n v="21359"/>
    <n v="17140"/>
    <n v="15765"/>
    <n v="12636"/>
    <n v="9914"/>
    <n v="8685"/>
    <n v="6608"/>
    <n v="5727"/>
    <n v="3928"/>
    <n v="3534"/>
    <n v="2638"/>
    <n v="2263"/>
    <n v="1867"/>
    <n v="1611"/>
    <n v="889"/>
    <n v="630"/>
    <n v="49747"/>
    <n v="42973"/>
    <n v="34597"/>
    <n v="30252"/>
    <n v="23477"/>
    <n v="19568"/>
    <n v="17301"/>
    <n v="13968"/>
    <n v="12060"/>
    <n v="8479"/>
    <n v="7029"/>
    <n v="5407"/>
    <n v="4398"/>
    <n v="3575"/>
    <n v="2846"/>
    <n v="1733"/>
    <n v="1127"/>
  </r>
  <r>
    <s v="NGA"/>
    <x v="0"/>
    <m/>
    <x v="1"/>
    <m/>
    <s v="TOUNGO"/>
    <m/>
    <n v="35331"/>
    <n v="33467"/>
    <n v="68798"/>
    <n v="6124"/>
    <n v="5222"/>
    <n v="4062"/>
    <n v="3915"/>
    <n v="3093"/>
    <n v="2506"/>
    <n v="2306"/>
    <n v="1996"/>
    <n v="1627"/>
    <n v="1233"/>
    <n v="1007"/>
    <n v="655"/>
    <n v="592"/>
    <n v="390"/>
    <n v="298"/>
    <n v="192"/>
    <n v="113"/>
    <n v="5959"/>
    <n v="4940"/>
    <n v="3885"/>
    <n v="3742"/>
    <n v="3126"/>
    <n v="2715"/>
    <n v="2298"/>
    <n v="1645"/>
    <n v="1459"/>
    <n v="958"/>
    <n v="847"/>
    <n v="490"/>
    <n v="533"/>
    <n v="261"/>
    <n v="309"/>
    <n v="164"/>
    <n v="136"/>
    <n v="12083"/>
    <n v="10162"/>
    <n v="7947"/>
    <n v="7657"/>
    <n v="6219"/>
    <n v="5221"/>
    <n v="4604"/>
    <n v="3641"/>
    <n v="3086"/>
    <n v="2191"/>
    <n v="1854"/>
    <n v="1145"/>
    <n v="1125"/>
    <n v="651"/>
    <n v="607"/>
    <n v="356"/>
    <n v="249"/>
  </r>
  <r>
    <s v="NGA"/>
    <x v="0"/>
    <m/>
    <x v="1"/>
    <m/>
    <s v="YOLA NORTH"/>
    <m/>
    <n v="146518"/>
    <n v="120794"/>
    <n v="267312"/>
    <n v="19177"/>
    <n v="17340"/>
    <n v="16969"/>
    <n v="16906"/>
    <n v="17736"/>
    <n v="14706"/>
    <n v="10664"/>
    <n v="8991"/>
    <n v="6688"/>
    <n v="6074"/>
    <n v="3610"/>
    <n v="3565"/>
    <n v="1476"/>
    <n v="1357"/>
    <n v="538"/>
    <n v="503"/>
    <n v="218"/>
    <n v="18524"/>
    <n v="16044"/>
    <n v="16725"/>
    <n v="14492"/>
    <n v="12722"/>
    <n v="9681"/>
    <n v="7483"/>
    <n v="6858"/>
    <n v="5344"/>
    <n v="4012"/>
    <n v="2477"/>
    <n v="2217"/>
    <n v="1240"/>
    <n v="1172"/>
    <n v="821"/>
    <n v="593"/>
    <n v="389"/>
    <n v="37701"/>
    <n v="33384"/>
    <n v="33694"/>
    <n v="31398"/>
    <n v="30458"/>
    <n v="24387"/>
    <n v="18147"/>
    <n v="15849"/>
    <n v="12032"/>
    <n v="10086"/>
    <n v="6087"/>
    <n v="5782"/>
    <n v="2716"/>
    <n v="2529"/>
    <n v="1359"/>
    <n v="1096"/>
    <n v="607"/>
  </r>
  <r>
    <s v="NGA"/>
    <x v="0"/>
    <m/>
    <x v="1"/>
    <m/>
    <s v="YOLA SOUTH"/>
    <m/>
    <n v="134271"/>
    <n v="128387"/>
    <n v="262658"/>
    <n v="22307"/>
    <n v="18110"/>
    <n v="16447"/>
    <n v="14462"/>
    <n v="12934"/>
    <n v="10312"/>
    <n v="8268"/>
    <n v="7518"/>
    <n v="6159"/>
    <n v="5286"/>
    <n v="3436"/>
    <n v="3453"/>
    <n v="1914"/>
    <n v="1662"/>
    <n v="951"/>
    <n v="724"/>
    <n v="328"/>
    <n v="20804"/>
    <n v="18103"/>
    <n v="17835"/>
    <n v="15728"/>
    <n v="11552"/>
    <n v="9054"/>
    <n v="7637"/>
    <n v="6461"/>
    <n v="5439"/>
    <n v="3962"/>
    <n v="3083"/>
    <n v="2528"/>
    <n v="1882"/>
    <n v="1501"/>
    <n v="1381"/>
    <n v="830"/>
    <n v="607"/>
    <n v="43111"/>
    <n v="36213"/>
    <n v="34282"/>
    <n v="30190"/>
    <n v="24486"/>
    <n v="19366"/>
    <n v="15905"/>
    <n v="13979"/>
    <n v="11598"/>
    <n v="9248"/>
    <n v="6519"/>
    <n v="5981"/>
    <n v="3796"/>
    <n v="3163"/>
    <n v="2332"/>
    <n v="1554"/>
    <n v="935"/>
  </r>
  <r>
    <s v="NGA"/>
    <x v="0"/>
    <m/>
    <x v="2"/>
    <m/>
    <s v="ABAK"/>
    <m/>
    <n v="78238"/>
    <n v="76707"/>
    <n v="154945"/>
    <n v="9319"/>
    <n v="9893"/>
    <n v="10524"/>
    <n v="10165"/>
    <n v="7778"/>
    <n v="5772"/>
    <n v="4663"/>
    <n v="4164"/>
    <n v="3837"/>
    <n v="3422"/>
    <n v="2543"/>
    <n v="2114"/>
    <n v="1644"/>
    <n v="1106"/>
    <n v="704"/>
    <n v="396"/>
    <n v="194"/>
    <n v="8808"/>
    <n v="9387"/>
    <n v="10033"/>
    <n v="9358"/>
    <n v="6963"/>
    <n v="5608"/>
    <n v="4978"/>
    <n v="4863"/>
    <n v="3929"/>
    <n v="3523"/>
    <n v="2561"/>
    <n v="2080"/>
    <n v="1643"/>
    <n v="1439"/>
    <n v="862"/>
    <n v="462"/>
    <n v="210"/>
    <n v="18127"/>
    <n v="19280"/>
    <n v="20557"/>
    <n v="19523"/>
    <n v="14741"/>
    <n v="11380"/>
    <n v="9641"/>
    <n v="9027"/>
    <n v="7766"/>
    <n v="6945"/>
    <n v="5104"/>
    <n v="4194"/>
    <n v="3287"/>
    <n v="2545"/>
    <n v="1566"/>
    <n v="858"/>
    <n v="404"/>
  </r>
  <r>
    <s v="NGA"/>
    <x v="0"/>
    <m/>
    <x v="2"/>
    <m/>
    <s v="EASTERN OBOLO"/>
    <m/>
    <n v="63013"/>
    <n v="62512"/>
    <n v="125525"/>
    <n v="8072"/>
    <n v="8295"/>
    <n v="8547"/>
    <n v="7919"/>
    <n v="6062"/>
    <n v="4269"/>
    <n v="3536"/>
    <n v="3279"/>
    <n v="3127"/>
    <n v="2536"/>
    <n v="2329"/>
    <n v="1478"/>
    <n v="1282"/>
    <n v="816"/>
    <n v="755"/>
    <n v="449"/>
    <n v="262"/>
    <n v="7475"/>
    <n v="8032"/>
    <n v="8021"/>
    <n v="7231"/>
    <n v="5304"/>
    <n v="4577"/>
    <n v="4114"/>
    <n v="4138"/>
    <n v="3361"/>
    <n v="3038"/>
    <n v="2174"/>
    <n v="1220"/>
    <n v="1410"/>
    <n v="1419"/>
    <n v="370"/>
    <n v="446"/>
    <n v="182"/>
    <n v="15547"/>
    <n v="16327"/>
    <n v="16568"/>
    <n v="15150"/>
    <n v="11366"/>
    <n v="8846"/>
    <n v="7650"/>
    <n v="7417"/>
    <n v="6488"/>
    <n v="5574"/>
    <n v="4503"/>
    <n v="2698"/>
    <n v="2692"/>
    <n v="2235"/>
    <n v="1125"/>
    <n v="895"/>
    <n v="444"/>
  </r>
  <r>
    <s v="NGA"/>
    <x v="0"/>
    <m/>
    <x v="2"/>
    <m/>
    <s v="EKET"/>
    <m/>
    <n v="162604"/>
    <n v="152296"/>
    <n v="314900"/>
    <n v="19567"/>
    <n v="19828"/>
    <n v="19846"/>
    <n v="19502"/>
    <n v="16801"/>
    <n v="13386"/>
    <n v="10795"/>
    <n v="9716"/>
    <n v="8294"/>
    <n v="7083"/>
    <n v="5018"/>
    <n v="4427"/>
    <n v="2979"/>
    <n v="2665"/>
    <n v="1364"/>
    <n v="991"/>
    <n v="342"/>
    <n v="18198"/>
    <n v="18867"/>
    <n v="18865"/>
    <n v="18135"/>
    <n v="14493"/>
    <n v="12131"/>
    <n v="10565"/>
    <n v="10012"/>
    <n v="7812"/>
    <n v="6909"/>
    <n v="4626"/>
    <n v="4418"/>
    <n v="2617"/>
    <n v="2443"/>
    <n v="1011"/>
    <n v="839"/>
    <n v="355"/>
    <n v="37765"/>
    <n v="38695"/>
    <n v="38711"/>
    <n v="37637"/>
    <n v="31294"/>
    <n v="25517"/>
    <n v="21360"/>
    <n v="19728"/>
    <n v="16106"/>
    <n v="13992"/>
    <n v="9644"/>
    <n v="8845"/>
    <n v="5596"/>
    <n v="5108"/>
    <n v="2375"/>
    <n v="1830"/>
    <n v="697"/>
  </r>
  <r>
    <s v="NGA"/>
    <x v="0"/>
    <m/>
    <x v="2"/>
    <m/>
    <s v="ESIT EKET"/>
    <m/>
    <n v="47125"/>
    <n v="46100"/>
    <n v="93225"/>
    <n v="5977"/>
    <n v="6174"/>
    <n v="6111"/>
    <n v="5575"/>
    <n v="4533"/>
    <n v="3441"/>
    <n v="2766"/>
    <n v="2583"/>
    <n v="2316"/>
    <n v="2072"/>
    <n v="1700"/>
    <n v="1170"/>
    <n v="1331"/>
    <n v="582"/>
    <n v="467"/>
    <n v="181"/>
    <n v="146"/>
    <n v="5652"/>
    <n v="5772"/>
    <n v="5581"/>
    <n v="5119"/>
    <n v="3932"/>
    <n v="3405"/>
    <n v="3071"/>
    <n v="2963"/>
    <n v="2396"/>
    <n v="2262"/>
    <n v="1774"/>
    <n v="1194"/>
    <n v="1061"/>
    <n v="1014"/>
    <n v="431"/>
    <n v="370"/>
    <n v="103"/>
    <n v="11629"/>
    <n v="11946"/>
    <n v="11692"/>
    <n v="10694"/>
    <n v="8465"/>
    <n v="6846"/>
    <n v="5837"/>
    <n v="5546"/>
    <n v="4712"/>
    <n v="4334"/>
    <n v="3474"/>
    <n v="2364"/>
    <n v="2392"/>
    <n v="1596"/>
    <n v="898"/>
    <n v="551"/>
    <n v="249"/>
  </r>
  <r>
    <s v="NGA"/>
    <x v="0"/>
    <m/>
    <x v="2"/>
    <m/>
    <s v="ESSIEN UDIM"/>
    <m/>
    <n v="126185"/>
    <n v="123805"/>
    <n v="249990"/>
    <n v="15032"/>
    <n v="16477"/>
    <n v="16927"/>
    <n v="16095"/>
    <n v="12258"/>
    <n v="9252"/>
    <n v="7457"/>
    <n v="6551"/>
    <n v="5947"/>
    <n v="5380"/>
    <n v="4233"/>
    <n v="3388"/>
    <n v="2884"/>
    <n v="1954"/>
    <n v="1215"/>
    <n v="757"/>
    <n v="378"/>
    <n v="14157"/>
    <n v="15422"/>
    <n v="15816"/>
    <n v="14766"/>
    <n v="10632"/>
    <n v="8975"/>
    <n v="7904"/>
    <n v="7767"/>
    <n v="6418"/>
    <n v="5957"/>
    <n v="4176"/>
    <n v="3818"/>
    <n v="2886"/>
    <n v="2567"/>
    <n v="1430"/>
    <n v="666"/>
    <n v="448"/>
    <n v="29189"/>
    <n v="31899"/>
    <n v="32743"/>
    <n v="30861"/>
    <n v="22890"/>
    <n v="18227"/>
    <n v="15361"/>
    <n v="14318"/>
    <n v="12365"/>
    <n v="11337"/>
    <n v="8409"/>
    <n v="7206"/>
    <n v="5770"/>
    <n v="4521"/>
    <n v="2645"/>
    <n v="1423"/>
    <n v="826"/>
  </r>
  <r>
    <s v="NGA"/>
    <x v="0"/>
    <m/>
    <x v="2"/>
    <m/>
    <s v="ETIM EKPO"/>
    <m/>
    <n v="69748"/>
    <n v="68644"/>
    <n v="138392"/>
    <n v="8442"/>
    <n v="9057"/>
    <n v="9419"/>
    <n v="8906"/>
    <n v="6625"/>
    <n v="4938"/>
    <n v="4133"/>
    <n v="3755"/>
    <n v="3564"/>
    <n v="2966"/>
    <n v="2477"/>
    <n v="1631"/>
    <n v="1477"/>
    <n v="1040"/>
    <n v="697"/>
    <n v="398"/>
    <n v="223"/>
    <n v="7837"/>
    <n v="8554"/>
    <n v="8789"/>
    <n v="8409"/>
    <n v="5952"/>
    <n v="5099"/>
    <n v="4516"/>
    <n v="4442"/>
    <n v="3637"/>
    <n v="3151"/>
    <n v="2343"/>
    <n v="1884"/>
    <n v="1627"/>
    <n v="1244"/>
    <n v="635"/>
    <n v="320"/>
    <n v="205"/>
    <n v="16279"/>
    <n v="17611"/>
    <n v="18208"/>
    <n v="17315"/>
    <n v="12577"/>
    <n v="10037"/>
    <n v="8649"/>
    <n v="8197"/>
    <n v="7201"/>
    <n v="6117"/>
    <n v="4820"/>
    <n v="3515"/>
    <n v="3104"/>
    <n v="2284"/>
    <n v="1332"/>
    <n v="718"/>
    <n v="428"/>
  </r>
  <r>
    <s v="NGA"/>
    <x v="0"/>
    <m/>
    <x v="2"/>
    <m/>
    <s v="ETINAN"/>
    <m/>
    <n v="139459"/>
    <n v="136426"/>
    <n v="275885"/>
    <n v="16693"/>
    <n v="17991"/>
    <n v="18034"/>
    <n v="17200"/>
    <n v="13476"/>
    <n v="10102"/>
    <n v="8123"/>
    <n v="7485"/>
    <n v="6811"/>
    <n v="6160"/>
    <n v="4660"/>
    <n v="4109"/>
    <n v="3468"/>
    <n v="2524"/>
    <n v="1596"/>
    <n v="726"/>
    <n v="301"/>
    <n v="15793"/>
    <n v="16782"/>
    <n v="16895"/>
    <n v="15457"/>
    <n v="11638"/>
    <n v="9819"/>
    <n v="8912"/>
    <n v="8879"/>
    <n v="7081"/>
    <n v="6777"/>
    <n v="4729"/>
    <n v="4563"/>
    <n v="3430"/>
    <n v="3285"/>
    <n v="1464"/>
    <n v="617"/>
    <n v="305"/>
    <n v="32486"/>
    <n v="34773"/>
    <n v="34929"/>
    <n v="32657"/>
    <n v="25114"/>
    <n v="19921"/>
    <n v="17035"/>
    <n v="16364"/>
    <n v="13892"/>
    <n v="12937"/>
    <n v="9389"/>
    <n v="8672"/>
    <n v="6898"/>
    <n v="5809"/>
    <n v="3060"/>
    <n v="1343"/>
    <n v="606"/>
  </r>
  <r>
    <s v="NGA"/>
    <x v="0"/>
    <m/>
    <x v="2"/>
    <m/>
    <s v="IBENO"/>
    <m/>
    <n v="59025"/>
    <n v="51098"/>
    <n v="110123"/>
    <n v="6544"/>
    <n v="7181"/>
    <n v="7334"/>
    <n v="7040"/>
    <n v="5677"/>
    <n v="4547"/>
    <n v="4214"/>
    <n v="3961"/>
    <n v="3481"/>
    <n v="2799"/>
    <n v="2044"/>
    <n v="1481"/>
    <n v="1128"/>
    <n v="720"/>
    <n v="498"/>
    <n v="237"/>
    <n v="139"/>
    <n v="5980"/>
    <n v="6440"/>
    <n v="6690"/>
    <n v="6197"/>
    <n v="4624"/>
    <n v="4025"/>
    <n v="3583"/>
    <n v="3357"/>
    <n v="2666"/>
    <n v="2308"/>
    <n v="1632"/>
    <n v="1325"/>
    <n v="878"/>
    <n v="583"/>
    <n v="408"/>
    <n v="259"/>
    <n v="143"/>
    <n v="12524"/>
    <n v="13621"/>
    <n v="14024"/>
    <n v="13237"/>
    <n v="10301"/>
    <n v="8572"/>
    <n v="7797"/>
    <n v="7318"/>
    <n v="6147"/>
    <n v="5107"/>
    <n v="3676"/>
    <n v="2806"/>
    <n v="2006"/>
    <n v="1303"/>
    <n v="906"/>
    <n v="496"/>
    <n v="282"/>
  </r>
  <r>
    <s v="NGA"/>
    <x v="0"/>
    <m/>
    <x v="2"/>
    <m/>
    <s v="IBESIKPO ASUTAN"/>
    <m/>
    <n v="110057"/>
    <n v="106957"/>
    <n v="217014"/>
    <n v="13677"/>
    <n v="14207"/>
    <n v="14421"/>
    <n v="13607"/>
    <n v="10696"/>
    <n v="8109"/>
    <n v="6435"/>
    <n v="5956"/>
    <n v="5408"/>
    <n v="4850"/>
    <n v="3616"/>
    <n v="2985"/>
    <n v="2341"/>
    <n v="1886"/>
    <n v="1091"/>
    <n v="481"/>
    <n v="291"/>
    <n v="12741"/>
    <n v="13192"/>
    <n v="13636"/>
    <n v="12567"/>
    <n v="9234"/>
    <n v="7787"/>
    <n v="6989"/>
    <n v="6974"/>
    <n v="5548"/>
    <n v="5026"/>
    <n v="3483"/>
    <n v="3141"/>
    <n v="2454"/>
    <n v="1873"/>
    <n v="1208"/>
    <n v="767"/>
    <n v="337"/>
    <n v="26418"/>
    <n v="27399"/>
    <n v="28057"/>
    <n v="26174"/>
    <n v="19930"/>
    <n v="15896"/>
    <n v="13424"/>
    <n v="12930"/>
    <n v="10956"/>
    <n v="9876"/>
    <n v="7099"/>
    <n v="6126"/>
    <n v="4795"/>
    <n v="3759"/>
    <n v="2299"/>
    <n v="1248"/>
    <n v="628"/>
  </r>
  <r>
    <s v="NGA"/>
    <x v="0"/>
    <m/>
    <x v="2"/>
    <m/>
    <s v="IBIONO IBOM"/>
    <m/>
    <n v="141849"/>
    <n v="137589"/>
    <n v="279438"/>
    <n v="17487"/>
    <n v="18527"/>
    <n v="18618"/>
    <n v="17570"/>
    <n v="13615"/>
    <n v="10283"/>
    <n v="8225"/>
    <n v="7680"/>
    <n v="7036"/>
    <n v="6262"/>
    <n v="4628"/>
    <n v="3518"/>
    <n v="3299"/>
    <n v="2316"/>
    <n v="1166"/>
    <n v="1195"/>
    <n v="424"/>
    <n v="16477"/>
    <n v="17145"/>
    <n v="17377"/>
    <n v="15706"/>
    <n v="11184"/>
    <n v="9625"/>
    <n v="9074"/>
    <n v="8971"/>
    <n v="7345"/>
    <n v="6703"/>
    <n v="5304"/>
    <n v="3543"/>
    <n v="3018"/>
    <n v="3222"/>
    <n v="1588"/>
    <n v="866"/>
    <n v="441"/>
    <n v="33964"/>
    <n v="35672"/>
    <n v="35995"/>
    <n v="33276"/>
    <n v="24799"/>
    <n v="19908"/>
    <n v="17299"/>
    <n v="16651"/>
    <n v="14381"/>
    <n v="12965"/>
    <n v="9932"/>
    <n v="7061"/>
    <n v="6317"/>
    <n v="5538"/>
    <n v="2754"/>
    <n v="2061"/>
    <n v="865"/>
  </r>
  <r>
    <s v="NGA"/>
    <x v="0"/>
    <m/>
    <x v="2"/>
    <m/>
    <s v="IKA"/>
    <m/>
    <n v="48093"/>
    <n v="46984"/>
    <n v="95077"/>
    <n v="5913"/>
    <n v="6244"/>
    <n v="6274"/>
    <n v="6012"/>
    <n v="4614"/>
    <n v="3575"/>
    <n v="2852"/>
    <n v="2615"/>
    <n v="2413"/>
    <n v="2070"/>
    <n v="1645"/>
    <n v="1183"/>
    <n v="1082"/>
    <n v="676"/>
    <n v="462"/>
    <n v="272"/>
    <n v="191"/>
    <n v="5583"/>
    <n v="5788"/>
    <n v="5850"/>
    <n v="5389"/>
    <n v="4095"/>
    <n v="3456"/>
    <n v="3099"/>
    <n v="2962"/>
    <n v="2406"/>
    <n v="2182"/>
    <n v="1629"/>
    <n v="1451"/>
    <n v="986"/>
    <n v="1062"/>
    <n v="505"/>
    <n v="359"/>
    <n v="182"/>
    <n v="11496"/>
    <n v="12032"/>
    <n v="12124"/>
    <n v="11401"/>
    <n v="8709"/>
    <n v="7031"/>
    <n v="5951"/>
    <n v="5577"/>
    <n v="4819"/>
    <n v="4252"/>
    <n v="3274"/>
    <n v="2634"/>
    <n v="2068"/>
    <n v="1738"/>
    <n v="967"/>
    <n v="631"/>
    <n v="373"/>
  </r>
  <r>
    <s v="NGA"/>
    <x v="0"/>
    <m/>
    <x v="2"/>
    <m/>
    <s v="IKONO"/>
    <m/>
    <n v="81472"/>
    <n v="81876"/>
    <n v="163348"/>
    <n v="9772"/>
    <n v="10453"/>
    <n v="10748"/>
    <n v="10319"/>
    <n v="7994"/>
    <n v="5851"/>
    <n v="4624"/>
    <n v="4224"/>
    <n v="3962"/>
    <n v="3551"/>
    <n v="2864"/>
    <n v="2260"/>
    <n v="1873"/>
    <n v="1340"/>
    <n v="840"/>
    <n v="527"/>
    <n v="270"/>
    <n v="9231"/>
    <n v="9783"/>
    <n v="10717"/>
    <n v="10457"/>
    <n v="6801"/>
    <n v="5595"/>
    <n v="5129"/>
    <n v="5239"/>
    <n v="4233"/>
    <n v="3887"/>
    <n v="2658"/>
    <n v="2689"/>
    <n v="1871"/>
    <n v="1879"/>
    <n v="941"/>
    <n v="488"/>
    <n v="278"/>
    <n v="19003"/>
    <n v="20236"/>
    <n v="21465"/>
    <n v="20776"/>
    <n v="14795"/>
    <n v="11446"/>
    <n v="9753"/>
    <n v="9463"/>
    <n v="8195"/>
    <n v="7438"/>
    <n v="5522"/>
    <n v="4949"/>
    <n v="3744"/>
    <n v="3219"/>
    <n v="1781"/>
    <n v="1015"/>
    <n v="548"/>
  </r>
  <r>
    <s v="NGA"/>
    <x v="0"/>
    <m/>
    <x v="2"/>
    <m/>
    <s v="IKOT ABASI"/>
    <m/>
    <n v="141765"/>
    <n v="135778"/>
    <n v="277543"/>
    <n v="16742"/>
    <n v="18067"/>
    <n v="18314"/>
    <n v="17534"/>
    <n v="13518"/>
    <n v="10425"/>
    <n v="8789"/>
    <n v="8127"/>
    <n v="7169"/>
    <n v="6214"/>
    <n v="4429"/>
    <n v="4233"/>
    <n v="3207"/>
    <n v="2382"/>
    <n v="1430"/>
    <n v="869"/>
    <n v="316"/>
    <n v="15420"/>
    <n v="17082"/>
    <n v="17182"/>
    <n v="15911"/>
    <n v="11541"/>
    <n v="10403"/>
    <n v="9197"/>
    <n v="9052"/>
    <n v="7105"/>
    <n v="6359"/>
    <n v="4560"/>
    <n v="4222"/>
    <n v="2973"/>
    <n v="2512"/>
    <n v="1179"/>
    <n v="800"/>
    <n v="280"/>
    <n v="32162"/>
    <n v="35149"/>
    <n v="35496"/>
    <n v="33445"/>
    <n v="25059"/>
    <n v="20828"/>
    <n v="17986"/>
    <n v="17179"/>
    <n v="14274"/>
    <n v="12573"/>
    <n v="8989"/>
    <n v="8455"/>
    <n v="6180"/>
    <n v="4894"/>
    <n v="2609"/>
    <n v="1669"/>
    <n v="596"/>
  </r>
  <r>
    <s v="NGA"/>
    <x v="0"/>
    <m/>
    <x v="2"/>
    <m/>
    <s v="IKOT EKPENE"/>
    <m/>
    <n v="111551"/>
    <n v="107809"/>
    <n v="219360"/>
    <n v="11777"/>
    <n v="12251"/>
    <n v="14190"/>
    <n v="15063"/>
    <n v="12464"/>
    <n v="9454"/>
    <n v="7225"/>
    <n v="6202"/>
    <n v="5457"/>
    <n v="5097"/>
    <n v="3537"/>
    <n v="3127"/>
    <n v="2147"/>
    <n v="1673"/>
    <n v="1038"/>
    <n v="611"/>
    <n v="238"/>
    <n v="11314"/>
    <n v="11904"/>
    <n v="13936"/>
    <n v="14707"/>
    <n v="10770"/>
    <n v="8184"/>
    <n v="7195"/>
    <n v="6714"/>
    <n v="5385"/>
    <n v="4886"/>
    <n v="3756"/>
    <n v="2910"/>
    <n v="2437"/>
    <n v="1694"/>
    <n v="1129"/>
    <n v="578"/>
    <n v="310"/>
    <n v="23091"/>
    <n v="24155"/>
    <n v="28126"/>
    <n v="29770"/>
    <n v="23234"/>
    <n v="17638"/>
    <n v="14420"/>
    <n v="12916"/>
    <n v="10842"/>
    <n v="9983"/>
    <n v="7293"/>
    <n v="6037"/>
    <n v="4584"/>
    <n v="3367"/>
    <n v="2167"/>
    <n v="1189"/>
    <n v="548"/>
  </r>
  <r>
    <s v="NGA"/>
    <x v="0"/>
    <m/>
    <x v="2"/>
    <m/>
    <s v="INI"/>
    <m/>
    <n v="60404"/>
    <n v="59648"/>
    <n v="120052"/>
    <n v="7544"/>
    <n v="7988"/>
    <n v="8047"/>
    <n v="7465"/>
    <n v="5808"/>
    <n v="4271"/>
    <n v="3436"/>
    <n v="3185"/>
    <n v="2903"/>
    <n v="2592"/>
    <n v="2080"/>
    <n v="1665"/>
    <n v="1299"/>
    <n v="807"/>
    <n v="684"/>
    <n v="397"/>
    <n v="233"/>
    <n v="7188"/>
    <n v="7425"/>
    <n v="7439"/>
    <n v="6734"/>
    <n v="4967"/>
    <n v="4269"/>
    <n v="3871"/>
    <n v="3860"/>
    <n v="3054"/>
    <n v="2910"/>
    <n v="2186"/>
    <n v="1687"/>
    <n v="1389"/>
    <n v="1173"/>
    <n v="796"/>
    <n v="481"/>
    <n v="219"/>
    <n v="14732"/>
    <n v="15413"/>
    <n v="15486"/>
    <n v="14199"/>
    <n v="10775"/>
    <n v="8540"/>
    <n v="7307"/>
    <n v="7045"/>
    <n v="5957"/>
    <n v="5502"/>
    <n v="4266"/>
    <n v="3352"/>
    <n v="2688"/>
    <n v="1980"/>
    <n v="1480"/>
    <n v="878"/>
    <n v="452"/>
  </r>
  <r>
    <s v="NGA"/>
    <x v="0"/>
    <m/>
    <x v="2"/>
    <m/>
    <s v="ITU"/>
    <m/>
    <n v="96877"/>
    <n v="92558"/>
    <n v="189435"/>
    <n v="11185"/>
    <n v="12477"/>
    <n v="12711"/>
    <n v="12146"/>
    <n v="9672"/>
    <n v="7223"/>
    <n v="5774"/>
    <n v="5311"/>
    <n v="4938"/>
    <n v="4207"/>
    <n v="3114"/>
    <n v="2914"/>
    <n v="2020"/>
    <n v="1425"/>
    <n v="947"/>
    <n v="534"/>
    <n v="279"/>
    <n v="10580"/>
    <n v="11504"/>
    <n v="12050"/>
    <n v="11022"/>
    <n v="8173"/>
    <n v="6976"/>
    <n v="6273"/>
    <n v="6152"/>
    <n v="4772"/>
    <n v="4346"/>
    <n v="3252"/>
    <n v="2346"/>
    <n v="1927"/>
    <n v="1739"/>
    <n v="772"/>
    <n v="444"/>
    <n v="230"/>
    <n v="21765"/>
    <n v="23981"/>
    <n v="24761"/>
    <n v="23168"/>
    <n v="17845"/>
    <n v="14199"/>
    <n v="12047"/>
    <n v="11463"/>
    <n v="9710"/>
    <n v="8553"/>
    <n v="6366"/>
    <n v="5260"/>
    <n v="3947"/>
    <n v="3164"/>
    <n v="1719"/>
    <n v="978"/>
    <n v="509"/>
  </r>
  <r>
    <s v="NGA"/>
    <x v="0"/>
    <m/>
    <x v="2"/>
    <m/>
    <s v="MBO"/>
    <m/>
    <n v="69184"/>
    <n v="65999"/>
    <n v="135183"/>
    <n v="8636"/>
    <n v="9230"/>
    <n v="9121"/>
    <n v="8448"/>
    <n v="6650"/>
    <n v="4991"/>
    <n v="4060"/>
    <n v="3716"/>
    <n v="3260"/>
    <n v="3003"/>
    <n v="2536"/>
    <n v="1585"/>
    <n v="1665"/>
    <n v="1087"/>
    <n v="649"/>
    <n v="360"/>
    <n v="187"/>
    <n v="8154"/>
    <n v="8521"/>
    <n v="8505"/>
    <n v="7461"/>
    <n v="5650"/>
    <n v="4898"/>
    <n v="4456"/>
    <n v="4365"/>
    <n v="3547"/>
    <n v="3236"/>
    <n v="2143"/>
    <n v="1737"/>
    <n v="1326"/>
    <n v="951"/>
    <n v="535"/>
    <n v="346"/>
    <n v="168"/>
    <n v="16790"/>
    <n v="17751"/>
    <n v="17626"/>
    <n v="15909"/>
    <n v="12300"/>
    <n v="9889"/>
    <n v="8516"/>
    <n v="8081"/>
    <n v="6807"/>
    <n v="6239"/>
    <n v="4679"/>
    <n v="3322"/>
    <n v="2991"/>
    <n v="2038"/>
    <n v="1184"/>
    <n v="706"/>
    <n v="355"/>
  </r>
  <r>
    <s v="NGA"/>
    <x v="0"/>
    <m/>
    <x v="2"/>
    <m/>
    <s v="MKPAT ENIN"/>
    <m/>
    <n v="131949"/>
    <n v="131049"/>
    <n v="262998"/>
    <n v="16309"/>
    <n v="17010"/>
    <n v="17165"/>
    <n v="16080"/>
    <n v="12839"/>
    <n v="9550"/>
    <n v="7702"/>
    <n v="7020"/>
    <n v="6569"/>
    <n v="5808"/>
    <n v="4507"/>
    <n v="3616"/>
    <n v="3032"/>
    <n v="2004"/>
    <n v="1396"/>
    <n v="953"/>
    <n v="389"/>
    <n v="15417"/>
    <n v="15870"/>
    <n v="16961"/>
    <n v="15494"/>
    <n v="10811"/>
    <n v="9337"/>
    <n v="8560"/>
    <n v="8588"/>
    <n v="6805"/>
    <n v="6172"/>
    <n v="4694"/>
    <n v="3736"/>
    <n v="3376"/>
    <n v="2215"/>
    <n v="1401"/>
    <n v="1187"/>
    <n v="425"/>
    <n v="31726"/>
    <n v="32880"/>
    <n v="34126"/>
    <n v="31574"/>
    <n v="23650"/>
    <n v="18887"/>
    <n v="16262"/>
    <n v="15608"/>
    <n v="13374"/>
    <n v="11980"/>
    <n v="9201"/>
    <n v="7352"/>
    <n v="6408"/>
    <n v="4219"/>
    <n v="2797"/>
    <n v="2140"/>
    <n v="814"/>
  </r>
  <r>
    <s v="NGA"/>
    <x v="0"/>
    <m/>
    <x v="2"/>
    <m/>
    <s v="NSIT ATAI"/>
    <m/>
    <n v="71993"/>
    <n v="70842"/>
    <n v="142835"/>
    <n v="9078"/>
    <n v="9548"/>
    <n v="9251"/>
    <n v="8712"/>
    <n v="6509"/>
    <n v="4648"/>
    <n v="4583"/>
    <n v="4106"/>
    <n v="3438"/>
    <n v="2969"/>
    <n v="2769"/>
    <n v="1760"/>
    <n v="1684"/>
    <n v="1408"/>
    <n v="1025"/>
    <n v="353"/>
    <n v="152"/>
    <n v="8610"/>
    <n v="8927"/>
    <n v="8826"/>
    <n v="7910"/>
    <n v="5831"/>
    <n v="5312"/>
    <n v="4555"/>
    <n v="4604"/>
    <n v="3784"/>
    <n v="3078"/>
    <n v="2247"/>
    <n v="2972"/>
    <n v="1784"/>
    <n v="1459"/>
    <n v="412"/>
    <n v="360"/>
    <n v="171"/>
    <n v="17688"/>
    <n v="18475"/>
    <n v="18077"/>
    <n v="16622"/>
    <n v="12340"/>
    <n v="9960"/>
    <n v="9138"/>
    <n v="8710"/>
    <n v="7222"/>
    <n v="6047"/>
    <n v="5016"/>
    <n v="4732"/>
    <n v="3468"/>
    <n v="2867"/>
    <n v="1437"/>
    <n v="713"/>
    <n v="323"/>
  </r>
  <r>
    <s v="NGA"/>
    <x v="0"/>
    <m/>
    <x v="2"/>
    <m/>
    <s v="NSIT IBOM"/>
    <m/>
    <n v="81532"/>
    <n v="78607"/>
    <n v="160139"/>
    <n v="9771"/>
    <n v="10622"/>
    <n v="10762"/>
    <n v="10208"/>
    <n v="7952"/>
    <n v="5833"/>
    <n v="4713"/>
    <n v="4346"/>
    <n v="3896"/>
    <n v="3535"/>
    <n v="2687"/>
    <n v="2486"/>
    <n v="1797"/>
    <n v="1473"/>
    <n v="803"/>
    <n v="398"/>
    <n v="250"/>
    <n v="9310"/>
    <n v="9820"/>
    <n v="10050"/>
    <n v="8967"/>
    <n v="6738"/>
    <n v="5751"/>
    <n v="5245"/>
    <n v="5156"/>
    <n v="4057"/>
    <n v="3740"/>
    <n v="2555"/>
    <n v="2762"/>
    <n v="1760"/>
    <n v="1524"/>
    <n v="668"/>
    <n v="299"/>
    <n v="205"/>
    <n v="19081"/>
    <n v="20442"/>
    <n v="20812"/>
    <n v="19175"/>
    <n v="14690"/>
    <n v="11584"/>
    <n v="9958"/>
    <n v="9502"/>
    <n v="7953"/>
    <n v="7275"/>
    <n v="5242"/>
    <n v="5248"/>
    <n v="3557"/>
    <n v="2997"/>
    <n v="1471"/>
    <n v="697"/>
    <n v="455"/>
  </r>
  <r>
    <s v="NGA"/>
    <x v="0"/>
    <m/>
    <x v="2"/>
    <m/>
    <s v="NSIT UBIUM"/>
    <m/>
    <n v="96401"/>
    <n v="94183"/>
    <n v="190584"/>
    <n v="11954"/>
    <n v="12593"/>
    <n v="12802"/>
    <n v="11770"/>
    <n v="9329"/>
    <n v="6917"/>
    <n v="5540"/>
    <n v="5073"/>
    <n v="4683"/>
    <n v="4200"/>
    <n v="3306"/>
    <n v="2627"/>
    <n v="1812"/>
    <n v="1709"/>
    <n v="992"/>
    <n v="767"/>
    <n v="327"/>
    <n v="11273"/>
    <n v="11701"/>
    <n v="11814"/>
    <n v="10622"/>
    <n v="7913"/>
    <n v="6753"/>
    <n v="5940"/>
    <n v="5830"/>
    <n v="5023"/>
    <n v="4410"/>
    <n v="3195"/>
    <n v="3193"/>
    <n v="2757"/>
    <n v="2175"/>
    <n v="914"/>
    <n v="495"/>
    <n v="175"/>
    <n v="23227"/>
    <n v="24294"/>
    <n v="24616"/>
    <n v="22392"/>
    <n v="17242"/>
    <n v="13670"/>
    <n v="11480"/>
    <n v="10903"/>
    <n v="9706"/>
    <n v="8610"/>
    <n v="6501"/>
    <n v="5820"/>
    <n v="4569"/>
    <n v="3884"/>
    <n v="1906"/>
    <n v="1262"/>
    <n v="502"/>
  </r>
  <r>
    <s v="NGA"/>
    <x v="0"/>
    <m/>
    <x v="2"/>
    <m/>
    <s v="OBOT AKARA"/>
    <m/>
    <n v="114906"/>
    <n v="113570"/>
    <n v="228476"/>
    <n v="14566"/>
    <n v="15117"/>
    <n v="14944"/>
    <n v="13779"/>
    <n v="10956"/>
    <n v="8227"/>
    <n v="6632"/>
    <n v="6162"/>
    <n v="5680"/>
    <n v="5010"/>
    <n v="3644"/>
    <n v="3549"/>
    <n v="2428"/>
    <n v="2043"/>
    <n v="1060"/>
    <n v="719"/>
    <n v="390"/>
    <n v="13791"/>
    <n v="14098"/>
    <n v="14006"/>
    <n v="12468"/>
    <n v="9474"/>
    <n v="8216"/>
    <n v="7398"/>
    <n v="7293"/>
    <n v="5928"/>
    <n v="5453"/>
    <n v="3970"/>
    <n v="3554"/>
    <n v="3053"/>
    <n v="2568"/>
    <n v="1129"/>
    <n v="813"/>
    <n v="358"/>
    <n v="28357"/>
    <n v="29215"/>
    <n v="28950"/>
    <n v="26247"/>
    <n v="20430"/>
    <n v="16443"/>
    <n v="14030"/>
    <n v="13455"/>
    <n v="11608"/>
    <n v="10463"/>
    <n v="7614"/>
    <n v="7103"/>
    <n v="5481"/>
    <n v="4611"/>
    <n v="2189"/>
    <n v="1532"/>
    <n v="748"/>
  </r>
  <r>
    <s v="NGA"/>
    <x v="0"/>
    <m/>
    <x v="2"/>
    <m/>
    <s v="OKOBO"/>
    <m/>
    <n v="67419"/>
    <n v="65120"/>
    <n v="132539"/>
    <n v="8383"/>
    <n v="8898"/>
    <n v="8834"/>
    <n v="8200"/>
    <n v="6045"/>
    <n v="5038"/>
    <n v="4053"/>
    <n v="3737"/>
    <n v="3416"/>
    <n v="2815"/>
    <n v="2445"/>
    <n v="1760"/>
    <n v="1567"/>
    <n v="1148"/>
    <n v="640"/>
    <n v="306"/>
    <n v="134"/>
    <n v="7931"/>
    <n v="8218"/>
    <n v="8266"/>
    <n v="7410"/>
    <n v="5564"/>
    <n v="4597"/>
    <n v="4243"/>
    <n v="4287"/>
    <n v="3370"/>
    <n v="3249"/>
    <n v="2504"/>
    <n v="1852"/>
    <n v="1498"/>
    <n v="1106"/>
    <n v="599"/>
    <n v="312"/>
    <n v="114"/>
    <n v="16314"/>
    <n v="17116"/>
    <n v="17100"/>
    <n v="15610"/>
    <n v="11609"/>
    <n v="9635"/>
    <n v="8296"/>
    <n v="8024"/>
    <n v="6786"/>
    <n v="6064"/>
    <n v="4949"/>
    <n v="3612"/>
    <n v="3065"/>
    <n v="2254"/>
    <n v="1239"/>
    <n v="618"/>
    <n v="248"/>
  </r>
  <r>
    <s v="NGA"/>
    <x v="0"/>
    <m/>
    <x v="2"/>
    <m/>
    <s v="ONNA"/>
    <m/>
    <n v="58071"/>
    <n v="59029"/>
    <n v="117100"/>
    <n v="7126"/>
    <n v="7635"/>
    <n v="7948"/>
    <n v="7324"/>
    <n v="5503"/>
    <n v="3858"/>
    <n v="3178"/>
    <n v="3657"/>
    <n v="2777"/>
    <n v="2273"/>
    <n v="1675"/>
    <n v="1966"/>
    <n v="1012"/>
    <n v="944"/>
    <n v="501"/>
    <n v="462"/>
    <n v="232"/>
    <n v="6780"/>
    <n v="7018"/>
    <n v="7472"/>
    <n v="6673"/>
    <n v="5385"/>
    <n v="4629"/>
    <n v="3812"/>
    <n v="3794"/>
    <n v="2800"/>
    <n v="2522"/>
    <n v="1603"/>
    <n v="3246"/>
    <n v="1492"/>
    <n v="772"/>
    <n v="507"/>
    <n v="389"/>
    <n v="135"/>
    <n v="13906"/>
    <n v="14653"/>
    <n v="15420"/>
    <n v="13997"/>
    <n v="10888"/>
    <n v="8487"/>
    <n v="6990"/>
    <n v="7451"/>
    <n v="5577"/>
    <n v="4795"/>
    <n v="3278"/>
    <n v="5212"/>
    <n v="2504"/>
    <n v="1716"/>
    <n v="1008"/>
    <n v="851"/>
    <n v="367"/>
  </r>
  <r>
    <s v="NGA"/>
    <x v="0"/>
    <m/>
    <x v="2"/>
    <m/>
    <s v="ORON"/>
    <m/>
    <n v="66574"/>
    <n v="63601"/>
    <n v="130175"/>
    <n v="8092"/>
    <n v="8508"/>
    <n v="8631"/>
    <n v="8213"/>
    <n v="6991"/>
    <n v="5021"/>
    <n v="3989"/>
    <n v="3620"/>
    <n v="3289"/>
    <n v="2869"/>
    <n v="2101"/>
    <n v="1720"/>
    <n v="1298"/>
    <n v="1180"/>
    <n v="565"/>
    <n v="341"/>
    <n v="146"/>
    <n v="7815"/>
    <n v="8001"/>
    <n v="8290"/>
    <n v="7474"/>
    <n v="5731"/>
    <n v="4781"/>
    <n v="4116"/>
    <n v="4081"/>
    <n v="3202"/>
    <n v="2881"/>
    <n v="2065"/>
    <n v="1861"/>
    <n v="1289"/>
    <n v="980"/>
    <n v="545"/>
    <n v="292"/>
    <n v="197"/>
    <n v="15907"/>
    <n v="16509"/>
    <n v="16921"/>
    <n v="15687"/>
    <n v="12722"/>
    <n v="9802"/>
    <n v="8105"/>
    <n v="7701"/>
    <n v="6491"/>
    <n v="5750"/>
    <n v="4166"/>
    <n v="3581"/>
    <n v="2587"/>
    <n v="2160"/>
    <n v="1110"/>
    <n v="633"/>
    <n v="343"/>
  </r>
  <r>
    <s v="NGA"/>
    <x v="0"/>
    <m/>
    <x v="2"/>
    <m/>
    <s v="ORUK ANAM"/>
    <m/>
    <n v="102353"/>
    <n v="100783"/>
    <n v="203136"/>
    <n v="12565"/>
    <n v="13303"/>
    <n v="13359"/>
    <n v="12497"/>
    <n v="9788"/>
    <n v="7367"/>
    <n v="6005"/>
    <n v="5479"/>
    <n v="5056"/>
    <n v="4476"/>
    <n v="3615"/>
    <n v="2719"/>
    <n v="2433"/>
    <n v="1844"/>
    <n v="1032"/>
    <n v="582"/>
    <n v="233"/>
    <n v="11841"/>
    <n v="12408"/>
    <n v="12528"/>
    <n v="11315"/>
    <n v="8512"/>
    <n v="7304"/>
    <n v="6587"/>
    <n v="6696"/>
    <n v="5352"/>
    <n v="4897"/>
    <n v="3598"/>
    <n v="3098"/>
    <n v="2801"/>
    <n v="1955"/>
    <n v="1072"/>
    <n v="556"/>
    <n v="263"/>
    <n v="24406"/>
    <n v="25711"/>
    <n v="25887"/>
    <n v="23812"/>
    <n v="18300"/>
    <n v="14671"/>
    <n v="12592"/>
    <n v="12175"/>
    <n v="10408"/>
    <n v="9373"/>
    <n v="7213"/>
    <n v="5817"/>
    <n v="5234"/>
    <n v="3799"/>
    <n v="2104"/>
    <n v="1138"/>
    <n v="496"/>
  </r>
  <r>
    <s v="NGA"/>
    <x v="0"/>
    <m/>
    <x v="2"/>
    <m/>
    <s v="UDUNG UKO"/>
    <m/>
    <n v="41211"/>
    <n v="37990"/>
    <n v="79201"/>
    <n v="4676"/>
    <n v="5190"/>
    <n v="5321"/>
    <n v="4821"/>
    <n v="4149"/>
    <n v="3140"/>
    <n v="2591"/>
    <n v="2330"/>
    <n v="2158"/>
    <n v="1898"/>
    <n v="1521"/>
    <n v="1148"/>
    <n v="943"/>
    <n v="729"/>
    <n v="358"/>
    <n v="170"/>
    <n v="68"/>
    <n v="4503"/>
    <n v="4827"/>
    <n v="4817"/>
    <n v="4435"/>
    <n v="3269"/>
    <n v="2822"/>
    <n v="2561"/>
    <n v="2601"/>
    <n v="2140"/>
    <n v="1852"/>
    <n v="1223"/>
    <n v="1271"/>
    <n v="677"/>
    <n v="526"/>
    <n v="196"/>
    <n v="202"/>
    <n v="68"/>
    <n v="9179"/>
    <n v="10017"/>
    <n v="10138"/>
    <n v="9256"/>
    <n v="7418"/>
    <n v="5962"/>
    <n v="5152"/>
    <n v="4931"/>
    <n v="4298"/>
    <n v="3750"/>
    <n v="2744"/>
    <n v="2419"/>
    <n v="1620"/>
    <n v="1255"/>
    <n v="554"/>
    <n v="372"/>
    <n v="136"/>
  </r>
  <r>
    <s v="NGA"/>
    <x v="0"/>
    <m/>
    <x v="2"/>
    <m/>
    <s v="UKANAFUN"/>
    <m/>
    <n v="80158"/>
    <n v="79510"/>
    <n v="159668"/>
    <n v="10058"/>
    <n v="10498"/>
    <n v="10415"/>
    <n v="9618"/>
    <n v="7737"/>
    <n v="5775"/>
    <n v="4659"/>
    <n v="4300"/>
    <n v="3983"/>
    <n v="3510"/>
    <n v="2898"/>
    <n v="1990"/>
    <n v="1988"/>
    <n v="1508"/>
    <n v="658"/>
    <n v="343"/>
    <n v="220"/>
    <n v="9559"/>
    <n v="9760"/>
    <n v="10000"/>
    <n v="8879"/>
    <n v="6706"/>
    <n v="5756"/>
    <n v="5176"/>
    <n v="5112"/>
    <n v="4169"/>
    <n v="3820"/>
    <n v="2619"/>
    <n v="2675"/>
    <n v="2194"/>
    <n v="1582"/>
    <n v="773"/>
    <n v="541"/>
    <n v="189"/>
    <n v="19617"/>
    <n v="20258"/>
    <n v="20415"/>
    <n v="18497"/>
    <n v="14443"/>
    <n v="11531"/>
    <n v="9835"/>
    <n v="9412"/>
    <n v="8152"/>
    <n v="7330"/>
    <n v="5517"/>
    <n v="4665"/>
    <n v="4182"/>
    <n v="3090"/>
    <n v="1431"/>
    <n v="884"/>
    <n v="409"/>
  </r>
  <r>
    <s v="NGA"/>
    <x v="0"/>
    <m/>
    <x v="2"/>
    <m/>
    <s v="URUAN"/>
    <m/>
    <n v="75481"/>
    <n v="74266"/>
    <n v="149747"/>
    <n v="9614"/>
    <n v="9988"/>
    <n v="9859"/>
    <n v="9103"/>
    <n v="7148"/>
    <n v="5407"/>
    <n v="4355"/>
    <n v="4017"/>
    <n v="3725"/>
    <n v="3275"/>
    <n v="2612"/>
    <n v="1972"/>
    <n v="1714"/>
    <n v="1343"/>
    <n v="828"/>
    <n v="330"/>
    <n v="191"/>
    <n v="9094"/>
    <n v="9393"/>
    <n v="9277"/>
    <n v="8238"/>
    <n v="6256"/>
    <n v="5386"/>
    <n v="4854"/>
    <n v="4873"/>
    <n v="3877"/>
    <n v="3557"/>
    <n v="2578"/>
    <n v="2243"/>
    <n v="1680"/>
    <n v="1646"/>
    <n v="703"/>
    <n v="380"/>
    <n v="231"/>
    <n v="18708"/>
    <n v="19381"/>
    <n v="19136"/>
    <n v="17341"/>
    <n v="13404"/>
    <n v="10793"/>
    <n v="9209"/>
    <n v="8890"/>
    <n v="7602"/>
    <n v="6832"/>
    <n v="5190"/>
    <n v="4215"/>
    <n v="3394"/>
    <n v="2989"/>
    <n v="1531"/>
    <n v="710"/>
    <n v="422"/>
  </r>
  <r>
    <s v="NGA"/>
    <x v="0"/>
    <m/>
    <x v="2"/>
    <m/>
    <s v="URUE OFFONG/ORUKO"/>
    <m/>
    <n v="72600"/>
    <n v="69120"/>
    <n v="141720"/>
    <n v="8823"/>
    <n v="9433"/>
    <n v="9192"/>
    <n v="8822"/>
    <n v="7224"/>
    <n v="5449"/>
    <n v="4407"/>
    <n v="3999"/>
    <n v="3794"/>
    <n v="3093"/>
    <n v="2369"/>
    <n v="2050"/>
    <n v="1639"/>
    <n v="1261"/>
    <n v="604"/>
    <n v="276"/>
    <n v="165"/>
    <n v="8307"/>
    <n v="8868"/>
    <n v="8780"/>
    <n v="7965"/>
    <n v="6162"/>
    <n v="5242"/>
    <n v="4622"/>
    <n v="4600"/>
    <n v="3693"/>
    <n v="3023"/>
    <n v="2726"/>
    <n v="1517"/>
    <n v="1579"/>
    <n v="1373"/>
    <n v="502"/>
    <n v="94"/>
    <n v="67"/>
    <n v="17130"/>
    <n v="18301"/>
    <n v="17972"/>
    <n v="16787"/>
    <n v="13386"/>
    <n v="10691"/>
    <n v="9029"/>
    <n v="8599"/>
    <n v="7487"/>
    <n v="6116"/>
    <n v="5095"/>
    <n v="3567"/>
    <n v="3218"/>
    <n v="2634"/>
    <n v="1106"/>
    <n v="370"/>
    <n v="232"/>
  </r>
  <r>
    <s v="NGA"/>
    <x v="0"/>
    <m/>
    <x v="2"/>
    <m/>
    <s v="UYO"/>
    <m/>
    <n v="209255"/>
    <n v="198756"/>
    <n v="408011"/>
    <n v="22190"/>
    <n v="22274"/>
    <n v="24053"/>
    <n v="25562"/>
    <n v="25312"/>
    <n v="19972"/>
    <n v="15334"/>
    <n v="13379"/>
    <n v="11135"/>
    <n v="9645"/>
    <n v="6419"/>
    <n v="5245"/>
    <n v="3463"/>
    <n v="2647"/>
    <n v="1388"/>
    <n v="852"/>
    <n v="385"/>
    <n v="21441"/>
    <n v="21714"/>
    <n v="25318"/>
    <n v="26907"/>
    <n v="22579"/>
    <n v="17269"/>
    <n v="13754"/>
    <n v="12442"/>
    <n v="9749"/>
    <n v="8327"/>
    <n v="5826"/>
    <n v="4746"/>
    <n v="3342"/>
    <n v="2566"/>
    <n v="1401"/>
    <n v="894"/>
    <n v="481"/>
    <n v="43631"/>
    <n v="43988"/>
    <n v="49371"/>
    <n v="52469"/>
    <n v="47891"/>
    <n v="37241"/>
    <n v="29088"/>
    <n v="25821"/>
    <n v="20884"/>
    <n v="17972"/>
    <n v="12245"/>
    <n v="9991"/>
    <n v="6805"/>
    <n v="5213"/>
    <n v="2789"/>
    <n v="1746"/>
    <n v="866"/>
  </r>
  <r>
    <s v="NGA"/>
    <x v="0"/>
    <m/>
    <x v="3"/>
    <m/>
    <s v="AGUATA"/>
    <m/>
    <n v="209696"/>
    <n v="206268"/>
    <n v="415964"/>
    <n v="22953"/>
    <n v="25069"/>
    <n v="26978"/>
    <n v="26203"/>
    <n v="20812"/>
    <n v="15376"/>
    <n v="12693"/>
    <n v="11318"/>
    <n v="10737"/>
    <n v="9480"/>
    <n v="7503"/>
    <n v="6686"/>
    <n v="4834"/>
    <n v="4058"/>
    <n v="2405"/>
    <n v="1738"/>
    <n v="853"/>
    <n v="21616"/>
    <n v="23547"/>
    <n v="26355"/>
    <n v="24712"/>
    <n v="18348"/>
    <n v="15668"/>
    <n v="13770"/>
    <n v="13324"/>
    <n v="10699"/>
    <n v="10118"/>
    <n v="7160"/>
    <n v="6962"/>
    <n v="4190"/>
    <n v="4679"/>
    <n v="2331"/>
    <n v="1870"/>
    <n v="919"/>
    <n v="44569"/>
    <n v="48616"/>
    <n v="53333"/>
    <n v="50915"/>
    <n v="39160"/>
    <n v="31044"/>
    <n v="26463"/>
    <n v="24642"/>
    <n v="21436"/>
    <n v="19598"/>
    <n v="14663"/>
    <n v="13648"/>
    <n v="9024"/>
    <n v="8737"/>
    <n v="4736"/>
    <n v="3608"/>
    <n v="1772"/>
  </r>
  <r>
    <s v="NGA"/>
    <x v="0"/>
    <m/>
    <x v="3"/>
    <m/>
    <s v="ANAMBRA EAST"/>
    <m/>
    <n v="157796"/>
    <n v="152724"/>
    <n v="310520"/>
    <n v="17588"/>
    <n v="19587"/>
    <n v="20203"/>
    <n v="19453"/>
    <n v="16185"/>
    <n v="11893"/>
    <n v="9521"/>
    <n v="8071"/>
    <n v="7995"/>
    <n v="6468"/>
    <n v="5412"/>
    <n v="4556"/>
    <n v="3789"/>
    <n v="3109"/>
    <n v="2148"/>
    <n v="1248"/>
    <n v="570"/>
    <n v="16655"/>
    <n v="18036"/>
    <n v="19197"/>
    <n v="18063"/>
    <n v="14635"/>
    <n v="11466"/>
    <n v="9950"/>
    <n v="9293"/>
    <n v="7893"/>
    <n v="7079"/>
    <n v="5250"/>
    <n v="4975"/>
    <n v="3610"/>
    <n v="2925"/>
    <n v="1679"/>
    <n v="1396"/>
    <n v="622"/>
    <n v="34243"/>
    <n v="37623"/>
    <n v="39400"/>
    <n v="37516"/>
    <n v="30820"/>
    <n v="23359"/>
    <n v="19471"/>
    <n v="17364"/>
    <n v="15888"/>
    <n v="13547"/>
    <n v="10662"/>
    <n v="9531"/>
    <n v="7399"/>
    <n v="6034"/>
    <n v="3827"/>
    <n v="2644"/>
    <n v="1192"/>
  </r>
  <r>
    <s v="NGA"/>
    <x v="0"/>
    <m/>
    <x v="3"/>
    <m/>
    <s v="ANAMBRA WEST"/>
    <m/>
    <n v="78665"/>
    <n v="75181"/>
    <n v="153846"/>
    <n v="9499"/>
    <n v="10630"/>
    <n v="10690"/>
    <n v="9737"/>
    <n v="7271"/>
    <n v="5591"/>
    <n v="4631"/>
    <n v="4067"/>
    <n v="3885"/>
    <n v="3304"/>
    <n v="2655"/>
    <n v="2093"/>
    <n v="1753"/>
    <n v="1220"/>
    <n v="839"/>
    <n v="512"/>
    <n v="288"/>
    <n v="8947"/>
    <n v="9777"/>
    <n v="9765"/>
    <n v="8498"/>
    <n v="6324"/>
    <n v="5402"/>
    <n v="5049"/>
    <n v="4816"/>
    <n v="3971"/>
    <n v="3463"/>
    <n v="2526"/>
    <n v="2142"/>
    <n v="1710"/>
    <n v="1275"/>
    <n v="758"/>
    <n v="515"/>
    <n v="243"/>
    <n v="18446"/>
    <n v="20407"/>
    <n v="20455"/>
    <n v="18235"/>
    <n v="13595"/>
    <n v="10993"/>
    <n v="9680"/>
    <n v="8883"/>
    <n v="7856"/>
    <n v="6767"/>
    <n v="5181"/>
    <n v="4235"/>
    <n v="3463"/>
    <n v="2495"/>
    <n v="1597"/>
    <n v="1027"/>
    <n v="531"/>
  </r>
  <r>
    <s v="NGA"/>
    <x v="0"/>
    <m/>
    <x v="3"/>
    <m/>
    <s v="ANAOCHA"/>
    <m/>
    <n v="176003"/>
    <n v="174998"/>
    <n v="351001"/>
    <n v="19862"/>
    <n v="21684"/>
    <n v="23313"/>
    <n v="22043"/>
    <n v="16611"/>
    <n v="12521"/>
    <n v="10311"/>
    <n v="9516"/>
    <n v="8935"/>
    <n v="7955"/>
    <n v="6362"/>
    <n v="5412"/>
    <n v="3802"/>
    <n v="3553"/>
    <n v="1935"/>
    <n v="1488"/>
    <n v="700"/>
    <n v="18816"/>
    <n v="20316"/>
    <n v="22110"/>
    <n v="21606"/>
    <n v="15377"/>
    <n v="12990"/>
    <n v="11589"/>
    <n v="11447"/>
    <n v="9190"/>
    <n v="8352"/>
    <n v="5994"/>
    <n v="5848"/>
    <n v="3327"/>
    <n v="3368"/>
    <n v="2050"/>
    <n v="1765"/>
    <n v="853"/>
    <n v="38678"/>
    <n v="42000"/>
    <n v="45423"/>
    <n v="43649"/>
    <n v="31988"/>
    <n v="25511"/>
    <n v="21900"/>
    <n v="20963"/>
    <n v="18125"/>
    <n v="16307"/>
    <n v="12356"/>
    <n v="11260"/>
    <n v="7129"/>
    <n v="6921"/>
    <n v="3985"/>
    <n v="3253"/>
    <n v="1553"/>
  </r>
  <r>
    <s v="NGA"/>
    <x v="0"/>
    <m/>
    <x v="3"/>
    <m/>
    <s v="AWKA NORTH"/>
    <m/>
    <n v="91560"/>
    <n v="88975"/>
    <n v="180535"/>
    <n v="10633"/>
    <n v="11666"/>
    <n v="11870"/>
    <n v="11600"/>
    <n v="8906"/>
    <n v="6801"/>
    <n v="5485"/>
    <n v="4921"/>
    <n v="4577"/>
    <n v="3957"/>
    <n v="3167"/>
    <n v="2561"/>
    <n v="1860"/>
    <n v="1622"/>
    <n v="954"/>
    <n v="585"/>
    <n v="395"/>
    <n v="10122"/>
    <n v="10826"/>
    <n v="11197"/>
    <n v="10000"/>
    <n v="7648"/>
    <n v="6585"/>
    <n v="5817"/>
    <n v="5886"/>
    <n v="4729"/>
    <n v="4152"/>
    <n v="2819"/>
    <n v="3164"/>
    <n v="2019"/>
    <n v="1994"/>
    <n v="1087"/>
    <n v="594"/>
    <n v="336"/>
    <n v="20755"/>
    <n v="22492"/>
    <n v="23067"/>
    <n v="21600"/>
    <n v="16554"/>
    <n v="13386"/>
    <n v="11302"/>
    <n v="10807"/>
    <n v="9306"/>
    <n v="8109"/>
    <n v="5986"/>
    <n v="5725"/>
    <n v="3879"/>
    <n v="3616"/>
    <n v="2041"/>
    <n v="1179"/>
    <n v="731"/>
  </r>
  <r>
    <s v="NGA"/>
    <x v="0"/>
    <m/>
    <x v="3"/>
    <m/>
    <s v="AWKA SOUTH"/>
    <m/>
    <n v="122786"/>
    <n v="117155"/>
    <n v="239941"/>
    <n v="12519"/>
    <n v="12471"/>
    <n v="15026"/>
    <n v="15841"/>
    <n v="16236"/>
    <n v="11080"/>
    <n v="7598"/>
    <n v="6180"/>
    <n v="5860"/>
    <n v="5377"/>
    <n v="3963"/>
    <n v="3809"/>
    <n v="2183"/>
    <n v="2088"/>
    <n v="1199"/>
    <n v="969"/>
    <n v="387"/>
    <n v="12016"/>
    <n v="12013"/>
    <n v="14419"/>
    <n v="14771"/>
    <n v="13517"/>
    <n v="9403"/>
    <n v="7457"/>
    <n v="6880"/>
    <n v="5599"/>
    <n v="5192"/>
    <n v="3751"/>
    <n v="4099"/>
    <n v="2427"/>
    <n v="2360"/>
    <n v="1396"/>
    <n v="1281"/>
    <n v="574"/>
    <n v="24535"/>
    <n v="24484"/>
    <n v="29445"/>
    <n v="30612"/>
    <n v="29753"/>
    <n v="20483"/>
    <n v="15055"/>
    <n v="13060"/>
    <n v="11459"/>
    <n v="10569"/>
    <n v="7714"/>
    <n v="7908"/>
    <n v="4610"/>
    <n v="4448"/>
    <n v="2595"/>
    <n v="2250"/>
    <n v="961"/>
  </r>
  <r>
    <s v="NGA"/>
    <x v="0"/>
    <m/>
    <x v="3"/>
    <m/>
    <s v="AYAMELUM"/>
    <m/>
    <n v="165066"/>
    <n v="157706"/>
    <n v="322772"/>
    <n v="19848"/>
    <n v="21587"/>
    <n v="22064"/>
    <n v="20663"/>
    <n v="16014"/>
    <n v="11839"/>
    <n v="9637"/>
    <n v="8731"/>
    <n v="8198"/>
    <n v="6947"/>
    <n v="5819"/>
    <n v="4321"/>
    <n v="3958"/>
    <n v="2277"/>
    <n v="1663"/>
    <n v="845"/>
    <n v="655"/>
    <n v="18547"/>
    <n v="19901"/>
    <n v="20005"/>
    <n v="18051"/>
    <n v="13440"/>
    <n v="11734"/>
    <n v="10424"/>
    <n v="10223"/>
    <n v="8250"/>
    <n v="7427"/>
    <n v="6010"/>
    <n v="3945"/>
    <n v="3264"/>
    <n v="2507"/>
    <n v="1929"/>
    <n v="1326"/>
    <n v="723"/>
    <n v="38395"/>
    <n v="41488"/>
    <n v="42069"/>
    <n v="38714"/>
    <n v="29454"/>
    <n v="23573"/>
    <n v="20061"/>
    <n v="18954"/>
    <n v="16448"/>
    <n v="14374"/>
    <n v="11829"/>
    <n v="8266"/>
    <n v="7222"/>
    <n v="4784"/>
    <n v="3592"/>
    <n v="2171"/>
    <n v="1378"/>
  </r>
  <r>
    <s v="NGA"/>
    <x v="0"/>
    <m/>
    <x v="3"/>
    <m/>
    <s v="DUNUKOFIA"/>
    <m/>
    <n v="82975"/>
    <n v="79740"/>
    <n v="162715"/>
    <n v="10313"/>
    <n v="10142"/>
    <n v="10349"/>
    <n v="9872"/>
    <n v="7742"/>
    <n v="6458"/>
    <n v="5117"/>
    <n v="4442"/>
    <n v="4193"/>
    <n v="3783"/>
    <n v="2931"/>
    <n v="2431"/>
    <n v="1656"/>
    <n v="1529"/>
    <n v="907"/>
    <n v="726"/>
    <n v="384"/>
    <n v="9698"/>
    <n v="9423"/>
    <n v="9829"/>
    <n v="8933"/>
    <n v="7001"/>
    <n v="5959"/>
    <n v="5220"/>
    <n v="5235"/>
    <n v="4003"/>
    <n v="3641"/>
    <n v="2515"/>
    <n v="2880"/>
    <n v="1598"/>
    <n v="1656"/>
    <n v="845"/>
    <n v="939"/>
    <n v="365"/>
    <n v="20011"/>
    <n v="19565"/>
    <n v="20178"/>
    <n v="18805"/>
    <n v="14743"/>
    <n v="12417"/>
    <n v="10337"/>
    <n v="9677"/>
    <n v="8196"/>
    <n v="7424"/>
    <n v="5446"/>
    <n v="5311"/>
    <n v="3254"/>
    <n v="3185"/>
    <n v="1752"/>
    <n v="1665"/>
    <n v="749"/>
  </r>
  <r>
    <s v="NGA"/>
    <x v="0"/>
    <m/>
    <x v="3"/>
    <m/>
    <s v="EKWUSIGO"/>
    <m/>
    <n v="108131"/>
    <n v="106651"/>
    <n v="214782"/>
    <n v="12073"/>
    <n v="12917"/>
    <n v="14663"/>
    <n v="13616"/>
    <n v="10271"/>
    <n v="7624"/>
    <n v="6398"/>
    <n v="6014"/>
    <n v="5668"/>
    <n v="5057"/>
    <n v="3912"/>
    <n v="3280"/>
    <n v="2205"/>
    <n v="2024"/>
    <n v="1169"/>
    <n v="797"/>
    <n v="443"/>
    <n v="11207"/>
    <n v="12264"/>
    <n v="14601"/>
    <n v="12951"/>
    <n v="9210"/>
    <n v="8144"/>
    <n v="7247"/>
    <n v="6948"/>
    <n v="5361"/>
    <n v="4905"/>
    <n v="3264"/>
    <n v="3895"/>
    <n v="2231"/>
    <n v="2029"/>
    <n v="1036"/>
    <n v="885"/>
    <n v="473"/>
    <n v="23280"/>
    <n v="25181"/>
    <n v="29264"/>
    <n v="26567"/>
    <n v="19481"/>
    <n v="15768"/>
    <n v="13645"/>
    <n v="12962"/>
    <n v="11029"/>
    <n v="9962"/>
    <n v="7176"/>
    <n v="7175"/>
    <n v="4436"/>
    <n v="4053"/>
    <n v="2205"/>
    <n v="1682"/>
    <n v="916"/>
  </r>
  <r>
    <s v="NGA"/>
    <x v="0"/>
    <m/>
    <x v="3"/>
    <m/>
    <s v="IDEMILI NORTH"/>
    <m/>
    <n v="288543"/>
    <n v="278302"/>
    <n v="566845"/>
    <n v="32272"/>
    <n v="33691"/>
    <n v="36384"/>
    <n v="34637"/>
    <n v="29205"/>
    <n v="23150"/>
    <n v="19421"/>
    <n v="16904"/>
    <n v="15247"/>
    <n v="13228"/>
    <n v="9832"/>
    <n v="8527"/>
    <n v="5598"/>
    <n v="4974"/>
    <n v="2694"/>
    <n v="1921"/>
    <n v="858"/>
    <n v="31214"/>
    <n v="32464"/>
    <n v="36775"/>
    <n v="33329"/>
    <n v="26371"/>
    <n v="22139"/>
    <n v="18731"/>
    <n v="17816"/>
    <n v="14032"/>
    <n v="12541"/>
    <n v="8412"/>
    <n v="8493"/>
    <n v="4675"/>
    <n v="4928"/>
    <n v="2964"/>
    <n v="2333"/>
    <n v="1085"/>
    <n v="63486"/>
    <n v="66155"/>
    <n v="73159"/>
    <n v="67966"/>
    <n v="55576"/>
    <n v="45289"/>
    <n v="38152"/>
    <n v="34720"/>
    <n v="29279"/>
    <n v="25769"/>
    <n v="18244"/>
    <n v="17020"/>
    <n v="10273"/>
    <n v="9902"/>
    <n v="5658"/>
    <n v="4254"/>
    <n v="1943"/>
  </r>
  <r>
    <s v="NGA"/>
    <x v="0"/>
    <m/>
    <x v="3"/>
    <m/>
    <s v="IDEMILI SOUTH"/>
    <m/>
    <n v="138622"/>
    <n v="133377"/>
    <n v="271999"/>
    <n v="14910"/>
    <n v="16214"/>
    <n v="18067"/>
    <n v="17599"/>
    <n v="13787"/>
    <n v="10436"/>
    <n v="8574"/>
    <n v="7612"/>
    <n v="6871"/>
    <n v="6117"/>
    <n v="4801"/>
    <n v="4524"/>
    <n v="2879"/>
    <n v="2736"/>
    <n v="1603"/>
    <n v="1329"/>
    <n v="563"/>
    <n v="14140"/>
    <n v="15023"/>
    <n v="16773"/>
    <n v="15733"/>
    <n v="11793"/>
    <n v="10262"/>
    <n v="8826"/>
    <n v="8654"/>
    <n v="6781"/>
    <n v="6529"/>
    <n v="4544"/>
    <n v="4935"/>
    <n v="2808"/>
    <n v="3049"/>
    <n v="1464"/>
    <n v="1428"/>
    <n v="635"/>
    <n v="29050"/>
    <n v="31237"/>
    <n v="34840"/>
    <n v="33332"/>
    <n v="25580"/>
    <n v="20698"/>
    <n v="17400"/>
    <n v="16266"/>
    <n v="13652"/>
    <n v="12646"/>
    <n v="9345"/>
    <n v="9459"/>
    <n v="5687"/>
    <n v="5785"/>
    <n v="3067"/>
    <n v="2757"/>
    <n v="1198"/>
  </r>
  <r>
    <s v="NGA"/>
    <x v="0"/>
    <m/>
    <x v="3"/>
    <m/>
    <s v="IHIALA"/>
    <m/>
    <n v="212431"/>
    <n v="210943"/>
    <n v="423374"/>
    <n v="23439"/>
    <n v="24634"/>
    <n v="27793"/>
    <n v="27826"/>
    <n v="21871"/>
    <n v="15505"/>
    <n v="12536"/>
    <n v="11111"/>
    <n v="10532"/>
    <n v="9513"/>
    <n v="7649"/>
    <n v="6412"/>
    <n v="4634"/>
    <n v="3782"/>
    <n v="2391"/>
    <n v="1902"/>
    <n v="901"/>
    <n v="22202"/>
    <n v="23238"/>
    <n v="26151"/>
    <n v="28248"/>
    <n v="20603"/>
    <n v="15497"/>
    <n v="13135"/>
    <n v="12788"/>
    <n v="10292"/>
    <n v="9930"/>
    <n v="7395"/>
    <n v="6990"/>
    <n v="4659"/>
    <n v="4290"/>
    <n v="2549"/>
    <n v="2007"/>
    <n v="969"/>
    <n v="45641"/>
    <n v="47872"/>
    <n v="53944"/>
    <n v="56074"/>
    <n v="42474"/>
    <n v="31002"/>
    <n v="25671"/>
    <n v="23899"/>
    <n v="20824"/>
    <n v="19443"/>
    <n v="15044"/>
    <n v="13402"/>
    <n v="9293"/>
    <n v="8072"/>
    <n v="4940"/>
    <n v="3909"/>
    <n v="1870"/>
  </r>
  <r>
    <s v="NGA"/>
    <x v="0"/>
    <m/>
    <x v="3"/>
    <m/>
    <s v="NJIKOKA"/>
    <m/>
    <n v="123978"/>
    <n v="126193"/>
    <n v="250171"/>
    <n v="14382"/>
    <n v="14925"/>
    <n v="15929"/>
    <n v="14994"/>
    <n v="11887"/>
    <n v="9071"/>
    <n v="7338"/>
    <n v="6665"/>
    <n v="6431"/>
    <n v="5658"/>
    <n v="4239"/>
    <n v="3995"/>
    <n v="2547"/>
    <n v="2571"/>
    <n v="1511"/>
    <n v="1321"/>
    <n v="514"/>
    <n v="13967"/>
    <n v="14365"/>
    <n v="15880"/>
    <n v="14756"/>
    <n v="11056"/>
    <n v="9320"/>
    <n v="8284"/>
    <n v="8041"/>
    <n v="6407"/>
    <n v="5932"/>
    <n v="4208"/>
    <n v="4648"/>
    <n v="2889"/>
    <n v="2753"/>
    <n v="1629"/>
    <n v="1364"/>
    <n v="694"/>
    <n v="28349"/>
    <n v="29290"/>
    <n v="31809"/>
    <n v="29750"/>
    <n v="22943"/>
    <n v="18391"/>
    <n v="15622"/>
    <n v="14706"/>
    <n v="12838"/>
    <n v="11590"/>
    <n v="8447"/>
    <n v="8643"/>
    <n v="5436"/>
    <n v="5324"/>
    <n v="3140"/>
    <n v="2685"/>
    <n v="1208"/>
  </r>
  <r>
    <s v="NGA"/>
    <x v="0"/>
    <m/>
    <x v="3"/>
    <m/>
    <s v="NNEWI NORTH"/>
    <m/>
    <n v="105182"/>
    <n v="105548"/>
    <n v="210730"/>
    <n v="12997"/>
    <n v="11502"/>
    <n v="12648"/>
    <n v="11778"/>
    <n v="10868"/>
    <n v="8794"/>
    <n v="7565"/>
    <n v="6544"/>
    <n v="5506"/>
    <n v="4936"/>
    <n v="3257"/>
    <n v="3003"/>
    <n v="1790"/>
    <n v="1886"/>
    <n v="981"/>
    <n v="776"/>
    <n v="351"/>
    <n v="13115"/>
    <n v="11729"/>
    <n v="13423"/>
    <n v="12010"/>
    <n v="10115"/>
    <n v="8846"/>
    <n v="6965"/>
    <n v="6386"/>
    <n v="4892"/>
    <n v="4185"/>
    <n v="3154"/>
    <n v="3362"/>
    <n v="2008"/>
    <n v="2246"/>
    <n v="1451"/>
    <n v="1144"/>
    <n v="517"/>
    <n v="26112"/>
    <n v="23231"/>
    <n v="26071"/>
    <n v="23788"/>
    <n v="20983"/>
    <n v="17640"/>
    <n v="14530"/>
    <n v="12930"/>
    <n v="10398"/>
    <n v="9121"/>
    <n v="6411"/>
    <n v="6365"/>
    <n v="3798"/>
    <n v="4132"/>
    <n v="2432"/>
    <n v="1920"/>
    <n v="868"/>
  </r>
  <r>
    <s v="NGA"/>
    <x v="0"/>
    <m/>
    <x v="3"/>
    <m/>
    <s v="NNEWI SOUTH"/>
    <m/>
    <n v="162626"/>
    <n v="159267"/>
    <n v="321893"/>
    <n v="16548"/>
    <n v="19132"/>
    <n v="22847"/>
    <n v="22052"/>
    <n v="15531"/>
    <n v="11224"/>
    <n v="9280"/>
    <n v="8439"/>
    <n v="8017"/>
    <n v="7401"/>
    <n v="5907"/>
    <n v="5456"/>
    <n v="3499"/>
    <n v="3639"/>
    <n v="1769"/>
    <n v="1150"/>
    <n v="735"/>
    <n v="15984"/>
    <n v="17821"/>
    <n v="21293"/>
    <n v="20064"/>
    <n v="13851"/>
    <n v="11119"/>
    <n v="10280"/>
    <n v="10232"/>
    <n v="8638"/>
    <n v="7958"/>
    <n v="5528"/>
    <n v="5674"/>
    <n v="3629"/>
    <n v="3225"/>
    <n v="1810"/>
    <n v="1491"/>
    <n v="670"/>
    <n v="32532"/>
    <n v="36953"/>
    <n v="44140"/>
    <n v="42116"/>
    <n v="29382"/>
    <n v="22343"/>
    <n v="19560"/>
    <n v="18671"/>
    <n v="16655"/>
    <n v="15359"/>
    <n v="11435"/>
    <n v="11130"/>
    <n v="7128"/>
    <n v="6864"/>
    <n v="3579"/>
    <n v="2641"/>
    <n v="1405"/>
  </r>
  <r>
    <s v="NGA"/>
    <x v="0"/>
    <m/>
    <x v="3"/>
    <m/>
    <s v="OGBARU"/>
    <m/>
    <n v="118072"/>
    <n v="108723"/>
    <n v="226795"/>
    <n v="11597"/>
    <n v="13119"/>
    <n v="15124"/>
    <n v="14993"/>
    <n v="12535"/>
    <n v="10873"/>
    <n v="8664"/>
    <n v="6909"/>
    <n v="5998"/>
    <n v="5400"/>
    <n v="4023"/>
    <n v="3198"/>
    <n v="2199"/>
    <n v="1721"/>
    <n v="844"/>
    <n v="570"/>
    <n v="305"/>
    <n v="11569"/>
    <n v="12635"/>
    <n v="14599"/>
    <n v="13884"/>
    <n v="11085"/>
    <n v="9628"/>
    <n v="7624"/>
    <n v="6739"/>
    <n v="5325"/>
    <n v="4715"/>
    <n v="2849"/>
    <n v="3093"/>
    <n v="1681"/>
    <n v="1539"/>
    <n v="848"/>
    <n v="573"/>
    <n v="337"/>
    <n v="23166"/>
    <n v="25754"/>
    <n v="29723"/>
    <n v="28877"/>
    <n v="23620"/>
    <n v="20501"/>
    <n v="16288"/>
    <n v="13648"/>
    <n v="11323"/>
    <n v="10115"/>
    <n v="6872"/>
    <n v="6291"/>
    <n v="3880"/>
    <n v="3260"/>
    <n v="1692"/>
    <n v="1143"/>
    <n v="642"/>
  </r>
  <r>
    <s v="NGA"/>
    <x v="0"/>
    <m/>
    <x v="3"/>
    <m/>
    <s v="ONITSHA NORTH"/>
    <m/>
    <n v="104471"/>
    <n v="108788"/>
    <n v="213259"/>
    <n v="12987"/>
    <n v="10455"/>
    <n v="11953"/>
    <n v="11660"/>
    <n v="11000"/>
    <n v="9028"/>
    <n v="7325"/>
    <n v="6408"/>
    <n v="5825"/>
    <n v="5313"/>
    <n v="4027"/>
    <n v="3048"/>
    <n v="1801"/>
    <n v="1855"/>
    <n v="777"/>
    <n v="756"/>
    <n v="253"/>
    <n v="13271"/>
    <n v="10507"/>
    <n v="15145"/>
    <n v="13118"/>
    <n v="10313"/>
    <n v="8924"/>
    <n v="7338"/>
    <n v="6639"/>
    <n v="5544"/>
    <n v="4861"/>
    <n v="3260"/>
    <n v="3253"/>
    <n v="1782"/>
    <n v="2220"/>
    <n v="1155"/>
    <n v="968"/>
    <n v="490"/>
    <n v="26258"/>
    <n v="20962"/>
    <n v="27098"/>
    <n v="24778"/>
    <n v="21313"/>
    <n v="17952"/>
    <n v="14663"/>
    <n v="13047"/>
    <n v="11369"/>
    <n v="10174"/>
    <n v="7287"/>
    <n v="6301"/>
    <n v="3583"/>
    <n v="4075"/>
    <n v="1932"/>
    <n v="1724"/>
    <n v="743"/>
  </r>
  <r>
    <s v="NGA"/>
    <x v="0"/>
    <m/>
    <x v="3"/>
    <m/>
    <s v="ONITSHA SOUTH"/>
    <m/>
    <n v="121828"/>
    <n v="110524"/>
    <n v="232352"/>
    <n v="10253"/>
    <n v="11756"/>
    <n v="13769"/>
    <n v="15680"/>
    <n v="13769"/>
    <n v="12579"/>
    <n v="9930"/>
    <n v="7918"/>
    <n v="6776"/>
    <n v="5902"/>
    <n v="4240"/>
    <n v="3738"/>
    <n v="2392"/>
    <n v="1725"/>
    <n v="768"/>
    <n v="413"/>
    <n v="220"/>
    <n v="10309"/>
    <n v="11791"/>
    <n v="14850"/>
    <n v="14818"/>
    <n v="11472"/>
    <n v="10605"/>
    <n v="8110"/>
    <n v="7576"/>
    <n v="5799"/>
    <n v="5309"/>
    <n v="3174"/>
    <n v="3197"/>
    <n v="1204"/>
    <n v="1118"/>
    <n v="535"/>
    <n v="440"/>
    <n v="217"/>
    <n v="20562"/>
    <n v="23547"/>
    <n v="28619"/>
    <n v="30498"/>
    <n v="25241"/>
    <n v="23184"/>
    <n v="18040"/>
    <n v="15494"/>
    <n v="12575"/>
    <n v="11211"/>
    <n v="7414"/>
    <n v="6935"/>
    <n v="3596"/>
    <n v="2843"/>
    <n v="1303"/>
    <n v="853"/>
    <n v="437"/>
  </r>
  <r>
    <s v="NGA"/>
    <x v="0"/>
    <m/>
    <x v="3"/>
    <m/>
    <s v="ORUMBA NORTH"/>
    <m/>
    <n v="100332"/>
    <n v="103814"/>
    <n v="204146"/>
    <n v="10993"/>
    <n v="11346"/>
    <n v="12425"/>
    <n v="12420"/>
    <n v="12206"/>
    <n v="8173"/>
    <n v="5812"/>
    <n v="5177"/>
    <n v="4808"/>
    <n v="4367"/>
    <n v="3458"/>
    <n v="2861"/>
    <n v="2063"/>
    <n v="1816"/>
    <n v="1184"/>
    <n v="815"/>
    <n v="408"/>
    <n v="10619"/>
    <n v="10743"/>
    <n v="12485"/>
    <n v="12721"/>
    <n v="12386"/>
    <n v="8159"/>
    <n v="6463"/>
    <n v="6248"/>
    <n v="5135"/>
    <n v="4674"/>
    <n v="3305"/>
    <n v="3491"/>
    <n v="2309"/>
    <n v="2228"/>
    <n v="1416"/>
    <n v="954"/>
    <n v="478"/>
    <n v="21612"/>
    <n v="22089"/>
    <n v="24910"/>
    <n v="25141"/>
    <n v="24592"/>
    <n v="16332"/>
    <n v="12275"/>
    <n v="11425"/>
    <n v="9943"/>
    <n v="9041"/>
    <n v="6763"/>
    <n v="6352"/>
    <n v="4372"/>
    <n v="4044"/>
    <n v="2600"/>
    <n v="1769"/>
    <n v="886"/>
  </r>
  <r>
    <s v="NGA"/>
    <x v="0"/>
    <m/>
    <x v="3"/>
    <m/>
    <s v="ORUMBA SOUTH"/>
    <m/>
    <n v="160928"/>
    <n v="158939"/>
    <n v="319867"/>
    <n v="18310"/>
    <n v="20642"/>
    <n v="22114"/>
    <n v="20784"/>
    <n v="15171"/>
    <n v="10881"/>
    <n v="9034"/>
    <n v="8351"/>
    <n v="8444"/>
    <n v="7171"/>
    <n v="6061"/>
    <n v="4495"/>
    <n v="3789"/>
    <n v="2285"/>
    <n v="1795"/>
    <n v="1082"/>
    <n v="519"/>
    <n v="17317"/>
    <n v="19287"/>
    <n v="21241"/>
    <n v="19504"/>
    <n v="13911"/>
    <n v="11527"/>
    <n v="10464"/>
    <n v="10244"/>
    <n v="8185"/>
    <n v="7439"/>
    <n v="5155"/>
    <n v="4806"/>
    <n v="3689"/>
    <n v="2996"/>
    <n v="1776"/>
    <n v="881"/>
    <n v="517"/>
    <n v="35627"/>
    <n v="39929"/>
    <n v="43355"/>
    <n v="40288"/>
    <n v="29082"/>
    <n v="22408"/>
    <n v="19498"/>
    <n v="18595"/>
    <n v="16629"/>
    <n v="14610"/>
    <n v="11216"/>
    <n v="9301"/>
    <n v="7478"/>
    <n v="5281"/>
    <n v="3571"/>
    <n v="1963"/>
    <n v="1036"/>
  </r>
  <r>
    <s v="NGA"/>
    <x v="0"/>
    <m/>
    <x v="3"/>
    <m/>
    <s v="OYI"/>
    <m/>
    <n v="174217"/>
    <n v="169060"/>
    <n v="343277"/>
    <n v="19020"/>
    <n v="19545"/>
    <n v="24467"/>
    <n v="22565"/>
    <n v="16709"/>
    <n v="13227"/>
    <n v="10833"/>
    <n v="9336"/>
    <n v="8685"/>
    <n v="7458"/>
    <n v="6183"/>
    <n v="5076"/>
    <n v="3800"/>
    <n v="3200"/>
    <n v="1903"/>
    <n v="1445"/>
    <n v="765"/>
    <n v="18139"/>
    <n v="18598"/>
    <n v="23640"/>
    <n v="21677"/>
    <n v="15007"/>
    <n v="12473"/>
    <n v="11045"/>
    <n v="10165"/>
    <n v="8410"/>
    <n v="7466"/>
    <n v="5605"/>
    <n v="5753"/>
    <n v="3426"/>
    <n v="3132"/>
    <n v="2251"/>
    <n v="1480"/>
    <n v="793"/>
    <n v="37159"/>
    <n v="38143"/>
    <n v="48107"/>
    <n v="44242"/>
    <n v="31716"/>
    <n v="25700"/>
    <n v="21878"/>
    <n v="19501"/>
    <n v="17095"/>
    <n v="14924"/>
    <n v="11788"/>
    <n v="10829"/>
    <n v="7226"/>
    <n v="6332"/>
    <n v="4154"/>
    <n v="2925"/>
    <n v="1558"/>
  </r>
  <r>
    <s v="NGA"/>
    <x v="0"/>
    <m/>
    <x v="4"/>
    <m/>
    <s v="ALKALERI"/>
    <m/>
    <n v="268244"/>
    <n v="257251"/>
    <n v="525495"/>
    <n v="52925"/>
    <n v="42793"/>
    <n v="34934"/>
    <n v="28340"/>
    <n v="20532"/>
    <n v="17553"/>
    <n v="16210"/>
    <n v="13330"/>
    <n v="11495"/>
    <n v="7959"/>
    <n v="7032"/>
    <n v="4400"/>
    <n v="3866"/>
    <n v="2585"/>
    <n v="2209"/>
    <n v="1239"/>
    <n v="842"/>
    <n v="49194"/>
    <n v="38893"/>
    <n v="32002"/>
    <n v="29757"/>
    <n v="23364"/>
    <n v="18861"/>
    <n v="15624"/>
    <n v="11741"/>
    <n v="10031"/>
    <n v="6885"/>
    <n v="6331"/>
    <n v="4164"/>
    <n v="3759"/>
    <n v="2416"/>
    <n v="2188"/>
    <n v="1195"/>
    <n v="846"/>
    <n v="102119"/>
    <n v="81686"/>
    <n v="66936"/>
    <n v="58097"/>
    <n v="43896"/>
    <n v="36414"/>
    <n v="31834"/>
    <n v="25071"/>
    <n v="21526"/>
    <n v="14844"/>
    <n v="13363"/>
    <n v="8564"/>
    <n v="7625"/>
    <n v="5001"/>
    <n v="4397"/>
    <n v="2434"/>
    <n v="1688"/>
  </r>
  <r>
    <s v="NGA"/>
    <x v="0"/>
    <m/>
    <x v="4"/>
    <m/>
    <s v="BAUCHI"/>
    <m/>
    <n v="306118"/>
    <n v="289239"/>
    <n v="595357"/>
    <n v="56721"/>
    <n v="44881"/>
    <n v="40015"/>
    <n v="33708"/>
    <n v="26704"/>
    <n v="22276"/>
    <n v="17766"/>
    <n v="15843"/>
    <n v="12614"/>
    <n v="10423"/>
    <n v="7243"/>
    <n v="6706"/>
    <n v="3833"/>
    <n v="3234"/>
    <n v="1910"/>
    <n v="1473"/>
    <n v="768"/>
    <n v="54315"/>
    <n v="43597"/>
    <n v="38459"/>
    <n v="32961"/>
    <n v="26045"/>
    <n v="20565"/>
    <n v="16640"/>
    <n v="13777"/>
    <n v="11464"/>
    <n v="8061"/>
    <n v="6577"/>
    <n v="5185"/>
    <n v="3841"/>
    <n v="2758"/>
    <n v="2394"/>
    <n v="1475"/>
    <n v="1125"/>
    <n v="111036"/>
    <n v="88478"/>
    <n v="78474"/>
    <n v="66669"/>
    <n v="52749"/>
    <n v="42841"/>
    <n v="34406"/>
    <n v="29620"/>
    <n v="24078"/>
    <n v="18484"/>
    <n v="13820"/>
    <n v="11891"/>
    <n v="7674"/>
    <n v="5992"/>
    <n v="4304"/>
    <n v="2948"/>
    <n v="1893"/>
  </r>
  <r>
    <s v="NGA"/>
    <x v="0"/>
    <m/>
    <x v="4"/>
    <m/>
    <s v="BOGORO"/>
    <m/>
    <n v="61771"/>
    <n v="62436"/>
    <n v="124207"/>
    <n v="11358"/>
    <n v="9557"/>
    <n v="8177"/>
    <n v="7217"/>
    <n v="4717"/>
    <n v="4156"/>
    <n v="3632"/>
    <n v="3099"/>
    <n v="2437"/>
    <n v="2059"/>
    <n v="1413"/>
    <n v="1260"/>
    <n v="727"/>
    <n v="697"/>
    <n v="543"/>
    <n v="378"/>
    <n v="344"/>
    <n v="10776"/>
    <n v="9231"/>
    <n v="7820"/>
    <n v="6776"/>
    <n v="5039"/>
    <n v="4479"/>
    <n v="3747"/>
    <n v="3064"/>
    <n v="2634"/>
    <n v="2053"/>
    <n v="1742"/>
    <n v="1378"/>
    <n v="1198"/>
    <n v="961"/>
    <n v="808"/>
    <n v="426"/>
    <n v="304"/>
    <n v="22134"/>
    <n v="18788"/>
    <n v="15997"/>
    <n v="13993"/>
    <n v="9756"/>
    <n v="8635"/>
    <n v="7379"/>
    <n v="6163"/>
    <n v="5071"/>
    <n v="4112"/>
    <n v="3155"/>
    <n v="2638"/>
    <n v="1925"/>
    <n v="1658"/>
    <n v="1351"/>
    <n v="804"/>
    <n v="648"/>
  </r>
  <r>
    <s v="NGA"/>
    <x v="0"/>
    <m/>
    <x v="4"/>
    <m/>
    <s v="DAMBAM"/>
    <m/>
    <n v="124627"/>
    <n v="121071"/>
    <n v="245698"/>
    <n v="25608"/>
    <n v="20131"/>
    <n v="15945"/>
    <n v="13057"/>
    <n v="9556"/>
    <n v="8071"/>
    <n v="7365"/>
    <n v="6155"/>
    <n v="5128"/>
    <n v="3661"/>
    <n v="3394"/>
    <n v="1715"/>
    <n v="1726"/>
    <n v="886"/>
    <n v="1133"/>
    <n v="624"/>
    <n v="472"/>
    <n v="24355"/>
    <n v="18949"/>
    <n v="14578"/>
    <n v="12609"/>
    <n v="10251"/>
    <n v="8665"/>
    <n v="7352"/>
    <n v="5789"/>
    <n v="4960"/>
    <n v="3519"/>
    <n v="3246"/>
    <n v="1651"/>
    <n v="2092"/>
    <n v="1040"/>
    <n v="927"/>
    <n v="559"/>
    <n v="529"/>
    <n v="49963"/>
    <n v="39080"/>
    <n v="30523"/>
    <n v="25666"/>
    <n v="19807"/>
    <n v="16736"/>
    <n v="14717"/>
    <n v="11944"/>
    <n v="10088"/>
    <n v="7180"/>
    <n v="6640"/>
    <n v="3366"/>
    <n v="3818"/>
    <n v="1926"/>
    <n v="2060"/>
    <n v="1183"/>
    <n v="1001"/>
  </r>
  <r>
    <s v="NGA"/>
    <x v="0"/>
    <m/>
    <x v="4"/>
    <m/>
    <s v="DARAZO"/>
    <m/>
    <n v="169059"/>
    <n v="163271"/>
    <n v="332330"/>
    <n v="34554"/>
    <n v="28382"/>
    <n v="21794"/>
    <n v="17097"/>
    <n v="12005"/>
    <n v="10627"/>
    <n v="10028"/>
    <n v="8299"/>
    <n v="7116"/>
    <n v="4816"/>
    <n v="4482"/>
    <n v="2793"/>
    <n v="2665"/>
    <n v="1537"/>
    <n v="1531"/>
    <n v="788"/>
    <n v="545"/>
    <n v="32325"/>
    <n v="27071"/>
    <n v="20543"/>
    <n v="16693"/>
    <n v="14064"/>
    <n v="11521"/>
    <n v="9772"/>
    <n v="7243"/>
    <n v="6491"/>
    <n v="4287"/>
    <n v="4149"/>
    <n v="2373"/>
    <n v="2414"/>
    <n v="1403"/>
    <n v="1562"/>
    <n v="752"/>
    <n v="608"/>
    <n v="66879"/>
    <n v="55453"/>
    <n v="42337"/>
    <n v="33790"/>
    <n v="26069"/>
    <n v="22148"/>
    <n v="19800"/>
    <n v="15542"/>
    <n v="13607"/>
    <n v="9103"/>
    <n v="8631"/>
    <n v="5166"/>
    <n v="5079"/>
    <n v="2940"/>
    <n v="3093"/>
    <n v="1540"/>
    <n v="1153"/>
  </r>
  <r>
    <s v="NGA"/>
    <x v="0"/>
    <m/>
    <x v="4"/>
    <m/>
    <s v="DASS"/>
    <m/>
    <n v="73333"/>
    <n v="67353"/>
    <n v="140686"/>
    <n v="14471"/>
    <n v="10789"/>
    <n v="9239"/>
    <n v="9032"/>
    <n v="6171"/>
    <n v="4877"/>
    <n v="4298"/>
    <n v="3389"/>
    <n v="2960"/>
    <n v="2058"/>
    <n v="1738"/>
    <n v="1365"/>
    <n v="912"/>
    <n v="938"/>
    <n v="449"/>
    <n v="402"/>
    <n v="245"/>
    <n v="13768"/>
    <n v="10103"/>
    <n v="7994"/>
    <n v="6911"/>
    <n v="5799"/>
    <n v="4911"/>
    <n v="4136"/>
    <n v="3311"/>
    <n v="2811"/>
    <n v="1868"/>
    <n v="1863"/>
    <n v="1095"/>
    <n v="890"/>
    <n v="699"/>
    <n v="447"/>
    <n v="426"/>
    <n v="321"/>
    <n v="28239"/>
    <n v="20892"/>
    <n v="17233"/>
    <n v="15943"/>
    <n v="11970"/>
    <n v="9788"/>
    <n v="8434"/>
    <n v="6700"/>
    <n v="5771"/>
    <n v="3926"/>
    <n v="3601"/>
    <n v="2460"/>
    <n v="1802"/>
    <n v="1637"/>
    <n v="896"/>
    <n v="828"/>
    <n v="566"/>
  </r>
  <r>
    <s v="NGA"/>
    <x v="0"/>
    <m/>
    <x v="4"/>
    <m/>
    <s v="GAMAWA"/>
    <m/>
    <n v="199745"/>
    <n v="189232"/>
    <n v="388977"/>
    <n v="39226"/>
    <n v="32975"/>
    <n v="25125"/>
    <n v="20840"/>
    <n v="15058"/>
    <n v="13083"/>
    <n v="12219"/>
    <n v="9759"/>
    <n v="8596"/>
    <n v="5997"/>
    <n v="5438"/>
    <n v="3238"/>
    <n v="3263"/>
    <n v="1605"/>
    <n v="1868"/>
    <n v="834"/>
    <n v="621"/>
    <n v="36172"/>
    <n v="29713"/>
    <n v="22751"/>
    <n v="20628"/>
    <n v="16842"/>
    <n v="13974"/>
    <n v="11960"/>
    <n v="9025"/>
    <n v="7783"/>
    <n v="5226"/>
    <n v="4988"/>
    <n v="2671"/>
    <n v="2978"/>
    <n v="1698"/>
    <n v="1474"/>
    <n v="765"/>
    <n v="584"/>
    <n v="75398"/>
    <n v="62688"/>
    <n v="47876"/>
    <n v="41468"/>
    <n v="31900"/>
    <n v="27057"/>
    <n v="24179"/>
    <n v="18784"/>
    <n v="16379"/>
    <n v="11223"/>
    <n v="10426"/>
    <n v="5909"/>
    <n v="6241"/>
    <n v="3303"/>
    <n v="3342"/>
    <n v="1599"/>
    <n v="1205"/>
  </r>
  <r>
    <s v="NGA"/>
    <x v="0"/>
    <m/>
    <x v="4"/>
    <m/>
    <s v="GANJUWA"/>
    <m/>
    <n v="236122"/>
    <n v="230396"/>
    <n v="466518"/>
    <n v="48395"/>
    <n v="38813"/>
    <n v="30260"/>
    <n v="23579"/>
    <n v="17182"/>
    <n v="15191"/>
    <n v="13932"/>
    <n v="11536"/>
    <n v="9989"/>
    <n v="7059"/>
    <n v="6403"/>
    <n v="3975"/>
    <n v="3696"/>
    <n v="2080"/>
    <n v="2196"/>
    <n v="1116"/>
    <n v="720"/>
    <n v="46497"/>
    <n v="36725"/>
    <n v="28487"/>
    <n v="25181"/>
    <n v="19656"/>
    <n v="16190"/>
    <n v="13637"/>
    <n v="10380"/>
    <n v="9300"/>
    <n v="5953"/>
    <n v="6091"/>
    <n v="2994"/>
    <n v="3678"/>
    <n v="1777"/>
    <n v="1998"/>
    <n v="1008"/>
    <n v="844"/>
    <n v="94892"/>
    <n v="75538"/>
    <n v="58747"/>
    <n v="48760"/>
    <n v="36838"/>
    <n v="31381"/>
    <n v="27569"/>
    <n v="21916"/>
    <n v="19289"/>
    <n v="13012"/>
    <n v="12494"/>
    <n v="6969"/>
    <n v="7374"/>
    <n v="3857"/>
    <n v="4194"/>
    <n v="2124"/>
    <n v="1564"/>
  </r>
  <r>
    <s v="NGA"/>
    <x v="0"/>
    <m/>
    <x v="4"/>
    <m/>
    <s v="GIADE"/>
    <m/>
    <n v="106874"/>
    <n v="101849"/>
    <n v="208723"/>
    <n v="21615"/>
    <n v="17381"/>
    <n v="13774"/>
    <n v="10970"/>
    <n v="7938"/>
    <n v="6945"/>
    <n v="6457"/>
    <n v="5416"/>
    <n v="4488"/>
    <n v="3186"/>
    <n v="2698"/>
    <n v="1800"/>
    <n v="1437"/>
    <n v="967"/>
    <n v="928"/>
    <n v="499"/>
    <n v="375"/>
    <n v="20108"/>
    <n v="15739"/>
    <n v="12469"/>
    <n v="10688"/>
    <n v="8854"/>
    <n v="7470"/>
    <n v="6180"/>
    <n v="4948"/>
    <n v="4153"/>
    <n v="2856"/>
    <n v="2543"/>
    <n v="1499"/>
    <n v="1658"/>
    <n v="1044"/>
    <n v="713"/>
    <n v="550"/>
    <n v="377"/>
    <n v="41723"/>
    <n v="33120"/>
    <n v="26243"/>
    <n v="21658"/>
    <n v="16792"/>
    <n v="14415"/>
    <n v="12637"/>
    <n v="10364"/>
    <n v="8641"/>
    <n v="6042"/>
    <n v="5241"/>
    <n v="3299"/>
    <n v="3095"/>
    <n v="2011"/>
    <n v="1641"/>
    <n v="1049"/>
    <n v="752"/>
  </r>
  <r>
    <s v="NGA"/>
    <x v="0"/>
    <m/>
    <x v="4"/>
    <m/>
    <s v="ITAS/GADAU"/>
    <m/>
    <n v="168597"/>
    <n v="166692"/>
    <n v="335289"/>
    <n v="34562"/>
    <n v="27726"/>
    <n v="21303"/>
    <n v="17160"/>
    <n v="12052"/>
    <n v="9845"/>
    <n v="10351"/>
    <n v="8324"/>
    <n v="7421"/>
    <n v="5093"/>
    <n v="5024"/>
    <n v="2420"/>
    <n v="2797"/>
    <n v="1184"/>
    <n v="1869"/>
    <n v="683"/>
    <n v="783"/>
    <n v="32952"/>
    <n v="25893"/>
    <n v="19642"/>
    <n v="16985"/>
    <n v="14334"/>
    <n v="12053"/>
    <n v="10594"/>
    <n v="7976"/>
    <n v="7123"/>
    <n v="4540"/>
    <n v="4564"/>
    <n v="2588"/>
    <n v="2832"/>
    <n v="1476"/>
    <n v="1649"/>
    <n v="765"/>
    <n v="726"/>
    <n v="67514"/>
    <n v="53619"/>
    <n v="40945"/>
    <n v="34145"/>
    <n v="26386"/>
    <n v="21898"/>
    <n v="20945"/>
    <n v="16300"/>
    <n v="14544"/>
    <n v="9633"/>
    <n v="9588"/>
    <n v="5008"/>
    <n v="5629"/>
    <n v="2660"/>
    <n v="3518"/>
    <n v="1448"/>
    <n v="1509"/>
  </r>
  <r>
    <s v="NGA"/>
    <x v="0"/>
    <m/>
    <x v="4"/>
    <m/>
    <s v="JAMA’ARE"/>
    <m/>
    <n v="88805"/>
    <n v="81922"/>
    <n v="170727"/>
    <n v="17459"/>
    <n v="14290"/>
    <n v="11632"/>
    <n v="9449"/>
    <n v="6663"/>
    <n v="5693"/>
    <n v="5385"/>
    <n v="4323"/>
    <n v="3925"/>
    <n v="2592"/>
    <n v="2430"/>
    <n v="1339"/>
    <n v="1397"/>
    <n v="754"/>
    <n v="791"/>
    <n v="422"/>
    <n v="261"/>
    <n v="15954"/>
    <n v="12746"/>
    <n v="9839"/>
    <n v="8594"/>
    <n v="7265"/>
    <n v="5992"/>
    <n v="5149"/>
    <n v="3895"/>
    <n v="3331"/>
    <n v="2321"/>
    <n v="2003"/>
    <n v="1348"/>
    <n v="1300"/>
    <n v="852"/>
    <n v="711"/>
    <n v="397"/>
    <n v="225"/>
    <n v="33413"/>
    <n v="27036"/>
    <n v="21471"/>
    <n v="18043"/>
    <n v="13928"/>
    <n v="11685"/>
    <n v="10534"/>
    <n v="8218"/>
    <n v="7256"/>
    <n v="4913"/>
    <n v="4433"/>
    <n v="2687"/>
    <n v="2697"/>
    <n v="1606"/>
    <n v="1502"/>
    <n v="819"/>
    <n v="486"/>
  </r>
  <r>
    <s v="NGA"/>
    <x v="0"/>
    <m/>
    <x v="4"/>
    <m/>
    <s v="KATAGUM"/>
    <m/>
    <n v="200664"/>
    <n v="182963"/>
    <n v="383627"/>
    <n v="37886"/>
    <n v="30849"/>
    <n v="27482"/>
    <n v="23007"/>
    <n v="16567"/>
    <n v="13262"/>
    <n v="11545"/>
    <n v="9515"/>
    <n v="8211"/>
    <n v="6051"/>
    <n v="5140"/>
    <n v="3349"/>
    <n v="2847"/>
    <n v="1725"/>
    <n v="1789"/>
    <n v="833"/>
    <n v="606"/>
    <n v="35289"/>
    <n v="28279"/>
    <n v="23140"/>
    <n v="19324"/>
    <n v="15853"/>
    <n v="13296"/>
    <n v="11361"/>
    <n v="8814"/>
    <n v="7655"/>
    <n v="5104"/>
    <n v="4608"/>
    <n v="2712"/>
    <n v="3116"/>
    <n v="1493"/>
    <n v="1633"/>
    <n v="609"/>
    <n v="677"/>
    <n v="73175"/>
    <n v="59128"/>
    <n v="50622"/>
    <n v="42331"/>
    <n v="32420"/>
    <n v="26558"/>
    <n v="22906"/>
    <n v="18329"/>
    <n v="15866"/>
    <n v="11155"/>
    <n v="9748"/>
    <n v="6061"/>
    <n v="5963"/>
    <n v="3218"/>
    <n v="3422"/>
    <n v="1442"/>
    <n v="1283"/>
  </r>
  <r>
    <s v="NGA"/>
    <x v="0"/>
    <m/>
    <x v="4"/>
    <m/>
    <s v="KIRFI"/>
    <m/>
    <n v="121141"/>
    <n v="111989"/>
    <n v="233130"/>
    <n v="24740"/>
    <n v="19692"/>
    <n v="16706"/>
    <n v="12811"/>
    <n v="9048"/>
    <n v="7585"/>
    <n v="6966"/>
    <n v="5656"/>
    <n v="4825"/>
    <n v="3484"/>
    <n v="2964"/>
    <n v="1959"/>
    <n v="1648"/>
    <n v="1015"/>
    <n v="1063"/>
    <n v="641"/>
    <n v="338"/>
    <n v="22563"/>
    <n v="18039"/>
    <n v="13710"/>
    <n v="11993"/>
    <n v="9674"/>
    <n v="8079"/>
    <n v="6731"/>
    <n v="5091"/>
    <n v="4359"/>
    <n v="2880"/>
    <n v="2890"/>
    <n v="1567"/>
    <n v="1655"/>
    <n v="985"/>
    <n v="959"/>
    <n v="467"/>
    <n v="347"/>
    <n v="47303"/>
    <n v="37731"/>
    <n v="30416"/>
    <n v="24804"/>
    <n v="18722"/>
    <n v="15664"/>
    <n v="13697"/>
    <n v="10747"/>
    <n v="9184"/>
    <n v="6364"/>
    <n v="5854"/>
    <n v="3526"/>
    <n v="3303"/>
    <n v="2000"/>
    <n v="2022"/>
    <n v="1108"/>
    <n v="685"/>
  </r>
  <r>
    <s v="NGA"/>
    <x v="0"/>
    <m/>
    <x v="4"/>
    <m/>
    <s v="MISAU"/>
    <m/>
    <n v="222807"/>
    <n v="204760"/>
    <n v="427567"/>
    <n v="43351"/>
    <n v="35170"/>
    <n v="29630"/>
    <n v="25805"/>
    <n v="17490"/>
    <n v="14264"/>
    <n v="12866"/>
    <n v="10763"/>
    <n v="9087"/>
    <n v="6568"/>
    <n v="5431"/>
    <n v="3702"/>
    <n v="3321"/>
    <n v="1968"/>
    <n v="1777"/>
    <n v="1022"/>
    <n v="592"/>
    <n v="40212"/>
    <n v="31696"/>
    <n v="25253"/>
    <n v="21447"/>
    <n v="17617"/>
    <n v="14792"/>
    <n v="12505"/>
    <n v="9642"/>
    <n v="8451"/>
    <n v="5768"/>
    <n v="5100"/>
    <n v="3441"/>
    <n v="3606"/>
    <n v="2117"/>
    <n v="1426"/>
    <n v="1008"/>
    <n v="679"/>
    <n v="83563"/>
    <n v="66866"/>
    <n v="54883"/>
    <n v="47252"/>
    <n v="35107"/>
    <n v="29056"/>
    <n v="25371"/>
    <n v="20405"/>
    <n v="17538"/>
    <n v="12336"/>
    <n v="10531"/>
    <n v="7143"/>
    <n v="6927"/>
    <n v="4085"/>
    <n v="3203"/>
    <n v="2030"/>
    <n v="1271"/>
  </r>
  <r>
    <s v="NGA"/>
    <x v="0"/>
    <m/>
    <x v="4"/>
    <m/>
    <s v="NINGI"/>
    <m/>
    <n v="307314"/>
    <n v="294295"/>
    <n v="601609"/>
    <n v="62799"/>
    <n v="49343"/>
    <n v="39494"/>
    <n v="32535"/>
    <n v="22946"/>
    <n v="19463"/>
    <n v="18198"/>
    <n v="15023"/>
    <n v="13156"/>
    <n v="9237"/>
    <n v="8386"/>
    <n v="4441"/>
    <n v="4960"/>
    <n v="2388"/>
    <n v="2708"/>
    <n v="1165"/>
    <n v="1072"/>
    <n v="59148"/>
    <n v="46168"/>
    <n v="35321"/>
    <n v="31044"/>
    <n v="25345"/>
    <n v="21308"/>
    <n v="18115"/>
    <n v="13832"/>
    <n v="11970"/>
    <n v="8180"/>
    <n v="7699"/>
    <n v="4205"/>
    <n v="4589"/>
    <n v="2325"/>
    <n v="2590"/>
    <n v="1336"/>
    <n v="1120"/>
    <n v="121947"/>
    <n v="95511"/>
    <n v="74815"/>
    <n v="63579"/>
    <n v="48291"/>
    <n v="40771"/>
    <n v="36313"/>
    <n v="28855"/>
    <n v="25126"/>
    <n v="17417"/>
    <n v="16085"/>
    <n v="8646"/>
    <n v="9549"/>
    <n v="4713"/>
    <n v="5298"/>
    <n v="2501"/>
    <n v="2192"/>
  </r>
  <r>
    <s v="NGA"/>
    <x v="0"/>
    <m/>
    <x v="4"/>
    <m/>
    <s v="SHIRA"/>
    <m/>
    <n v="159509"/>
    <n v="153531"/>
    <n v="313040"/>
    <n v="32232"/>
    <n v="26288"/>
    <n v="19856"/>
    <n v="15698"/>
    <n v="11189"/>
    <n v="10298"/>
    <n v="10025"/>
    <n v="7898"/>
    <n v="7164"/>
    <n v="4722"/>
    <n v="4499"/>
    <n v="2690"/>
    <n v="2704"/>
    <n v="1459"/>
    <n v="1575"/>
    <n v="626"/>
    <n v="586"/>
    <n v="29737"/>
    <n v="24090"/>
    <n v="18302"/>
    <n v="16779"/>
    <n v="13743"/>
    <n v="11053"/>
    <n v="9659"/>
    <n v="6950"/>
    <n v="6471"/>
    <n v="4083"/>
    <n v="3953"/>
    <n v="2328"/>
    <n v="2357"/>
    <n v="1403"/>
    <n v="1508"/>
    <n v="533"/>
    <n v="582"/>
    <n v="61969"/>
    <n v="50378"/>
    <n v="38158"/>
    <n v="32477"/>
    <n v="24932"/>
    <n v="21351"/>
    <n v="19684"/>
    <n v="14848"/>
    <n v="13635"/>
    <n v="8805"/>
    <n v="8452"/>
    <n v="5018"/>
    <n v="5061"/>
    <n v="2862"/>
    <n v="3083"/>
    <n v="1159"/>
    <n v="1168"/>
  </r>
  <r>
    <s v="NGA"/>
    <x v="0"/>
    <m/>
    <x v="4"/>
    <m/>
    <s v="TAFAWA BALEWA"/>
    <m/>
    <n v="163873"/>
    <n v="164108"/>
    <n v="327981"/>
    <n v="32632"/>
    <n v="26090"/>
    <n v="21087"/>
    <n v="17522"/>
    <n v="12500"/>
    <n v="10505"/>
    <n v="9260"/>
    <n v="8182"/>
    <n v="6573"/>
    <n v="5252"/>
    <n v="4019"/>
    <n v="3280"/>
    <n v="2166"/>
    <n v="1812"/>
    <n v="1410"/>
    <n v="975"/>
    <n v="608"/>
    <n v="30971"/>
    <n v="24947"/>
    <n v="20142"/>
    <n v="17603"/>
    <n v="13671"/>
    <n v="11616"/>
    <n v="9803"/>
    <n v="8107"/>
    <n v="6899"/>
    <n v="4994"/>
    <n v="4322"/>
    <n v="3186"/>
    <n v="2746"/>
    <n v="1793"/>
    <n v="1736"/>
    <n v="863"/>
    <n v="709"/>
    <n v="63603"/>
    <n v="51037"/>
    <n v="41229"/>
    <n v="35125"/>
    <n v="26171"/>
    <n v="22121"/>
    <n v="19063"/>
    <n v="16289"/>
    <n v="13472"/>
    <n v="10246"/>
    <n v="8341"/>
    <n v="6466"/>
    <n v="4912"/>
    <n v="3605"/>
    <n v="3146"/>
    <n v="1838"/>
    <n v="1317"/>
  </r>
  <r>
    <s v="NGA"/>
    <x v="0"/>
    <m/>
    <x v="4"/>
    <m/>
    <s v="TORO"/>
    <m/>
    <n v="250092"/>
    <n v="248397"/>
    <n v="498489"/>
    <n v="50885"/>
    <n v="40573"/>
    <n v="31007"/>
    <n v="25327"/>
    <n v="18370"/>
    <n v="16917"/>
    <n v="14970"/>
    <n v="12564"/>
    <n v="10257"/>
    <n v="7495"/>
    <n v="6342"/>
    <n v="4628"/>
    <n v="3677"/>
    <n v="2594"/>
    <n v="2251"/>
    <n v="1340"/>
    <n v="895"/>
    <n v="48974"/>
    <n v="39513"/>
    <n v="29935"/>
    <n v="27083"/>
    <n v="22194"/>
    <n v="17724"/>
    <n v="14533"/>
    <n v="11224"/>
    <n v="9846"/>
    <n v="6483"/>
    <n v="6021"/>
    <n v="4053"/>
    <n v="3825"/>
    <n v="2333"/>
    <n v="2337"/>
    <n v="1195"/>
    <n v="1124"/>
    <n v="99859"/>
    <n v="80086"/>
    <n v="60942"/>
    <n v="52410"/>
    <n v="40564"/>
    <n v="34641"/>
    <n v="29503"/>
    <n v="23788"/>
    <n v="20103"/>
    <n v="13978"/>
    <n v="12363"/>
    <n v="8681"/>
    <n v="7502"/>
    <n v="4927"/>
    <n v="4588"/>
    <n v="2535"/>
    <n v="2019"/>
  </r>
  <r>
    <s v="NGA"/>
    <x v="0"/>
    <m/>
    <x v="4"/>
    <m/>
    <s v="WARJI"/>
    <m/>
    <n v="90756"/>
    <n v="88460"/>
    <n v="179216"/>
    <n v="18557"/>
    <n v="14340"/>
    <n v="11846"/>
    <n v="9412"/>
    <n v="6553"/>
    <n v="6216"/>
    <n v="5474"/>
    <n v="4693"/>
    <n v="3825"/>
    <n v="2612"/>
    <n v="2423"/>
    <n v="1493"/>
    <n v="1156"/>
    <n v="701"/>
    <n v="712"/>
    <n v="408"/>
    <n v="335"/>
    <n v="17867"/>
    <n v="13356"/>
    <n v="10708"/>
    <n v="9027"/>
    <n v="7297"/>
    <n v="6525"/>
    <n v="5383"/>
    <n v="4294"/>
    <n v="3638"/>
    <n v="2564"/>
    <n v="2380"/>
    <n v="1492"/>
    <n v="1536"/>
    <n v="714"/>
    <n v="878"/>
    <n v="405"/>
    <n v="396"/>
    <n v="36424"/>
    <n v="27696"/>
    <n v="22554"/>
    <n v="18439"/>
    <n v="13850"/>
    <n v="12741"/>
    <n v="10857"/>
    <n v="8987"/>
    <n v="7463"/>
    <n v="5176"/>
    <n v="4803"/>
    <n v="2985"/>
    <n v="2692"/>
    <n v="1415"/>
    <n v="1590"/>
    <n v="813"/>
    <n v="731"/>
  </r>
  <r>
    <s v="NGA"/>
    <x v="0"/>
    <m/>
    <x v="4"/>
    <m/>
    <s v="ZAKI"/>
    <m/>
    <n v="98167"/>
    <n v="93301"/>
    <n v="191468"/>
    <n v="19524"/>
    <n v="15596"/>
    <n v="12708"/>
    <n v="10185"/>
    <n v="7523"/>
    <n v="6394"/>
    <n v="6088"/>
    <n v="4862"/>
    <n v="4305"/>
    <n v="2946"/>
    <n v="2843"/>
    <n v="1298"/>
    <n v="1547"/>
    <n v="708"/>
    <n v="854"/>
    <n v="382"/>
    <n v="404"/>
    <n v="18122"/>
    <n v="14263"/>
    <n v="11164"/>
    <n v="10171"/>
    <n v="8333"/>
    <n v="6784"/>
    <n v="5895"/>
    <n v="4392"/>
    <n v="3881"/>
    <n v="2653"/>
    <n v="2461"/>
    <n v="1410"/>
    <n v="1415"/>
    <n v="828"/>
    <n v="772"/>
    <n v="436"/>
    <n v="321"/>
    <n v="37646"/>
    <n v="29859"/>
    <n v="23872"/>
    <n v="20356"/>
    <n v="15856"/>
    <n v="13178"/>
    <n v="11983"/>
    <n v="9254"/>
    <n v="8186"/>
    <n v="5599"/>
    <n v="5304"/>
    <n v="2708"/>
    <n v="2962"/>
    <n v="1536"/>
    <n v="1626"/>
    <n v="818"/>
    <n v="725"/>
  </r>
  <r>
    <s v="NGA"/>
    <x v="0"/>
    <m/>
    <x v="5"/>
    <m/>
    <s v="BRASS"/>
    <m/>
    <n v="92726"/>
    <n v="88539"/>
    <n v="181265"/>
    <n v="10615"/>
    <n v="11767"/>
    <n v="12274"/>
    <n v="11822"/>
    <n v="9230"/>
    <n v="6852"/>
    <n v="5651"/>
    <n v="5211"/>
    <n v="4698"/>
    <n v="3959"/>
    <n v="3100"/>
    <n v="2442"/>
    <n v="1895"/>
    <n v="1427"/>
    <n v="939"/>
    <n v="575"/>
    <n v="269"/>
    <n v="10156"/>
    <n v="11057"/>
    <n v="11418"/>
    <n v="10467"/>
    <n v="7581"/>
    <n v="6517"/>
    <n v="5979"/>
    <n v="5815"/>
    <n v="4737"/>
    <n v="4168"/>
    <n v="2873"/>
    <n v="2702"/>
    <n v="1930"/>
    <n v="1497"/>
    <n v="796"/>
    <n v="570"/>
    <n v="276"/>
    <n v="20771"/>
    <n v="22824"/>
    <n v="23692"/>
    <n v="22289"/>
    <n v="16811"/>
    <n v="13369"/>
    <n v="11630"/>
    <n v="11026"/>
    <n v="9435"/>
    <n v="8127"/>
    <n v="5973"/>
    <n v="5144"/>
    <n v="3825"/>
    <n v="2924"/>
    <n v="1735"/>
    <n v="1145"/>
    <n v="545"/>
  </r>
  <r>
    <s v="NGA"/>
    <x v="0"/>
    <m/>
    <x v="5"/>
    <m/>
    <s v="EKEREMOR"/>
    <m/>
    <n v="259306"/>
    <n v="249732"/>
    <n v="509038"/>
    <n v="33890"/>
    <n v="35717"/>
    <n v="34452"/>
    <n v="31528"/>
    <n v="24053"/>
    <n v="18149"/>
    <n v="15341"/>
    <n v="13796"/>
    <n v="13020"/>
    <n v="10344"/>
    <n v="9469"/>
    <n v="5527"/>
    <n v="5531"/>
    <n v="3579"/>
    <n v="2871"/>
    <n v="1221"/>
    <n v="818"/>
    <n v="32054"/>
    <n v="32737"/>
    <n v="32036"/>
    <n v="28056"/>
    <n v="20898"/>
    <n v="18011"/>
    <n v="16879"/>
    <n v="16501"/>
    <n v="12762"/>
    <n v="11665"/>
    <n v="8040"/>
    <n v="6808"/>
    <n v="5254"/>
    <n v="3627"/>
    <n v="2186"/>
    <n v="1550"/>
    <n v="668"/>
    <n v="65944"/>
    <n v="68454"/>
    <n v="66488"/>
    <n v="59584"/>
    <n v="44951"/>
    <n v="36160"/>
    <n v="32220"/>
    <n v="30297"/>
    <n v="25782"/>
    <n v="22009"/>
    <n v="17509"/>
    <n v="12335"/>
    <n v="10785"/>
    <n v="7206"/>
    <n v="5057"/>
    <n v="2771"/>
    <n v="1486"/>
  </r>
  <r>
    <s v="NGA"/>
    <x v="0"/>
    <m/>
    <x v="5"/>
    <m/>
    <s v="KOLOKUMA/OPOKUMA"/>
    <m/>
    <n v="87949"/>
    <n v="86959"/>
    <n v="174908"/>
    <n v="10434"/>
    <n v="11111"/>
    <n v="12369"/>
    <n v="11632"/>
    <n v="8248"/>
    <n v="6213"/>
    <n v="5075"/>
    <n v="4631"/>
    <n v="4369"/>
    <n v="3725"/>
    <n v="3045"/>
    <n v="2143"/>
    <n v="1924"/>
    <n v="1283"/>
    <n v="799"/>
    <n v="691"/>
    <n v="257"/>
    <n v="10348"/>
    <n v="10722"/>
    <n v="11719"/>
    <n v="10593"/>
    <n v="7410"/>
    <n v="6132"/>
    <n v="5533"/>
    <n v="5647"/>
    <n v="4382"/>
    <n v="3963"/>
    <n v="2715"/>
    <n v="2664"/>
    <n v="1748"/>
    <n v="1461"/>
    <n v="887"/>
    <n v="657"/>
    <n v="378"/>
    <n v="20782"/>
    <n v="21833"/>
    <n v="24088"/>
    <n v="22225"/>
    <n v="15658"/>
    <n v="12345"/>
    <n v="10608"/>
    <n v="10278"/>
    <n v="8751"/>
    <n v="7688"/>
    <n v="5760"/>
    <n v="4807"/>
    <n v="3672"/>
    <n v="2744"/>
    <n v="1686"/>
    <n v="1348"/>
    <n v="635"/>
  </r>
  <r>
    <s v="NGA"/>
    <x v="0"/>
    <m/>
    <x v="5"/>
    <m/>
    <s v="NEMBE"/>
    <m/>
    <n v="65648"/>
    <n v="63286"/>
    <n v="128934"/>
    <n v="8033"/>
    <n v="8502"/>
    <n v="8645"/>
    <n v="8363"/>
    <n v="6150"/>
    <n v="4733"/>
    <n v="4051"/>
    <n v="3589"/>
    <n v="3385"/>
    <n v="2733"/>
    <n v="2165"/>
    <n v="1693"/>
    <n v="1305"/>
    <n v="1058"/>
    <n v="579"/>
    <n v="447"/>
    <n v="217"/>
    <n v="7735"/>
    <n v="8109"/>
    <n v="8032"/>
    <n v="7414"/>
    <n v="5303"/>
    <n v="4667"/>
    <n v="4264"/>
    <n v="4159"/>
    <n v="3269"/>
    <n v="2892"/>
    <n v="2081"/>
    <n v="1710"/>
    <n v="1324"/>
    <n v="1020"/>
    <n v="593"/>
    <n v="505"/>
    <n v="209"/>
    <n v="15768"/>
    <n v="16611"/>
    <n v="16677"/>
    <n v="15777"/>
    <n v="11453"/>
    <n v="9400"/>
    <n v="8315"/>
    <n v="7748"/>
    <n v="6654"/>
    <n v="5625"/>
    <n v="4246"/>
    <n v="3403"/>
    <n v="2629"/>
    <n v="2078"/>
    <n v="1172"/>
    <n v="952"/>
    <n v="426"/>
  </r>
  <r>
    <s v="NGA"/>
    <x v="0"/>
    <m/>
    <x v="5"/>
    <m/>
    <s v="OGBIA"/>
    <m/>
    <n v="89472"/>
    <n v="85329"/>
    <n v="174801"/>
    <n v="10834"/>
    <n v="11705"/>
    <n v="11572"/>
    <n v="11311"/>
    <n v="8785"/>
    <n v="6499"/>
    <n v="5477"/>
    <n v="4826"/>
    <n v="4549"/>
    <n v="3890"/>
    <n v="3040"/>
    <n v="2211"/>
    <n v="1807"/>
    <n v="1228"/>
    <n v="905"/>
    <n v="520"/>
    <n v="313"/>
    <n v="10400"/>
    <n v="10991"/>
    <n v="11115"/>
    <n v="10419"/>
    <n v="7485"/>
    <n v="6261"/>
    <n v="5608"/>
    <n v="5443"/>
    <n v="4357"/>
    <n v="3829"/>
    <n v="2679"/>
    <n v="2338"/>
    <n v="1822"/>
    <n v="1128"/>
    <n v="542"/>
    <n v="598"/>
    <n v="314"/>
    <n v="21234"/>
    <n v="22696"/>
    <n v="22687"/>
    <n v="21730"/>
    <n v="16270"/>
    <n v="12760"/>
    <n v="11085"/>
    <n v="10269"/>
    <n v="8906"/>
    <n v="7719"/>
    <n v="5719"/>
    <n v="4549"/>
    <n v="3629"/>
    <n v="2356"/>
    <n v="1447"/>
    <n v="1118"/>
    <n v="627"/>
  </r>
  <r>
    <s v="NGA"/>
    <x v="0"/>
    <m/>
    <x v="5"/>
    <m/>
    <s v="SAGBAMA"/>
    <m/>
    <n v="129575"/>
    <n v="124531"/>
    <n v="254106"/>
    <n v="16192"/>
    <n v="16995"/>
    <n v="16702"/>
    <n v="16089"/>
    <n v="12550"/>
    <n v="9575"/>
    <n v="8031"/>
    <n v="6933"/>
    <n v="6372"/>
    <n v="5441"/>
    <n v="4299"/>
    <n v="3381"/>
    <n v="2575"/>
    <n v="1653"/>
    <n v="1340"/>
    <n v="895"/>
    <n v="552"/>
    <n v="15206"/>
    <n v="15748"/>
    <n v="15493"/>
    <n v="14214"/>
    <n v="10573"/>
    <n v="8984"/>
    <n v="8272"/>
    <n v="8000"/>
    <n v="6537"/>
    <n v="5827"/>
    <n v="4318"/>
    <n v="3627"/>
    <n v="2464"/>
    <n v="2477"/>
    <n v="1258"/>
    <n v="971"/>
    <n v="562"/>
    <n v="31398"/>
    <n v="32743"/>
    <n v="32195"/>
    <n v="30303"/>
    <n v="23123"/>
    <n v="18559"/>
    <n v="16303"/>
    <n v="14933"/>
    <n v="12909"/>
    <n v="11268"/>
    <n v="8617"/>
    <n v="7008"/>
    <n v="5039"/>
    <n v="4130"/>
    <n v="2598"/>
    <n v="1866"/>
    <n v="1114"/>
  </r>
  <r>
    <s v="NGA"/>
    <x v="0"/>
    <m/>
    <x v="5"/>
    <m/>
    <s v="SOUTHERN IJAW"/>
    <m/>
    <n v="173353"/>
    <n v="164390"/>
    <n v="337743"/>
    <n v="20529"/>
    <n v="23030"/>
    <n v="22336"/>
    <n v="21286"/>
    <n v="17882"/>
    <n v="13168"/>
    <n v="10681"/>
    <n v="9362"/>
    <n v="8752"/>
    <n v="7185"/>
    <n v="5666"/>
    <n v="4350"/>
    <n v="3248"/>
    <n v="2355"/>
    <n v="1942"/>
    <n v="908"/>
    <n v="673"/>
    <n v="19568"/>
    <n v="21426"/>
    <n v="20896"/>
    <n v="19280"/>
    <n v="14618"/>
    <n v="12134"/>
    <n v="11179"/>
    <n v="10509"/>
    <n v="8431"/>
    <n v="7432"/>
    <n v="5204"/>
    <n v="4708"/>
    <n v="3460"/>
    <n v="2322"/>
    <n v="1757"/>
    <n v="750"/>
    <n v="716"/>
    <n v="40097"/>
    <n v="44456"/>
    <n v="43232"/>
    <n v="40566"/>
    <n v="32500"/>
    <n v="25302"/>
    <n v="21860"/>
    <n v="19871"/>
    <n v="17183"/>
    <n v="14617"/>
    <n v="10870"/>
    <n v="9058"/>
    <n v="6708"/>
    <n v="4677"/>
    <n v="3699"/>
    <n v="1658"/>
    <n v="1389"/>
  </r>
  <r>
    <s v="NGA"/>
    <x v="0"/>
    <m/>
    <x v="5"/>
    <m/>
    <s v="YENAGOA"/>
    <m/>
    <n v="402784"/>
    <n v="374195"/>
    <n v="776979"/>
    <n v="47508"/>
    <n v="50578"/>
    <n v="49029"/>
    <n v="48549"/>
    <n v="41186"/>
    <n v="33551"/>
    <n v="28178"/>
    <n v="24425"/>
    <n v="20819"/>
    <n v="17110"/>
    <n v="12957"/>
    <n v="9740"/>
    <n v="7496"/>
    <n v="5003"/>
    <n v="3415"/>
    <n v="2031"/>
    <n v="1209"/>
    <n v="44987"/>
    <n v="47010"/>
    <n v="46393"/>
    <n v="44302"/>
    <n v="35428"/>
    <n v="30667"/>
    <n v="26523"/>
    <n v="24529"/>
    <n v="18505"/>
    <n v="15895"/>
    <n v="10889"/>
    <n v="10118"/>
    <n v="6904"/>
    <n v="5863"/>
    <n v="2816"/>
    <n v="2172"/>
    <n v="1194"/>
    <n v="92495"/>
    <n v="97588"/>
    <n v="95422"/>
    <n v="92851"/>
    <n v="76614"/>
    <n v="64218"/>
    <n v="54701"/>
    <n v="48954"/>
    <n v="39324"/>
    <n v="33005"/>
    <n v="23846"/>
    <n v="19858"/>
    <n v="14400"/>
    <n v="10866"/>
    <n v="6231"/>
    <n v="4203"/>
    <n v="2403"/>
  </r>
  <r>
    <s v="NGA"/>
    <x v="0"/>
    <m/>
    <x v="6"/>
    <m/>
    <s v="ADO"/>
    <m/>
    <n v="142723"/>
    <n v="141688"/>
    <n v="284411"/>
    <n v="28117"/>
    <n v="22276"/>
    <n v="18347"/>
    <n v="15162"/>
    <n v="11113"/>
    <n v="9197"/>
    <n v="8297"/>
    <n v="6968"/>
    <n v="6042"/>
    <n v="4710"/>
    <n v="3904"/>
    <n v="2428"/>
    <n v="2508"/>
    <n v="1640"/>
    <n v="1094"/>
    <n v="574"/>
    <n v="346"/>
    <n v="27255"/>
    <n v="21023"/>
    <n v="17360"/>
    <n v="14935"/>
    <n v="11616"/>
    <n v="10169"/>
    <n v="8729"/>
    <n v="7108"/>
    <n v="6155"/>
    <n v="4484"/>
    <n v="3736"/>
    <n v="2535"/>
    <n v="2862"/>
    <n v="1755"/>
    <n v="1046"/>
    <n v="589"/>
    <n v="331"/>
    <n v="55372"/>
    <n v="43299"/>
    <n v="35707"/>
    <n v="30097"/>
    <n v="22729"/>
    <n v="19366"/>
    <n v="17026"/>
    <n v="14076"/>
    <n v="12197"/>
    <n v="9194"/>
    <n v="7640"/>
    <n v="4963"/>
    <n v="5370"/>
    <n v="3395"/>
    <n v="2140"/>
    <n v="1163"/>
    <n v="677"/>
  </r>
  <r>
    <s v="NGA"/>
    <x v="0"/>
    <m/>
    <x v="6"/>
    <m/>
    <s v="AGATU"/>
    <m/>
    <n v="101788"/>
    <n v="98916"/>
    <n v="200704"/>
    <n v="20752"/>
    <n v="15848"/>
    <n v="12777"/>
    <n v="10516"/>
    <n v="7870"/>
    <n v="6649"/>
    <n v="6045"/>
    <n v="5282"/>
    <n v="4343"/>
    <n v="3351"/>
    <n v="2768"/>
    <n v="1522"/>
    <n v="1649"/>
    <n v="834"/>
    <n v="659"/>
    <n v="593"/>
    <n v="330"/>
    <n v="19746"/>
    <n v="14809"/>
    <n v="11883"/>
    <n v="10103"/>
    <n v="8251"/>
    <n v="7282"/>
    <n v="6038"/>
    <n v="4934"/>
    <n v="4103"/>
    <n v="3006"/>
    <n v="2741"/>
    <n v="1405"/>
    <n v="1968"/>
    <n v="1021"/>
    <n v="693"/>
    <n v="607"/>
    <n v="326"/>
    <n v="40498"/>
    <n v="30657"/>
    <n v="24660"/>
    <n v="20619"/>
    <n v="16121"/>
    <n v="13931"/>
    <n v="12083"/>
    <n v="10216"/>
    <n v="8446"/>
    <n v="6357"/>
    <n v="5509"/>
    <n v="2927"/>
    <n v="3617"/>
    <n v="1855"/>
    <n v="1352"/>
    <n v="1200"/>
    <n v="656"/>
  </r>
  <r>
    <s v="NGA"/>
    <x v="0"/>
    <m/>
    <x v="6"/>
    <m/>
    <s v="APA"/>
    <m/>
    <n v="84640"/>
    <n v="83391"/>
    <n v="168031"/>
    <n v="17121"/>
    <n v="12948"/>
    <n v="10617"/>
    <n v="8935"/>
    <n v="6789"/>
    <n v="5710"/>
    <n v="4981"/>
    <n v="4317"/>
    <n v="3517"/>
    <n v="2759"/>
    <n v="2211"/>
    <n v="1417"/>
    <n v="1376"/>
    <n v="693"/>
    <n v="588"/>
    <n v="360"/>
    <n v="301"/>
    <n v="16434"/>
    <n v="12365"/>
    <n v="10117"/>
    <n v="8662"/>
    <n v="7050"/>
    <n v="6110"/>
    <n v="5053"/>
    <n v="4063"/>
    <n v="3403"/>
    <n v="2545"/>
    <n v="2223"/>
    <n v="1512"/>
    <n v="1550"/>
    <n v="843"/>
    <n v="795"/>
    <n v="371"/>
    <n v="295"/>
    <n v="33555"/>
    <n v="25313"/>
    <n v="20734"/>
    <n v="17597"/>
    <n v="13839"/>
    <n v="11820"/>
    <n v="10034"/>
    <n v="8380"/>
    <n v="6920"/>
    <n v="5304"/>
    <n v="4434"/>
    <n v="2929"/>
    <n v="2926"/>
    <n v="1536"/>
    <n v="1383"/>
    <n v="731"/>
    <n v="596"/>
  </r>
  <r>
    <s v="NGA"/>
    <x v="0"/>
    <m/>
    <x v="6"/>
    <m/>
    <s v="BURUKU"/>
    <m/>
    <n v="142862"/>
    <n v="141213"/>
    <n v="284075"/>
    <n v="27533"/>
    <n v="22517"/>
    <n v="18823"/>
    <n v="15505"/>
    <n v="11439"/>
    <n v="9487"/>
    <n v="8328"/>
    <n v="7024"/>
    <n v="5541"/>
    <n v="4471"/>
    <n v="3400"/>
    <n v="2739"/>
    <n v="1834"/>
    <n v="1431"/>
    <n v="1220"/>
    <n v="904"/>
    <n v="666"/>
    <n v="26202"/>
    <n v="21763"/>
    <n v="18136"/>
    <n v="15009"/>
    <n v="11888"/>
    <n v="9758"/>
    <n v="8146"/>
    <n v="6531"/>
    <n v="5668"/>
    <n v="4120"/>
    <n v="3718"/>
    <n v="2581"/>
    <n v="2657"/>
    <n v="1786"/>
    <n v="1622"/>
    <n v="871"/>
    <n v="757"/>
    <n v="53735"/>
    <n v="44280"/>
    <n v="36959"/>
    <n v="30514"/>
    <n v="23327"/>
    <n v="19245"/>
    <n v="16474"/>
    <n v="13555"/>
    <n v="11209"/>
    <n v="8591"/>
    <n v="7118"/>
    <n v="5320"/>
    <n v="4491"/>
    <n v="3217"/>
    <n v="2842"/>
    <n v="1775"/>
    <n v="1423"/>
  </r>
  <r>
    <s v="NGA"/>
    <x v="0"/>
    <m/>
    <x v="6"/>
    <m/>
    <s v="GBOKO"/>
    <m/>
    <n v="225062"/>
    <n v="224876"/>
    <n v="449938"/>
    <n v="35209"/>
    <n v="32709"/>
    <n v="30580"/>
    <n v="27040"/>
    <n v="21093"/>
    <n v="16631"/>
    <n v="13573"/>
    <n v="11645"/>
    <n v="9194"/>
    <n v="7964"/>
    <n v="5546"/>
    <n v="4608"/>
    <n v="3287"/>
    <n v="2312"/>
    <n v="1734"/>
    <n v="1219"/>
    <n v="718"/>
    <n v="34473"/>
    <n v="33198"/>
    <n v="32114"/>
    <n v="27070"/>
    <n v="20272"/>
    <n v="14678"/>
    <n v="12425"/>
    <n v="10158"/>
    <n v="9401"/>
    <n v="6744"/>
    <n v="5849"/>
    <n v="4920"/>
    <n v="4695"/>
    <n v="3408"/>
    <n v="2624"/>
    <n v="1653"/>
    <n v="1194"/>
    <n v="69682"/>
    <n v="65907"/>
    <n v="62694"/>
    <n v="54110"/>
    <n v="41365"/>
    <n v="31309"/>
    <n v="25998"/>
    <n v="21803"/>
    <n v="18595"/>
    <n v="14708"/>
    <n v="11395"/>
    <n v="9528"/>
    <n v="7982"/>
    <n v="5720"/>
    <n v="4358"/>
    <n v="2872"/>
    <n v="1912"/>
  </r>
  <r>
    <s v="NGA"/>
    <x v="0"/>
    <m/>
    <x v="6"/>
    <m/>
    <s v="GUMA"/>
    <m/>
    <n v="141705"/>
    <n v="140645"/>
    <n v="282350"/>
    <n v="28807"/>
    <n v="22355"/>
    <n v="17806"/>
    <n v="15004"/>
    <n v="11142"/>
    <n v="9514"/>
    <n v="8322"/>
    <n v="7048"/>
    <n v="5704"/>
    <n v="4412"/>
    <n v="3595"/>
    <n v="2380"/>
    <n v="2035"/>
    <n v="1306"/>
    <n v="1082"/>
    <n v="650"/>
    <n v="543"/>
    <n v="27701"/>
    <n v="21387"/>
    <n v="17069"/>
    <n v="14734"/>
    <n v="11835"/>
    <n v="10215"/>
    <n v="8324"/>
    <n v="6655"/>
    <n v="5734"/>
    <n v="4148"/>
    <n v="3365"/>
    <n v="2964"/>
    <n v="2518"/>
    <n v="1575"/>
    <n v="1074"/>
    <n v="735"/>
    <n v="612"/>
    <n v="56508"/>
    <n v="43742"/>
    <n v="34875"/>
    <n v="29738"/>
    <n v="22977"/>
    <n v="19729"/>
    <n v="16646"/>
    <n v="13703"/>
    <n v="11438"/>
    <n v="8560"/>
    <n v="6960"/>
    <n v="5344"/>
    <n v="4553"/>
    <n v="2881"/>
    <n v="2156"/>
    <n v="1385"/>
    <n v="1155"/>
  </r>
  <r>
    <s v="NGA"/>
    <x v="0"/>
    <m/>
    <x v="6"/>
    <m/>
    <s v="GWER EAST"/>
    <m/>
    <n v="106743"/>
    <n v="104052"/>
    <n v="210795"/>
    <n v="20378"/>
    <n v="16200"/>
    <n v="13747"/>
    <n v="11813"/>
    <n v="8988"/>
    <n v="7333"/>
    <n v="6277"/>
    <n v="5248"/>
    <n v="4304"/>
    <n v="3422"/>
    <n v="2620"/>
    <n v="1922"/>
    <n v="1634"/>
    <n v="1006"/>
    <n v="871"/>
    <n v="547"/>
    <n v="433"/>
    <n v="19187"/>
    <n v="15603"/>
    <n v="12989"/>
    <n v="11810"/>
    <n v="9444"/>
    <n v="6833"/>
    <n v="5879"/>
    <n v="4573"/>
    <n v="4413"/>
    <n v="2923"/>
    <n v="2865"/>
    <n v="1747"/>
    <n v="2237"/>
    <n v="1151"/>
    <n v="1189"/>
    <n v="667"/>
    <n v="542"/>
    <n v="39565"/>
    <n v="31803"/>
    <n v="26736"/>
    <n v="23623"/>
    <n v="18432"/>
    <n v="14166"/>
    <n v="12156"/>
    <n v="9821"/>
    <n v="8717"/>
    <n v="6345"/>
    <n v="5485"/>
    <n v="3669"/>
    <n v="3871"/>
    <n v="2157"/>
    <n v="2060"/>
    <n v="1214"/>
    <n v="975"/>
  </r>
  <r>
    <s v="NGA"/>
    <x v="0"/>
    <m/>
    <x v="6"/>
    <m/>
    <s v="GWER WEST"/>
    <m/>
    <n v="88383"/>
    <n v="86385"/>
    <n v="174768"/>
    <n v="18132"/>
    <n v="13645"/>
    <n v="11163"/>
    <n v="9201"/>
    <n v="6909"/>
    <n v="5882"/>
    <n v="5202"/>
    <n v="4548"/>
    <n v="3694"/>
    <n v="2822"/>
    <n v="2372"/>
    <n v="1396"/>
    <n v="1408"/>
    <n v="670"/>
    <n v="670"/>
    <n v="359"/>
    <n v="310"/>
    <n v="17249"/>
    <n v="12971"/>
    <n v="10433"/>
    <n v="8849"/>
    <n v="7180"/>
    <n v="6338"/>
    <n v="5248"/>
    <n v="4186"/>
    <n v="3566"/>
    <n v="2597"/>
    <n v="2209"/>
    <n v="1556"/>
    <n v="1641"/>
    <n v="862"/>
    <n v="795"/>
    <n v="414"/>
    <n v="291"/>
    <n v="35381"/>
    <n v="26616"/>
    <n v="21596"/>
    <n v="18050"/>
    <n v="14089"/>
    <n v="12220"/>
    <n v="10450"/>
    <n v="8734"/>
    <n v="7260"/>
    <n v="5419"/>
    <n v="4581"/>
    <n v="2952"/>
    <n v="3049"/>
    <n v="1532"/>
    <n v="1465"/>
    <n v="773"/>
    <n v="601"/>
  </r>
  <r>
    <s v="NGA"/>
    <x v="0"/>
    <m/>
    <x v="6"/>
    <m/>
    <s v="KATSINA-ALA"/>
    <m/>
    <n v="168289"/>
    <n v="164261"/>
    <n v="332550"/>
    <n v="31323"/>
    <n v="26179"/>
    <n v="21335"/>
    <n v="19006"/>
    <n v="14929"/>
    <n v="11675"/>
    <n v="9867"/>
    <n v="7876"/>
    <n v="6405"/>
    <n v="5234"/>
    <n v="4112"/>
    <n v="3042"/>
    <n v="2268"/>
    <n v="1636"/>
    <n v="1445"/>
    <n v="1118"/>
    <n v="839"/>
    <n v="29005"/>
    <n v="25580"/>
    <n v="21251"/>
    <n v="18090"/>
    <n v="14700"/>
    <n v="10844"/>
    <n v="9297"/>
    <n v="7119"/>
    <n v="6698"/>
    <n v="4539"/>
    <n v="4229"/>
    <n v="2937"/>
    <n v="3363"/>
    <n v="2190"/>
    <n v="1992"/>
    <n v="1345"/>
    <n v="1082"/>
    <n v="60328"/>
    <n v="51759"/>
    <n v="42586"/>
    <n v="37096"/>
    <n v="29629"/>
    <n v="22519"/>
    <n v="19164"/>
    <n v="14995"/>
    <n v="13103"/>
    <n v="9773"/>
    <n v="8341"/>
    <n v="5979"/>
    <n v="5631"/>
    <n v="3826"/>
    <n v="3437"/>
    <n v="2463"/>
    <n v="1921"/>
  </r>
  <r>
    <s v="NGA"/>
    <x v="0"/>
    <m/>
    <x v="6"/>
    <m/>
    <s v="KONSHISHA"/>
    <m/>
    <n v="154317"/>
    <n v="152691"/>
    <n v="307008"/>
    <n v="28062"/>
    <n v="24502"/>
    <n v="20556"/>
    <n v="17024"/>
    <n v="12249"/>
    <n v="9967"/>
    <n v="8872"/>
    <n v="7538"/>
    <n v="6101"/>
    <n v="4817"/>
    <n v="3765"/>
    <n v="3006"/>
    <n v="2443"/>
    <n v="1819"/>
    <n v="1632"/>
    <n v="1201"/>
    <n v="763"/>
    <n v="27203"/>
    <n v="23860"/>
    <n v="19908"/>
    <n v="16299"/>
    <n v="12864"/>
    <n v="9531"/>
    <n v="8481"/>
    <n v="6145"/>
    <n v="6229"/>
    <n v="4295"/>
    <n v="4082"/>
    <n v="3233"/>
    <n v="3620"/>
    <n v="2479"/>
    <n v="2133"/>
    <n v="1390"/>
    <n v="939"/>
    <n v="55265"/>
    <n v="48362"/>
    <n v="40464"/>
    <n v="33323"/>
    <n v="25113"/>
    <n v="19498"/>
    <n v="17353"/>
    <n v="13683"/>
    <n v="12330"/>
    <n v="9112"/>
    <n v="7847"/>
    <n v="6239"/>
    <n v="6063"/>
    <n v="4298"/>
    <n v="3765"/>
    <n v="2591"/>
    <n v="1702"/>
  </r>
  <r>
    <s v="NGA"/>
    <x v="0"/>
    <m/>
    <x v="6"/>
    <m/>
    <s v="KWANDE"/>
    <m/>
    <n v="150692"/>
    <n v="148174"/>
    <n v="298866"/>
    <n v="27231"/>
    <n v="23275"/>
    <n v="19714"/>
    <n v="16826"/>
    <n v="12351"/>
    <n v="10232"/>
    <n v="9146"/>
    <n v="7472"/>
    <n v="6166"/>
    <n v="4886"/>
    <n v="3722"/>
    <n v="2746"/>
    <n v="2321"/>
    <n v="1688"/>
    <n v="1326"/>
    <n v="900"/>
    <n v="690"/>
    <n v="26102"/>
    <n v="23001"/>
    <n v="19571"/>
    <n v="16003"/>
    <n v="12391"/>
    <n v="9910"/>
    <n v="8408"/>
    <n v="6495"/>
    <n v="6122"/>
    <n v="4287"/>
    <n v="3992"/>
    <n v="2754"/>
    <n v="3359"/>
    <n v="2156"/>
    <n v="1757"/>
    <n v="998"/>
    <n v="868"/>
    <n v="53333"/>
    <n v="46276"/>
    <n v="39285"/>
    <n v="32829"/>
    <n v="24742"/>
    <n v="20142"/>
    <n v="17554"/>
    <n v="13967"/>
    <n v="12288"/>
    <n v="9173"/>
    <n v="7714"/>
    <n v="5500"/>
    <n v="5680"/>
    <n v="3844"/>
    <n v="3083"/>
    <n v="1898"/>
    <n v="1558"/>
  </r>
  <r>
    <s v="NGA"/>
    <x v="0"/>
    <m/>
    <x v="6"/>
    <m/>
    <s v="LOGO"/>
    <m/>
    <n v="127167"/>
    <n v="122938"/>
    <n v="250105"/>
    <n v="24216"/>
    <n v="19863"/>
    <n v="16403"/>
    <n v="13846"/>
    <n v="10327"/>
    <n v="8676"/>
    <n v="7749"/>
    <n v="6533"/>
    <n v="5255"/>
    <n v="3937"/>
    <n v="3277"/>
    <n v="2024"/>
    <n v="1724"/>
    <n v="1044"/>
    <n v="1163"/>
    <n v="646"/>
    <n v="484"/>
    <n v="23027"/>
    <n v="18855"/>
    <n v="15559"/>
    <n v="13141"/>
    <n v="10562"/>
    <n v="8831"/>
    <n v="7411"/>
    <n v="5820"/>
    <n v="5011"/>
    <n v="3511"/>
    <n v="3097"/>
    <n v="2119"/>
    <n v="2148"/>
    <n v="1363"/>
    <n v="1198"/>
    <n v="748"/>
    <n v="537"/>
    <n v="47243"/>
    <n v="38718"/>
    <n v="31962"/>
    <n v="26987"/>
    <n v="20889"/>
    <n v="17507"/>
    <n v="15160"/>
    <n v="12353"/>
    <n v="10266"/>
    <n v="7448"/>
    <n v="6374"/>
    <n v="4143"/>
    <n v="3872"/>
    <n v="2407"/>
    <n v="2361"/>
    <n v="1394"/>
    <n v="1021"/>
  </r>
  <r>
    <s v="NGA"/>
    <x v="0"/>
    <m/>
    <x v="6"/>
    <m/>
    <s v="MAKURDI"/>
    <m/>
    <n v="169652"/>
    <n v="158294"/>
    <n v="327946"/>
    <n v="24751"/>
    <n v="21456"/>
    <n v="21242"/>
    <n v="20123"/>
    <n v="18914"/>
    <n v="14947"/>
    <n v="10909"/>
    <n v="9654"/>
    <n v="7347"/>
    <n v="6890"/>
    <n v="4496"/>
    <n v="3892"/>
    <n v="1952"/>
    <n v="1435"/>
    <n v="774"/>
    <n v="515"/>
    <n v="355"/>
    <n v="23584"/>
    <n v="21763"/>
    <n v="22979"/>
    <n v="20427"/>
    <n v="16524"/>
    <n v="11759"/>
    <n v="9445"/>
    <n v="8290"/>
    <n v="6661"/>
    <n v="4920"/>
    <n v="3502"/>
    <n v="2557"/>
    <n v="2101"/>
    <n v="1438"/>
    <n v="1119"/>
    <n v="678"/>
    <n v="547"/>
    <n v="48335"/>
    <n v="43219"/>
    <n v="44221"/>
    <n v="40550"/>
    <n v="35438"/>
    <n v="26706"/>
    <n v="20354"/>
    <n v="17944"/>
    <n v="14008"/>
    <n v="11810"/>
    <n v="7998"/>
    <n v="6449"/>
    <n v="4053"/>
    <n v="2873"/>
    <n v="1893"/>
    <n v="1193"/>
    <n v="902"/>
  </r>
  <r>
    <s v="NGA"/>
    <x v="0"/>
    <m/>
    <x v="6"/>
    <m/>
    <s v="OBI"/>
    <m/>
    <n v="66856"/>
    <n v="67144"/>
    <n v="134000"/>
    <n v="12975"/>
    <n v="11061"/>
    <n v="8581"/>
    <n v="7281"/>
    <n v="5060"/>
    <n v="4268"/>
    <n v="3811"/>
    <n v="3454"/>
    <n v="2727"/>
    <n v="2051"/>
    <n v="1724"/>
    <n v="1059"/>
    <n v="1057"/>
    <n v="718"/>
    <n v="522"/>
    <n v="314"/>
    <n v="193"/>
    <n v="12371"/>
    <n v="10464"/>
    <n v="7804"/>
    <n v="7015"/>
    <n v="5445"/>
    <n v="4865"/>
    <n v="4471"/>
    <n v="3617"/>
    <n v="3173"/>
    <n v="2023"/>
    <n v="1749"/>
    <n v="1160"/>
    <n v="1339"/>
    <n v="751"/>
    <n v="496"/>
    <n v="253"/>
    <n v="148"/>
    <n v="25346"/>
    <n v="21525"/>
    <n v="16385"/>
    <n v="14296"/>
    <n v="10505"/>
    <n v="9133"/>
    <n v="8282"/>
    <n v="7071"/>
    <n v="5900"/>
    <n v="4074"/>
    <n v="3473"/>
    <n v="2219"/>
    <n v="2396"/>
    <n v="1469"/>
    <n v="1018"/>
    <n v="567"/>
    <n v="341"/>
  </r>
  <r>
    <s v="NGA"/>
    <x v="0"/>
    <m/>
    <x v="6"/>
    <m/>
    <s v="OGBADIBO"/>
    <m/>
    <n v="82678"/>
    <n v="84425"/>
    <n v="167103"/>
    <n v="15635"/>
    <n v="12589"/>
    <n v="10818"/>
    <n v="9071"/>
    <n v="6808"/>
    <n v="5308"/>
    <n v="4634"/>
    <n v="4006"/>
    <n v="3305"/>
    <n v="2724"/>
    <n v="2077"/>
    <n v="1729"/>
    <n v="1433"/>
    <n v="1120"/>
    <n v="730"/>
    <n v="476"/>
    <n v="215"/>
    <n v="15107"/>
    <n v="11946"/>
    <n v="10317"/>
    <n v="9178"/>
    <n v="6954"/>
    <n v="5882"/>
    <n v="4972"/>
    <n v="4216"/>
    <n v="3859"/>
    <n v="3091"/>
    <n v="2376"/>
    <n v="1985"/>
    <n v="1816"/>
    <n v="1354"/>
    <n v="774"/>
    <n v="367"/>
    <n v="231"/>
    <n v="30742"/>
    <n v="24535"/>
    <n v="21135"/>
    <n v="18249"/>
    <n v="13762"/>
    <n v="11190"/>
    <n v="9606"/>
    <n v="8222"/>
    <n v="7164"/>
    <n v="5815"/>
    <n v="4453"/>
    <n v="3714"/>
    <n v="3249"/>
    <n v="2474"/>
    <n v="1504"/>
    <n v="843"/>
    <n v="446"/>
  </r>
  <r>
    <s v="NGA"/>
    <x v="0"/>
    <m/>
    <x v="6"/>
    <m/>
    <s v="OHIMINI"/>
    <m/>
    <n v="55047"/>
    <n v="52923"/>
    <n v="107970"/>
    <n v="10579"/>
    <n v="8371"/>
    <n v="6935"/>
    <n v="5859"/>
    <n v="4498"/>
    <n v="3722"/>
    <n v="3329"/>
    <n v="2691"/>
    <n v="2331"/>
    <n v="1845"/>
    <n v="1378"/>
    <n v="1088"/>
    <n v="837"/>
    <n v="713"/>
    <n v="344"/>
    <n v="343"/>
    <n v="184"/>
    <n v="10130"/>
    <n v="7720"/>
    <n v="6472"/>
    <n v="5599"/>
    <n v="4517"/>
    <n v="3928"/>
    <n v="3284"/>
    <n v="2678"/>
    <n v="2221"/>
    <n v="1640"/>
    <n v="1448"/>
    <n v="910"/>
    <n v="952"/>
    <n v="596"/>
    <n v="370"/>
    <n v="220"/>
    <n v="238"/>
    <n v="20709"/>
    <n v="16091"/>
    <n v="13407"/>
    <n v="11458"/>
    <n v="9015"/>
    <n v="7650"/>
    <n v="6613"/>
    <n v="5369"/>
    <n v="4552"/>
    <n v="3485"/>
    <n v="2826"/>
    <n v="1998"/>
    <n v="1789"/>
    <n v="1309"/>
    <n v="714"/>
    <n v="563"/>
    <n v="422"/>
  </r>
  <r>
    <s v="NGA"/>
    <x v="0"/>
    <m/>
    <x v="6"/>
    <m/>
    <s v="OJU"/>
    <m/>
    <n v="114255"/>
    <n v="114481"/>
    <n v="228736"/>
    <n v="20359"/>
    <n v="17656"/>
    <n v="14872"/>
    <n v="12551"/>
    <n v="8865"/>
    <n v="7393"/>
    <n v="6559"/>
    <n v="5906"/>
    <n v="5049"/>
    <n v="4093"/>
    <n v="3235"/>
    <n v="2177"/>
    <n v="2071"/>
    <n v="1378"/>
    <n v="992"/>
    <n v="700"/>
    <n v="399"/>
    <n v="19264"/>
    <n v="16673"/>
    <n v="14295"/>
    <n v="12324"/>
    <n v="8919"/>
    <n v="8046"/>
    <n v="7412"/>
    <n v="6285"/>
    <n v="5832"/>
    <n v="3753"/>
    <n v="3420"/>
    <n v="2249"/>
    <n v="2548"/>
    <n v="1509"/>
    <n v="1042"/>
    <n v="564"/>
    <n v="346"/>
    <n v="39623"/>
    <n v="34329"/>
    <n v="29167"/>
    <n v="24875"/>
    <n v="17784"/>
    <n v="15439"/>
    <n v="13971"/>
    <n v="12191"/>
    <n v="10881"/>
    <n v="7846"/>
    <n v="6655"/>
    <n v="4426"/>
    <n v="4619"/>
    <n v="2887"/>
    <n v="2034"/>
    <n v="1264"/>
    <n v="745"/>
  </r>
  <r>
    <s v="NGA"/>
    <x v="0"/>
    <m/>
    <x v="6"/>
    <m/>
    <s v="OKPOKWU"/>
    <m/>
    <n v="151539"/>
    <n v="146018"/>
    <n v="297557"/>
    <n v="28502"/>
    <n v="22708"/>
    <n v="19508"/>
    <n v="17083"/>
    <n v="12709"/>
    <n v="10206"/>
    <n v="8853"/>
    <n v="7503"/>
    <n v="6174"/>
    <n v="5036"/>
    <n v="3979"/>
    <n v="2863"/>
    <n v="2646"/>
    <n v="1656"/>
    <n v="1084"/>
    <n v="600"/>
    <n v="429"/>
    <n v="26856"/>
    <n v="21579"/>
    <n v="18072"/>
    <n v="15586"/>
    <n v="12576"/>
    <n v="10656"/>
    <n v="8896"/>
    <n v="7192"/>
    <n v="6265"/>
    <n v="4722"/>
    <n v="3906"/>
    <n v="2767"/>
    <n v="2720"/>
    <n v="1778"/>
    <n v="1285"/>
    <n v="673"/>
    <n v="489"/>
    <n v="55358"/>
    <n v="44287"/>
    <n v="37580"/>
    <n v="32669"/>
    <n v="25285"/>
    <n v="20862"/>
    <n v="17749"/>
    <n v="14695"/>
    <n v="12439"/>
    <n v="9758"/>
    <n v="7885"/>
    <n v="5630"/>
    <n v="5366"/>
    <n v="3434"/>
    <n v="2369"/>
    <n v="1273"/>
    <n v="918"/>
  </r>
  <r>
    <s v="NGA"/>
    <x v="0"/>
    <m/>
    <x v="6"/>
    <m/>
    <s v="OTUKPO"/>
    <m/>
    <n v="209520"/>
    <n v="197409"/>
    <n v="406929"/>
    <n v="36310"/>
    <n v="28501"/>
    <n v="28077"/>
    <n v="28210"/>
    <n v="18927"/>
    <n v="14726"/>
    <n v="12101"/>
    <n v="10230"/>
    <n v="8227"/>
    <n v="6813"/>
    <n v="5088"/>
    <n v="4011"/>
    <n v="2946"/>
    <n v="2329"/>
    <n v="1395"/>
    <n v="1022"/>
    <n v="607"/>
    <n v="33872"/>
    <n v="27082"/>
    <n v="25974"/>
    <n v="23965"/>
    <n v="17774"/>
    <n v="14305"/>
    <n v="11730"/>
    <n v="9758"/>
    <n v="8368"/>
    <n v="6412"/>
    <n v="4984"/>
    <n v="3981"/>
    <n v="3493"/>
    <n v="2162"/>
    <n v="1634"/>
    <n v="1085"/>
    <n v="830"/>
    <n v="70182"/>
    <n v="55583"/>
    <n v="54051"/>
    <n v="52175"/>
    <n v="36701"/>
    <n v="29031"/>
    <n v="23831"/>
    <n v="19988"/>
    <n v="16595"/>
    <n v="13225"/>
    <n v="10072"/>
    <n v="7992"/>
    <n v="6439"/>
    <n v="4491"/>
    <n v="3029"/>
    <n v="2107"/>
    <n v="1437"/>
  </r>
  <r>
    <s v="NGA"/>
    <x v="0"/>
    <m/>
    <x v="6"/>
    <m/>
    <s v="TARKA"/>
    <m/>
    <n v="49643"/>
    <n v="49078"/>
    <n v="98721"/>
    <n v="10263"/>
    <n v="7688"/>
    <n v="6216"/>
    <n v="5103"/>
    <n v="3856"/>
    <n v="3323"/>
    <n v="2984"/>
    <n v="2538"/>
    <n v="1979"/>
    <n v="1568"/>
    <n v="1164"/>
    <n v="922"/>
    <n v="570"/>
    <n v="569"/>
    <n v="404"/>
    <n v="305"/>
    <n v="191"/>
    <n v="9632"/>
    <n v="7503"/>
    <n v="6013"/>
    <n v="5094"/>
    <n v="4245"/>
    <n v="3547"/>
    <n v="2853"/>
    <n v="2348"/>
    <n v="1895"/>
    <n v="1418"/>
    <n v="1184"/>
    <n v="1003"/>
    <n v="750"/>
    <n v="609"/>
    <n v="446"/>
    <n v="318"/>
    <n v="220"/>
    <n v="19895"/>
    <n v="15191"/>
    <n v="12229"/>
    <n v="10197"/>
    <n v="8101"/>
    <n v="6870"/>
    <n v="5837"/>
    <n v="4886"/>
    <n v="3874"/>
    <n v="2986"/>
    <n v="2348"/>
    <n v="1925"/>
    <n v="1320"/>
    <n v="1178"/>
    <n v="850"/>
    <n v="623"/>
    <n v="411"/>
  </r>
  <r>
    <s v="NGA"/>
    <x v="0"/>
    <m/>
    <x v="6"/>
    <m/>
    <s v="UKUM"/>
    <m/>
    <n v="123239"/>
    <n v="122174"/>
    <n v="245413"/>
    <n v="23271"/>
    <n v="19540"/>
    <n v="15746"/>
    <n v="13815"/>
    <n v="10475"/>
    <n v="8672"/>
    <n v="7474"/>
    <n v="6074"/>
    <n v="4915"/>
    <n v="3630"/>
    <n v="2940"/>
    <n v="1812"/>
    <n v="1685"/>
    <n v="1034"/>
    <n v="951"/>
    <n v="694"/>
    <n v="511"/>
    <n v="22368"/>
    <n v="19266"/>
    <n v="15354"/>
    <n v="13539"/>
    <n v="10840"/>
    <n v="8572"/>
    <n v="7161"/>
    <n v="5376"/>
    <n v="4843"/>
    <n v="3315"/>
    <n v="3186"/>
    <n v="1914"/>
    <n v="2326"/>
    <n v="1458"/>
    <n v="1304"/>
    <n v="699"/>
    <n v="653"/>
    <n v="45639"/>
    <n v="38806"/>
    <n v="31100"/>
    <n v="27354"/>
    <n v="21315"/>
    <n v="17244"/>
    <n v="14635"/>
    <n v="11450"/>
    <n v="9758"/>
    <n v="6945"/>
    <n v="6126"/>
    <n v="3726"/>
    <n v="4011"/>
    <n v="2492"/>
    <n v="2255"/>
    <n v="1393"/>
    <n v="1164"/>
  </r>
  <r>
    <s v="NGA"/>
    <x v="0"/>
    <m/>
    <x v="6"/>
    <m/>
    <s v="USHONGO"/>
    <m/>
    <n v="130249"/>
    <n v="130407"/>
    <n v="260656"/>
    <n v="24144"/>
    <n v="20731"/>
    <n v="17462"/>
    <n v="14715"/>
    <n v="10650"/>
    <n v="8338"/>
    <n v="7444"/>
    <n v="6122"/>
    <n v="5109"/>
    <n v="4008"/>
    <n v="3214"/>
    <n v="2387"/>
    <n v="1939"/>
    <n v="1406"/>
    <n v="1178"/>
    <n v="827"/>
    <n v="575"/>
    <n v="22896"/>
    <n v="20239"/>
    <n v="17407"/>
    <n v="14077"/>
    <n v="10991"/>
    <n v="8422"/>
    <n v="7190"/>
    <n v="5551"/>
    <n v="5267"/>
    <n v="3831"/>
    <n v="3572"/>
    <n v="2594"/>
    <n v="2905"/>
    <n v="1972"/>
    <n v="1675"/>
    <n v="1012"/>
    <n v="806"/>
    <n v="47040"/>
    <n v="40970"/>
    <n v="34869"/>
    <n v="28792"/>
    <n v="21641"/>
    <n v="16760"/>
    <n v="14634"/>
    <n v="11673"/>
    <n v="10376"/>
    <n v="7839"/>
    <n v="6786"/>
    <n v="4981"/>
    <n v="4844"/>
    <n v="3378"/>
    <n v="2853"/>
    <n v="1839"/>
    <n v="1381"/>
  </r>
  <r>
    <s v="NGA"/>
    <x v="0"/>
    <m/>
    <x v="6"/>
    <m/>
    <s v="VANDEIKYA"/>
    <m/>
    <n v="147537"/>
    <n v="148759"/>
    <n v="296296"/>
    <n v="25630"/>
    <n v="23354"/>
    <n v="20906"/>
    <n v="17185"/>
    <n v="11938"/>
    <n v="9342"/>
    <n v="8499"/>
    <n v="7023"/>
    <n v="5572"/>
    <n v="4456"/>
    <n v="3390"/>
    <n v="2734"/>
    <n v="2181"/>
    <n v="1776"/>
    <n v="1578"/>
    <n v="1136"/>
    <n v="837"/>
    <n v="24922"/>
    <n v="22938"/>
    <n v="20332"/>
    <n v="16541"/>
    <n v="12154"/>
    <n v="9129"/>
    <n v="7829"/>
    <n v="5940"/>
    <n v="5598"/>
    <n v="4220"/>
    <n v="4166"/>
    <n v="3204"/>
    <n v="3842"/>
    <n v="3041"/>
    <n v="2333"/>
    <n v="1513"/>
    <n v="1057"/>
    <n v="50552"/>
    <n v="46292"/>
    <n v="41238"/>
    <n v="33726"/>
    <n v="24092"/>
    <n v="18471"/>
    <n v="16328"/>
    <n v="12963"/>
    <n v="11170"/>
    <n v="8676"/>
    <n v="7556"/>
    <n v="5938"/>
    <n v="6023"/>
    <n v="4817"/>
    <n v="3911"/>
    <n v="2649"/>
    <n v="1894"/>
  </r>
  <r>
    <s v="NGA"/>
    <x v="0"/>
    <m/>
    <x v="7"/>
    <m/>
    <s v="ABADAM"/>
    <m/>
    <n v="91473"/>
    <n v="77867"/>
    <n v="169340"/>
    <n v="16246"/>
    <n v="13936"/>
    <n v="9531"/>
    <n v="8384"/>
    <n v="7277"/>
    <n v="6850"/>
    <n v="6577"/>
    <n v="5362"/>
    <n v="4992"/>
    <n v="3083"/>
    <n v="3013"/>
    <n v="2002"/>
    <n v="1914"/>
    <n v="913"/>
    <n v="859"/>
    <n v="293"/>
    <n v="241"/>
    <n v="14794"/>
    <n v="13217"/>
    <n v="9023"/>
    <n v="7533"/>
    <n v="7039"/>
    <n v="5474"/>
    <n v="5337"/>
    <n v="3303"/>
    <n v="3720"/>
    <n v="1697"/>
    <n v="2308"/>
    <n v="1043"/>
    <n v="1585"/>
    <n v="540"/>
    <n v="793"/>
    <n v="216"/>
    <n v="245"/>
    <n v="31040"/>
    <n v="27153"/>
    <n v="18554"/>
    <n v="15917"/>
    <n v="14316"/>
    <n v="12324"/>
    <n v="11914"/>
    <n v="8665"/>
    <n v="8712"/>
    <n v="4780"/>
    <n v="5321"/>
    <n v="3045"/>
    <n v="3499"/>
    <n v="1453"/>
    <n v="1652"/>
    <n v="509"/>
    <n v="486"/>
  </r>
  <r>
    <s v="NGA"/>
    <x v="0"/>
    <m/>
    <x v="7"/>
    <m/>
    <s v="ASKIRA/UBA"/>
    <m/>
    <n v="73691"/>
    <n v="71540"/>
    <n v="145231"/>
    <n v="13696"/>
    <n v="11006"/>
    <n v="9504"/>
    <n v="8314"/>
    <n v="6034"/>
    <n v="5030"/>
    <n v="4438"/>
    <n v="3841"/>
    <n v="3059"/>
    <n v="2393"/>
    <n v="1881"/>
    <n v="1370"/>
    <n v="1011"/>
    <n v="786"/>
    <n v="662"/>
    <n v="404"/>
    <n v="262"/>
    <n v="12905"/>
    <n v="10327"/>
    <n v="9008"/>
    <n v="7762"/>
    <n v="6014"/>
    <n v="5201"/>
    <n v="4317"/>
    <n v="3487"/>
    <n v="3015"/>
    <n v="2283"/>
    <n v="1985"/>
    <n v="1475"/>
    <n v="1281"/>
    <n v="1040"/>
    <n v="703"/>
    <n v="460"/>
    <n v="277"/>
    <n v="26601"/>
    <n v="21333"/>
    <n v="18512"/>
    <n v="16076"/>
    <n v="12048"/>
    <n v="10231"/>
    <n v="8755"/>
    <n v="7328"/>
    <n v="6074"/>
    <n v="4676"/>
    <n v="3866"/>
    <n v="2845"/>
    <n v="2292"/>
    <n v="1826"/>
    <n v="1365"/>
    <n v="864"/>
    <n v="539"/>
  </r>
  <r>
    <s v="NGA"/>
    <x v="0"/>
    <m/>
    <x v="7"/>
    <m/>
    <s v="BAMA"/>
    <m/>
    <n v="164890"/>
    <n v="160662"/>
    <n v="325552"/>
    <n v="31775"/>
    <n v="25902"/>
    <n v="18182"/>
    <n v="14354"/>
    <n v="11897"/>
    <n v="11743"/>
    <n v="11901"/>
    <n v="8494"/>
    <n v="8781"/>
    <n v="5117"/>
    <n v="5443"/>
    <n v="2801"/>
    <n v="3739"/>
    <n v="1557"/>
    <n v="1763"/>
    <n v="798"/>
    <n v="643"/>
    <n v="30400"/>
    <n v="25212"/>
    <n v="16813"/>
    <n v="15795"/>
    <n v="14950"/>
    <n v="11506"/>
    <n v="10709"/>
    <n v="6884"/>
    <n v="8001"/>
    <n v="3940"/>
    <n v="5040"/>
    <n v="2580"/>
    <n v="3621"/>
    <n v="1631"/>
    <n v="2076"/>
    <n v="731"/>
    <n v="773"/>
    <n v="62175"/>
    <n v="51114"/>
    <n v="34995"/>
    <n v="30149"/>
    <n v="26847"/>
    <n v="23249"/>
    <n v="22610"/>
    <n v="15378"/>
    <n v="16782"/>
    <n v="9057"/>
    <n v="10483"/>
    <n v="5381"/>
    <n v="7360"/>
    <n v="3188"/>
    <n v="3839"/>
    <n v="1529"/>
    <n v="1416"/>
  </r>
  <r>
    <s v="NGA"/>
    <x v="0"/>
    <m/>
    <x v="7"/>
    <m/>
    <s v="BAYO"/>
    <m/>
    <n v="55997"/>
    <n v="56606"/>
    <n v="112603"/>
    <n v="11063"/>
    <n v="9283"/>
    <n v="6827"/>
    <n v="5339"/>
    <n v="4150"/>
    <n v="3817"/>
    <n v="3585"/>
    <n v="2744"/>
    <n v="2275"/>
    <n v="1652"/>
    <n v="1589"/>
    <n v="940"/>
    <n v="968"/>
    <n v="618"/>
    <n v="594"/>
    <n v="319"/>
    <n v="234"/>
    <n v="10882"/>
    <n v="8999"/>
    <n v="6914"/>
    <n v="6192"/>
    <n v="5224"/>
    <n v="3941"/>
    <n v="3234"/>
    <n v="2248"/>
    <n v="2273"/>
    <n v="1422"/>
    <n v="1529"/>
    <n v="1004"/>
    <n v="966"/>
    <n v="522"/>
    <n v="720"/>
    <n v="307"/>
    <n v="229"/>
    <n v="21945"/>
    <n v="18282"/>
    <n v="13741"/>
    <n v="11531"/>
    <n v="9374"/>
    <n v="7758"/>
    <n v="6819"/>
    <n v="4992"/>
    <n v="4548"/>
    <n v="3074"/>
    <n v="3118"/>
    <n v="1944"/>
    <n v="1934"/>
    <n v="1140"/>
    <n v="1314"/>
    <n v="626"/>
    <n v="463"/>
  </r>
  <r>
    <s v="NGA"/>
    <x v="0"/>
    <m/>
    <x v="7"/>
    <m/>
    <s v="BIU"/>
    <m/>
    <n v="127522"/>
    <n v="118864"/>
    <n v="246386"/>
    <n v="23580"/>
    <n v="19806"/>
    <n v="16056"/>
    <n v="13173"/>
    <n v="10003"/>
    <n v="9330"/>
    <n v="8619"/>
    <n v="6922"/>
    <n v="5234"/>
    <n v="3888"/>
    <n v="2982"/>
    <n v="2439"/>
    <n v="1845"/>
    <n v="1337"/>
    <n v="1175"/>
    <n v="656"/>
    <n v="477"/>
    <n v="22491"/>
    <n v="18733"/>
    <n v="14156"/>
    <n v="12625"/>
    <n v="10833"/>
    <n v="8966"/>
    <n v="6864"/>
    <n v="5211"/>
    <n v="4887"/>
    <n v="3259"/>
    <n v="3044"/>
    <n v="2028"/>
    <n v="1985"/>
    <n v="1226"/>
    <n v="1311"/>
    <n v="733"/>
    <n v="512"/>
    <n v="46071"/>
    <n v="38539"/>
    <n v="30212"/>
    <n v="25798"/>
    <n v="20836"/>
    <n v="18296"/>
    <n v="15483"/>
    <n v="12133"/>
    <n v="10121"/>
    <n v="7147"/>
    <n v="6026"/>
    <n v="4467"/>
    <n v="3830"/>
    <n v="2563"/>
    <n v="2486"/>
    <n v="1389"/>
    <n v="989"/>
  </r>
  <r>
    <s v="NGA"/>
    <x v="0"/>
    <m/>
    <x v="7"/>
    <m/>
    <s v="CHIBOK"/>
    <m/>
    <n v="64366"/>
    <n v="61137"/>
    <n v="125503"/>
    <n v="12948"/>
    <n v="10516"/>
    <n v="8027"/>
    <n v="6364"/>
    <n v="4646"/>
    <n v="4421"/>
    <n v="4223"/>
    <n v="3598"/>
    <n v="2800"/>
    <n v="1892"/>
    <n v="1366"/>
    <n v="1218"/>
    <n v="714"/>
    <n v="521"/>
    <n v="526"/>
    <n v="340"/>
    <n v="246"/>
    <n v="11745"/>
    <n v="9606"/>
    <n v="7373"/>
    <n v="5911"/>
    <n v="5303"/>
    <n v="4885"/>
    <n v="3738"/>
    <n v="3008"/>
    <n v="2234"/>
    <n v="1735"/>
    <n v="1462"/>
    <n v="1117"/>
    <n v="831"/>
    <n v="883"/>
    <n v="680"/>
    <n v="436"/>
    <n v="190"/>
    <n v="24693"/>
    <n v="20122"/>
    <n v="15400"/>
    <n v="12275"/>
    <n v="9949"/>
    <n v="9306"/>
    <n v="7961"/>
    <n v="6606"/>
    <n v="5034"/>
    <n v="3627"/>
    <n v="2828"/>
    <n v="2335"/>
    <n v="1545"/>
    <n v="1404"/>
    <n v="1206"/>
    <n v="776"/>
    <n v="436"/>
  </r>
  <r>
    <s v="NGA"/>
    <x v="0"/>
    <m/>
    <x v="7"/>
    <m/>
    <s v="DAMBOA"/>
    <m/>
    <n v="239073"/>
    <n v="202090"/>
    <n v="441163"/>
    <n v="43086"/>
    <n v="39717"/>
    <n v="32362"/>
    <n v="27228"/>
    <n v="20040"/>
    <n v="15700"/>
    <n v="14635"/>
    <n v="11296"/>
    <n v="9754"/>
    <n v="6746"/>
    <n v="6375"/>
    <n v="3031"/>
    <n v="3705"/>
    <n v="1793"/>
    <n v="1946"/>
    <n v="920"/>
    <n v="739"/>
    <n v="38961"/>
    <n v="31094"/>
    <n v="23587"/>
    <n v="21122"/>
    <n v="17928"/>
    <n v="15027"/>
    <n v="12687"/>
    <n v="9756"/>
    <n v="8823"/>
    <n v="5655"/>
    <n v="5592"/>
    <n v="3030"/>
    <n v="3484"/>
    <n v="1592"/>
    <n v="2074"/>
    <n v="903"/>
    <n v="775"/>
    <n v="82047"/>
    <n v="70811"/>
    <n v="55949"/>
    <n v="48350"/>
    <n v="37968"/>
    <n v="30727"/>
    <n v="27322"/>
    <n v="21052"/>
    <n v="18577"/>
    <n v="12401"/>
    <n v="11967"/>
    <n v="6061"/>
    <n v="7189"/>
    <n v="3385"/>
    <n v="4020"/>
    <n v="1823"/>
    <n v="1514"/>
  </r>
  <r>
    <s v="NGA"/>
    <x v="0"/>
    <m/>
    <x v="7"/>
    <m/>
    <s v="DIKWA"/>
    <m/>
    <n v="66899"/>
    <n v="60067"/>
    <n v="126966"/>
    <n v="12993"/>
    <n v="11653"/>
    <n v="8470"/>
    <n v="7457"/>
    <n v="4725"/>
    <n v="4247"/>
    <n v="4005"/>
    <n v="3174"/>
    <n v="2802"/>
    <n v="1949"/>
    <n v="1836"/>
    <n v="975"/>
    <n v="1127"/>
    <n v="486"/>
    <n v="530"/>
    <n v="267"/>
    <n v="203"/>
    <n v="11691"/>
    <n v="9442"/>
    <n v="7094"/>
    <n v="6133"/>
    <n v="5265"/>
    <n v="4483"/>
    <n v="3807"/>
    <n v="2781"/>
    <n v="2517"/>
    <n v="1738"/>
    <n v="1609"/>
    <n v="850"/>
    <n v="1124"/>
    <n v="561"/>
    <n v="521"/>
    <n v="234"/>
    <n v="217"/>
    <n v="24684"/>
    <n v="21095"/>
    <n v="15564"/>
    <n v="13590"/>
    <n v="9990"/>
    <n v="8730"/>
    <n v="7812"/>
    <n v="5955"/>
    <n v="5319"/>
    <n v="3687"/>
    <n v="3445"/>
    <n v="1825"/>
    <n v="2251"/>
    <n v="1047"/>
    <n v="1051"/>
    <n v="501"/>
    <n v="420"/>
  </r>
  <r>
    <s v="NGA"/>
    <x v="0"/>
    <m/>
    <x v="7"/>
    <m/>
    <s v="GUBIO"/>
    <m/>
    <n v="239316"/>
    <n v="216882"/>
    <n v="456198"/>
    <n v="46232"/>
    <n v="40950"/>
    <n v="30100"/>
    <n v="24308"/>
    <n v="17316"/>
    <n v="13084"/>
    <n v="15354"/>
    <n v="12261"/>
    <n v="12023"/>
    <n v="7512"/>
    <n v="7265"/>
    <n v="2955"/>
    <n v="4318"/>
    <n v="1922"/>
    <n v="1946"/>
    <n v="1053"/>
    <n v="717"/>
    <n v="40077"/>
    <n v="33822"/>
    <n v="25070"/>
    <n v="22880"/>
    <n v="21081"/>
    <n v="17087"/>
    <n v="15197"/>
    <n v="10675"/>
    <n v="9356"/>
    <n v="5519"/>
    <n v="5164"/>
    <n v="3200"/>
    <n v="3298"/>
    <n v="1519"/>
    <n v="1450"/>
    <n v="705"/>
    <n v="782"/>
    <n v="86309"/>
    <n v="74772"/>
    <n v="55170"/>
    <n v="47188"/>
    <n v="38397"/>
    <n v="30171"/>
    <n v="30551"/>
    <n v="22936"/>
    <n v="21379"/>
    <n v="13031"/>
    <n v="12429"/>
    <n v="6155"/>
    <n v="7616"/>
    <n v="3441"/>
    <n v="3396"/>
    <n v="1758"/>
    <n v="1499"/>
  </r>
  <r>
    <s v="NGA"/>
    <x v="0"/>
    <m/>
    <x v="7"/>
    <m/>
    <s v="GUZAMALA"/>
    <m/>
    <n v="99880"/>
    <n v="90468"/>
    <n v="190348"/>
    <n v="17558"/>
    <n v="14554"/>
    <n v="11995"/>
    <n v="10949"/>
    <n v="8600"/>
    <n v="6713"/>
    <n v="6635"/>
    <n v="5161"/>
    <n v="4958"/>
    <n v="3194"/>
    <n v="2903"/>
    <n v="1887"/>
    <n v="1955"/>
    <n v="795"/>
    <n v="1114"/>
    <n v="519"/>
    <n v="390"/>
    <n v="16151"/>
    <n v="12722"/>
    <n v="10430"/>
    <n v="10356"/>
    <n v="8611"/>
    <n v="6602"/>
    <n v="5840"/>
    <n v="4598"/>
    <n v="4272"/>
    <n v="2697"/>
    <n v="2357"/>
    <n v="1616"/>
    <n v="1471"/>
    <n v="1077"/>
    <n v="834"/>
    <n v="465"/>
    <n v="369"/>
    <n v="33709"/>
    <n v="27276"/>
    <n v="22425"/>
    <n v="21305"/>
    <n v="17211"/>
    <n v="13315"/>
    <n v="12475"/>
    <n v="9759"/>
    <n v="9230"/>
    <n v="5891"/>
    <n v="5260"/>
    <n v="3503"/>
    <n v="3426"/>
    <n v="1872"/>
    <n v="1948"/>
    <n v="984"/>
    <n v="759"/>
  </r>
  <r>
    <s v="NGA"/>
    <x v="0"/>
    <m/>
    <x v="7"/>
    <m/>
    <s v="GWOZA"/>
    <m/>
    <n v="237452"/>
    <n v="219235"/>
    <n v="456687"/>
    <n v="44466"/>
    <n v="35618"/>
    <n v="30872"/>
    <n v="29057"/>
    <n v="19161"/>
    <n v="15709"/>
    <n v="14185"/>
    <n v="11627"/>
    <n v="9834"/>
    <n v="7122"/>
    <n v="5999"/>
    <n v="3959"/>
    <n v="3475"/>
    <n v="2187"/>
    <n v="2292"/>
    <n v="1048"/>
    <n v="841"/>
    <n v="41188"/>
    <n v="32780"/>
    <n v="26635"/>
    <n v="22888"/>
    <n v="19163"/>
    <n v="16144"/>
    <n v="13418"/>
    <n v="10584"/>
    <n v="9254"/>
    <n v="6573"/>
    <n v="5944"/>
    <n v="4041"/>
    <n v="3904"/>
    <n v="2423"/>
    <n v="2370"/>
    <n v="999"/>
    <n v="927"/>
    <n v="85654"/>
    <n v="68398"/>
    <n v="57507"/>
    <n v="51945"/>
    <n v="38324"/>
    <n v="31853"/>
    <n v="27603"/>
    <n v="22211"/>
    <n v="19088"/>
    <n v="13695"/>
    <n v="11943"/>
    <n v="8000"/>
    <n v="7379"/>
    <n v="4610"/>
    <n v="4662"/>
    <n v="2047"/>
    <n v="1768"/>
  </r>
  <r>
    <s v="NGA"/>
    <x v="0"/>
    <m/>
    <x v="7"/>
    <m/>
    <s v="HAWUL"/>
    <m/>
    <n v="71771"/>
    <n v="74348"/>
    <n v="146119"/>
    <n v="14942"/>
    <n v="11339"/>
    <n v="8199"/>
    <n v="6940"/>
    <n v="5358"/>
    <n v="4939"/>
    <n v="4383"/>
    <n v="3738"/>
    <n v="2865"/>
    <n v="2045"/>
    <n v="1759"/>
    <n v="1306"/>
    <n v="1155"/>
    <n v="913"/>
    <n v="899"/>
    <n v="492"/>
    <n v="499"/>
    <n v="13825"/>
    <n v="11150"/>
    <n v="8035"/>
    <n v="7475"/>
    <n v="6278"/>
    <n v="5302"/>
    <n v="4090"/>
    <n v="3118"/>
    <n v="3080"/>
    <n v="2257"/>
    <n v="2404"/>
    <n v="1744"/>
    <n v="1911"/>
    <n v="1219"/>
    <n v="1328"/>
    <n v="600"/>
    <n v="532"/>
    <n v="28767"/>
    <n v="22489"/>
    <n v="16234"/>
    <n v="14415"/>
    <n v="11636"/>
    <n v="10241"/>
    <n v="8473"/>
    <n v="6856"/>
    <n v="5945"/>
    <n v="4302"/>
    <n v="4163"/>
    <n v="3050"/>
    <n v="3066"/>
    <n v="2132"/>
    <n v="2227"/>
    <n v="1092"/>
    <n v="1031"/>
  </r>
  <r>
    <s v="NGA"/>
    <x v="0"/>
    <m/>
    <x v="7"/>
    <m/>
    <s v="JERE"/>
    <m/>
    <n v="108489"/>
    <n v="100594"/>
    <n v="209083"/>
    <n v="19494"/>
    <n v="15757"/>
    <n v="12730"/>
    <n v="10200"/>
    <n v="10602"/>
    <n v="9187"/>
    <n v="6898"/>
    <n v="5697"/>
    <n v="5052"/>
    <n v="3585"/>
    <n v="2867"/>
    <n v="2296"/>
    <n v="1669"/>
    <n v="991"/>
    <n v="815"/>
    <n v="376"/>
    <n v="273"/>
    <n v="18782"/>
    <n v="15426"/>
    <n v="12007"/>
    <n v="10379"/>
    <n v="10395"/>
    <n v="7451"/>
    <n v="6148"/>
    <n v="4492"/>
    <n v="4559"/>
    <n v="2556"/>
    <n v="2640"/>
    <n v="1498"/>
    <n v="1693"/>
    <n v="867"/>
    <n v="1011"/>
    <n v="339"/>
    <n v="351"/>
    <n v="38276"/>
    <n v="31183"/>
    <n v="24737"/>
    <n v="20579"/>
    <n v="20997"/>
    <n v="16638"/>
    <n v="13046"/>
    <n v="10189"/>
    <n v="9611"/>
    <n v="6141"/>
    <n v="5507"/>
    <n v="3794"/>
    <n v="3362"/>
    <n v="1858"/>
    <n v="1826"/>
    <n v="715"/>
    <n v="624"/>
  </r>
  <r>
    <s v="NGA"/>
    <x v="0"/>
    <m/>
    <x v="7"/>
    <m/>
    <s v="KAGA"/>
    <m/>
    <n v="71494"/>
    <n v="64277"/>
    <n v="135771"/>
    <n v="12976"/>
    <n v="11920"/>
    <n v="8497"/>
    <n v="6935"/>
    <n v="5417"/>
    <n v="4885"/>
    <n v="4974"/>
    <n v="3458"/>
    <n v="3909"/>
    <n v="2091"/>
    <n v="2236"/>
    <n v="1043"/>
    <n v="1529"/>
    <n v="652"/>
    <n v="641"/>
    <n v="149"/>
    <n v="182"/>
    <n v="12070"/>
    <n v="10324"/>
    <n v="6615"/>
    <n v="6729"/>
    <n v="6010"/>
    <n v="4811"/>
    <n v="4707"/>
    <n v="2871"/>
    <n v="2997"/>
    <n v="1586"/>
    <n v="1864"/>
    <n v="898"/>
    <n v="1250"/>
    <n v="517"/>
    <n v="644"/>
    <n v="203"/>
    <n v="181"/>
    <n v="25046"/>
    <n v="22244"/>
    <n v="15112"/>
    <n v="13664"/>
    <n v="11427"/>
    <n v="9696"/>
    <n v="9681"/>
    <n v="6329"/>
    <n v="6906"/>
    <n v="3677"/>
    <n v="4100"/>
    <n v="1941"/>
    <n v="2779"/>
    <n v="1169"/>
    <n v="1285"/>
    <n v="352"/>
    <n v="363"/>
  </r>
  <r>
    <s v="NGA"/>
    <x v="0"/>
    <m/>
    <x v="7"/>
    <m/>
    <s v="KALA/BALGE"/>
    <m/>
    <n v="61945"/>
    <n v="58269"/>
    <n v="120214"/>
    <n v="12013"/>
    <n v="10323"/>
    <n v="7818"/>
    <n v="6131"/>
    <n v="4598"/>
    <n v="3990"/>
    <n v="3727"/>
    <n v="3071"/>
    <n v="2752"/>
    <n v="2068"/>
    <n v="1761"/>
    <n v="1027"/>
    <n v="951"/>
    <n v="590"/>
    <n v="645"/>
    <n v="281"/>
    <n v="199"/>
    <n v="10990"/>
    <n v="9480"/>
    <n v="7168"/>
    <n v="6069"/>
    <n v="4886"/>
    <n v="4204"/>
    <n v="3587"/>
    <n v="2820"/>
    <n v="2379"/>
    <n v="1586"/>
    <n v="1572"/>
    <n v="975"/>
    <n v="914"/>
    <n v="541"/>
    <n v="630"/>
    <n v="218"/>
    <n v="250"/>
    <n v="23003"/>
    <n v="19803"/>
    <n v="14986"/>
    <n v="12200"/>
    <n v="9484"/>
    <n v="8194"/>
    <n v="7314"/>
    <n v="5891"/>
    <n v="5131"/>
    <n v="3654"/>
    <n v="3333"/>
    <n v="2002"/>
    <n v="1865"/>
    <n v="1131"/>
    <n v="1275"/>
    <n v="499"/>
    <n v="449"/>
  </r>
  <r>
    <s v="NGA"/>
    <x v="0"/>
    <m/>
    <x v="7"/>
    <m/>
    <s v="KONDUGA"/>
    <m/>
    <n v="83493"/>
    <n v="80453"/>
    <n v="163946"/>
    <n v="15088"/>
    <n v="12872"/>
    <n v="9098"/>
    <n v="7466"/>
    <n v="6248"/>
    <n v="5550"/>
    <n v="5944"/>
    <n v="4231"/>
    <n v="4784"/>
    <n v="2714"/>
    <n v="3221"/>
    <n v="1582"/>
    <n v="2154"/>
    <n v="815"/>
    <n v="1033"/>
    <n v="342"/>
    <n v="351"/>
    <n v="14452"/>
    <n v="12650"/>
    <n v="8449"/>
    <n v="7984"/>
    <n v="7451"/>
    <n v="5664"/>
    <n v="5753"/>
    <n v="3507"/>
    <n v="4374"/>
    <n v="2135"/>
    <n v="2605"/>
    <n v="1213"/>
    <n v="1913"/>
    <n v="674"/>
    <n v="999"/>
    <n v="316"/>
    <n v="314"/>
    <n v="29540"/>
    <n v="25522"/>
    <n v="17547"/>
    <n v="15450"/>
    <n v="13699"/>
    <n v="11214"/>
    <n v="11697"/>
    <n v="7738"/>
    <n v="9158"/>
    <n v="4849"/>
    <n v="5826"/>
    <n v="2795"/>
    <n v="4067"/>
    <n v="1489"/>
    <n v="2032"/>
    <n v="658"/>
    <n v="665"/>
  </r>
  <r>
    <s v="NGA"/>
    <x v="0"/>
    <m/>
    <x v="7"/>
    <m/>
    <s v="KUKAWA"/>
    <m/>
    <n v="218146"/>
    <n v="185028"/>
    <n v="403174"/>
    <n v="40197"/>
    <n v="32381"/>
    <n v="23698"/>
    <n v="19952"/>
    <n v="17715"/>
    <n v="16358"/>
    <n v="15908"/>
    <n v="12510"/>
    <n v="11506"/>
    <n v="7454"/>
    <n v="6676"/>
    <n v="4376"/>
    <n v="4122"/>
    <n v="1931"/>
    <n v="2015"/>
    <n v="727"/>
    <n v="620"/>
    <n v="36358"/>
    <n v="30106"/>
    <n v="21200"/>
    <n v="19116"/>
    <n v="17320"/>
    <n v="13879"/>
    <n v="12397"/>
    <n v="8506"/>
    <n v="8378"/>
    <n v="4170"/>
    <n v="4571"/>
    <n v="2586"/>
    <n v="2624"/>
    <n v="1242"/>
    <n v="1424"/>
    <n v="574"/>
    <n v="577"/>
    <n v="76555"/>
    <n v="62487"/>
    <n v="44898"/>
    <n v="39068"/>
    <n v="35035"/>
    <n v="30237"/>
    <n v="28305"/>
    <n v="21016"/>
    <n v="19884"/>
    <n v="11624"/>
    <n v="11247"/>
    <n v="6962"/>
    <n v="6746"/>
    <n v="3173"/>
    <n v="3439"/>
    <n v="1301"/>
    <n v="1197"/>
  </r>
  <r>
    <s v="NGA"/>
    <x v="0"/>
    <m/>
    <x v="7"/>
    <m/>
    <s v="KWAYA KUSAR"/>
    <m/>
    <n v="41323"/>
    <n v="39423"/>
    <n v="80746"/>
    <n v="7553"/>
    <n v="6527"/>
    <n v="5634"/>
    <n v="4524"/>
    <n v="3115"/>
    <n v="2958"/>
    <n v="2618"/>
    <n v="1987"/>
    <n v="1510"/>
    <n v="1080"/>
    <n v="1050"/>
    <n v="717"/>
    <n v="689"/>
    <n v="434"/>
    <n v="475"/>
    <n v="237"/>
    <n v="215"/>
    <n v="7316"/>
    <n v="6040"/>
    <n v="4524"/>
    <n v="4392"/>
    <n v="3583"/>
    <n v="2706"/>
    <n v="2259"/>
    <n v="1602"/>
    <n v="1711"/>
    <n v="996"/>
    <n v="1198"/>
    <n v="733"/>
    <n v="850"/>
    <n v="493"/>
    <n v="551"/>
    <n v="223"/>
    <n v="246"/>
    <n v="14869"/>
    <n v="12567"/>
    <n v="10158"/>
    <n v="8916"/>
    <n v="6698"/>
    <n v="5664"/>
    <n v="4877"/>
    <n v="3589"/>
    <n v="3221"/>
    <n v="2076"/>
    <n v="2248"/>
    <n v="1450"/>
    <n v="1539"/>
    <n v="927"/>
    <n v="1026"/>
    <n v="460"/>
    <n v="461"/>
  </r>
  <r>
    <s v="NGA"/>
    <x v="0"/>
    <m/>
    <x v="7"/>
    <m/>
    <s v="MAFA"/>
    <m/>
    <n v="106130"/>
    <n v="99480"/>
    <n v="205610"/>
    <n v="19498"/>
    <n v="17283"/>
    <n v="12586"/>
    <n v="9446"/>
    <n v="7522"/>
    <n v="6866"/>
    <n v="7355"/>
    <n v="5378"/>
    <n v="5787"/>
    <n v="3307"/>
    <n v="3675"/>
    <n v="1992"/>
    <n v="2316"/>
    <n v="1033"/>
    <n v="1262"/>
    <n v="441"/>
    <n v="383"/>
    <n v="17791"/>
    <n v="16306"/>
    <n v="11733"/>
    <n v="9756"/>
    <n v="9117"/>
    <n v="7014"/>
    <n v="6807"/>
    <n v="4634"/>
    <n v="4761"/>
    <n v="2351"/>
    <n v="2939"/>
    <n v="1473"/>
    <n v="1983"/>
    <n v="967"/>
    <n v="1073"/>
    <n v="375"/>
    <n v="400"/>
    <n v="37289"/>
    <n v="33589"/>
    <n v="24319"/>
    <n v="19202"/>
    <n v="16639"/>
    <n v="13880"/>
    <n v="14162"/>
    <n v="10012"/>
    <n v="10548"/>
    <n v="5658"/>
    <n v="6614"/>
    <n v="3465"/>
    <n v="4299"/>
    <n v="2000"/>
    <n v="2335"/>
    <n v="816"/>
    <n v="783"/>
  </r>
  <r>
    <s v="NGA"/>
    <x v="0"/>
    <m/>
    <x v="7"/>
    <m/>
    <s v="MAGUMERI"/>
    <m/>
    <n v="167354"/>
    <n v="155109"/>
    <n v="322463"/>
    <n v="31717"/>
    <n v="28313"/>
    <n v="18853"/>
    <n v="15125"/>
    <n v="12331"/>
    <n v="11002"/>
    <n v="11874"/>
    <n v="8439"/>
    <n v="8945"/>
    <n v="4969"/>
    <n v="5383"/>
    <n v="2581"/>
    <n v="3500"/>
    <n v="1458"/>
    <n v="1711"/>
    <n v="628"/>
    <n v="525"/>
    <n v="28371"/>
    <n v="24802"/>
    <n v="16281"/>
    <n v="17259"/>
    <n v="15530"/>
    <n v="11127"/>
    <n v="10733"/>
    <n v="6953"/>
    <n v="7055"/>
    <n v="3869"/>
    <n v="4342"/>
    <n v="2225"/>
    <n v="2806"/>
    <n v="1320"/>
    <n v="1337"/>
    <n v="607"/>
    <n v="492"/>
    <n v="60088"/>
    <n v="53115"/>
    <n v="35134"/>
    <n v="32384"/>
    <n v="27861"/>
    <n v="22129"/>
    <n v="22607"/>
    <n v="15392"/>
    <n v="16000"/>
    <n v="8838"/>
    <n v="9725"/>
    <n v="4806"/>
    <n v="6306"/>
    <n v="2778"/>
    <n v="3048"/>
    <n v="1235"/>
    <n v="1017"/>
  </r>
  <r>
    <s v="NGA"/>
    <x v="0"/>
    <m/>
    <x v="7"/>
    <m/>
    <s v="MAIDUGURI"/>
    <m/>
    <n v="283893"/>
    <n v="255924"/>
    <n v="539817"/>
    <n v="49468"/>
    <n v="41662"/>
    <n v="36859"/>
    <n v="29077"/>
    <n v="25350"/>
    <n v="21506"/>
    <n v="17083"/>
    <n v="15064"/>
    <n v="12865"/>
    <n v="10340"/>
    <n v="7569"/>
    <n v="6861"/>
    <n v="3910"/>
    <n v="2665"/>
    <n v="1774"/>
    <n v="1112"/>
    <n v="728"/>
    <n v="47484"/>
    <n v="39907"/>
    <n v="33428"/>
    <n v="25997"/>
    <n v="22836"/>
    <n v="18027"/>
    <n v="15085"/>
    <n v="12159"/>
    <n v="10914"/>
    <n v="7033"/>
    <n v="6797"/>
    <n v="4527"/>
    <n v="4189"/>
    <n v="2495"/>
    <n v="2458"/>
    <n v="1342"/>
    <n v="1246"/>
    <n v="96952"/>
    <n v="81569"/>
    <n v="70287"/>
    <n v="55074"/>
    <n v="48186"/>
    <n v="39533"/>
    <n v="32168"/>
    <n v="27223"/>
    <n v="23779"/>
    <n v="17373"/>
    <n v="14366"/>
    <n v="11388"/>
    <n v="8099"/>
    <n v="5160"/>
    <n v="4232"/>
    <n v="2454"/>
    <n v="1974"/>
  </r>
  <r>
    <s v="NGA"/>
    <x v="0"/>
    <m/>
    <x v="7"/>
    <m/>
    <s v="MARTE"/>
    <m/>
    <n v="127952"/>
    <n v="115407"/>
    <n v="243359"/>
    <n v="23570"/>
    <n v="20863"/>
    <n v="15180"/>
    <n v="12526"/>
    <n v="9900"/>
    <n v="8684"/>
    <n v="7960"/>
    <n v="6562"/>
    <n v="6110"/>
    <n v="4206"/>
    <n v="4110"/>
    <n v="2255"/>
    <n v="2686"/>
    <n v="1158"/>
    <n v="1295"/>
    <n v="493"/>
    <n v="394"/>
    <n v="22004"/>
    <n v="18700"/>
    <n v="13540"/>
    <n v="11585"/>
    <n v="9926"/>
    <n v="8369"/>
    <n v="7485"/>
    <n v="5487"/>
    <n v="5178"/>
    <n v="2984"/>
    <n v="3431"/>
    <n v="1490"/>
    <n v="2205"/>
    <n v="905"/>
    <n v="1198"/>
    <n v="454"/>
    <n v="466"/>
    <n v="45574"/>
    <n v="39563"/>
    <n v="28720"/>
    <n v="24111"/>
    <n v="19826"/>
    <n v="17053"/>
    <n v="15445"/>
    <n v="12049"/>
    <n v="11288"/>
    <n v="7190"/>
    <n v="7541"/>
    <n v="3745"/>
    <n v="4891"/>
    <n v="2063"/>
    <n v="2493"/>
    <n v="947"/>
    <n v="860"/>
  </r>
  <r>
    <s v="NGA"/>
    <x v="0"/>
    <m/>
    <x v="7"/>
    <m/>
    <s v="MOBBAR"/>
    <m/>
    <n v="104482"/>
    <n v="92896"/>
    <n v="197378"/>
    <n v="18612"/>
    <n v="16940"/>
    <n v="13241"/>
    <n v="10646"/>
    <n v="7967"/>
    <n v="6989"/>
    <n v="7017"/>
    <n v="5229"/>
    <n v="5178"/>
    <n v="3128"/>
    <n v="3159"/>
    <n v="1792"/>
    <n v="2047"/>
    <n v="871"/>
    <n v="987"/>
    <n v="385"/>
    <n v="294"/>
    <n v="16922"/>
    <n v="15187"/>
    <n v="10727"/>
    <n v="9579"/>
    <n v="8686"/>
    <n v="6762"/>
    <n v="6432"/>
    <n v="4192"/>
    <n v="4080"/>
    <n v="2377"/>
    <n v="2730"/>
    <n v="1191"/>
    <n v="1710"/>
    <n v="789"/>
    <n v="871"/>
    <n v="343"/>
    <n v="318"/>
    <n v="35534"/>
    <n v="32127"/>
    <n v="23968"/>
    <n v="20225"/>
    <n v="16653"/>
    <n v="13751"/>
    <n v="13449"/>
    <n v="9421"/>
    <n v="9258"/>
    <n v="5505"/>
    <n v="5889"/>
    <n v="2983"/>
    <n v="3757"/>
    <n v="1660"/>
    <n v="1858"/>
    <n v="728"/>
    <n v="612"/>
  </r>
  <r>
    <s v="NGA"/>
    <x v="0"/>
    <m/>
    <x v="7"/>
    <m/>
    <s v="MONGUNO"/>
    <m/>
    <n v="80016"/>
    <n v="73422"/>
    <n v="153438"/>
    <n v="14200"/>
    <n v="12680"/>
    <n v="10059"/>
    <n v="8410"/>
    <n v="6023"/>
    <n v="5236"/>
    <n v="5086"/>
    <n v="4128"/>
    <n v="4088"/>
    <n v="2546"/>
    <n v="2578"/>
    <n v="1345"/>
    <n v="1658"/>
    <n v="658"/>
    <n v="773"/>
    <n v="290"/>
    <n v="258"/>
    <n v="13173"/>
    <n v="10961"/>
    <n v="8930"/>
    <n v="8602"/>
    <n v="6216"/>
    <n v="5091"/>
    <n v="4854"/>
    <n v="3390"/>
    <n v="3432"/>
    <n v="1945"/>
    <n v="2263"/>
    <n v="987"/>
    <n v="1578"/>
    <n v="616"/>
    <n v="853"/>
    <n v="247"/>
    <n v="284"/>
    <n v="27373"/>
    <n v="23641"/>
    <n v="18989"/>
    <n v="17012"/>
    <n v="12239"/>
    <n v="10327"/>
    <n v="9940"/>
    <n v="7518"/>
    <n v="7520"/>
    <n v="4491"/>
    <n v="4841"/>
    <n v="2332"/>
    <n v="3236"/>
    <n v="1274"/>
    <n v="1626"/>
    <n v="537"/>
    <n v="542"/>
  </r>
  <r>
    <s v="NGA"/>
    <x v="0"/>
    <m/>
    <x v="7"/>
    <m/>
    <s v="NGALA"/>
    <m/>
    <n v="242344"/>
    <n v="224924"/>
    <n v="467268"/>
    <n v="49570"/>
    <n v="39602"/>
    <n v="30290"/>
    <n v="24617"/>
    <n v="18501"/>
    <n v="15565"/>
    <n v="13797"/>
    <n v="11980"/>
    <n v="10085"/>
    <n v="7841"/>
    <n v="6208"/>
    <n v="4404"/>
    <n v="4002"/>
    <n v="2446"/>
    <n v="2004"/>
    <n v="791"/>
    <n v="641"/>
    <n v="46300"/>
    <n v="35444"/>
    <n v="26790"/>
    <n v="22197"/>
    <n v="18537"/>
    <n v="16113"/>
    <n v="13895"/>
    <n v="10779"/>
    <n v="9274"/>
    <n v="6471"/>
    <n v="6206"/>
    <n v="3056"/>
    <n v="4340"/>
    <n v="1609"/>
    <n v="2106"/>
    <n v="1049"/>
    <n v="758"/>
    <n v="95870"/>
    <n v="75046"/>
    <n v="57080"/>
    <n v="46814"/>
    <n v="37038"/>
    <n v="31678"/>
    <n v="27692"/>
    <n v="22759"/>
    <n v="19359"/>
    <n v="14312"/>
    <n v="12414"/>
    <n v="7460"/>
    <n v="8342"/>
    <n v="4055"/>
    <n v="4110"/>
    <n v="1840"/>
    <n v="1399"/>
  </r>
  <r>
    <s v="NGA"/>
    <x v="0"/>
    <m/>
    <x v="7"/>
    <m/>
    <s v="NGANZAI"/>
    <m/>
    <n v="142525"/>
    <n v="133967"/>
    <n v="276492"/>
    <n v="28484"/>
    <n v="22555"/>
    <n v="18413"/>
    <n v="15020"/>
    <n v="11040"/>
    <n v="9012"/>
    <n v="8343"/>
    <n v="7169"/>
    <n v="6104"/>
    <n v="4560"/>
    <n v="4072"/>
    <n v="1831"/>
    <n v="2643"/>
    <n v="1339"/>
    <n v="1192"/>
    <n v="410"/>
    <n v="338"/>
    <n v="26406"/>
    <n v="20535"/>
    <n v="16039"/>
    <n v="13781"/>
    <n v="11616"/>
    <n v="9916"/>
    <n v="8374"/>
    <n v="6504"/>
    <n v="5612"/>
    <n v="4064"/>
    <n v="3830"/>
    <n v="1746"/>
    <n v="2230"/>
    <n v="838"/>
    <n v="1220"/>
    <n v="749"/>
    <n v="507"/>
    <n v="54890"/>
    <n v="43090"/>
    <n v="34452"/>
    <n v="28801"/>
    <n v="22656"/>
    <n v="18928"/>
    <n v="16717"/>
    <n v="13673"/>
    <n v="11716"/>
    <n v="8624"/>
    <n v="7902"/>
    <n v="3577"/>
    <n v="4873"/>
    <n v="2177"/>
    <n v="2412"/>
    <n v="1159"/>
    <n v="845"/>
  </r>
  <r>
    <s v="NGA"/>
    <x v="0"/>
    <m/>
    <x v="7"/>
    <m/>
    <s v="SHANI"/>
    <m/>
    <n v="68352"/>
    <n v="65785"/>
    <n v="134137"/>
    <n v="13920"/>
    <n v="10981"/>
    <n v="8792"/>
    <n v="6955"/>
    <n v="5254"/>
    <n v="4610"/>
    <n v="3868"/>
    <n v="3403"/>
    <n v="2798"/>
    <n v="2096"/>
    <n v="1760"/>
    <n v="1118"/>
    <n v="981"/>
    <n v="584"/>
    <n v="701"/>
    <n v="285"/>
    <n v="246"/>
    <n v="13338"/>
    <n v="10005"/>
    <n v="7678"/>
    <n v="6831"/>
    <n v="5662"/>
    <n v="4781"/>
    <n v="3862"/>
    <n v="3015"/>
    <n v="2750"/>
    <n v="1899"/>
    <n v="1840"/>
    <n v="965"/>
    <n v="1167"/>
    <n v="845"/>
    <n v="574"/>
    <n v="323"/>
    <n v="250"/>
    <n v="27258"/>
    <n v="20986"/>
    <n v="16470"/>
    <n v="13786"/>
    <n v="10916"/>
    <n v="9391"/>
    <n v="7730"/>
    <n v="6418"/>
    <n v="5548"/>
    <n v="3995"/>
    <n v="3600"/>
    <n v="2083"/>
    <n v="2148"/>
    <n v="1429"/>
    <n v="1275"/>
    <n v="608"/>
    <n v="496"/>
  </r>
  <r>
    <s v="NGA"/>
    <x v="0"/>
    <m/>
    <x v="8"/>
    <m/>
    <s v="ABI"/>
    <m/>
    <n v="116505"/>
    <n v="114733"/>
    <n v="231238"/>
    <n v="14433"/>
    <n v="15308"/>
    <n v="15279"/>
    <n v="14289"/>
    <n v="11563"/>
    <n v="8561"/>
    <n v="6791"/>
    <n v="6211"/>
    <n v="5744"/>
    <n v="5077"/>
    <n v="4050"/>
    <n v="3128"/>
    <n v="2905"/>
    <n v="1603"/>
    <n v="786"/>
    <n v="418"/>
    <n v="359"/>
    <n v="13609"/>
    <n v="14141"/>
    <n v="14248"/>
    <n v="12809"/>
    <n v="9709"/>
    <n v="8322"/>
    <n v="7491"/>
    <n v="7514"/>
    <n v="6025"/>
    <n v="5506"/>
    <n v="3931"/>
    <n v="3698"/>
    <n v="3378"/>
    <n v="2571"/>
    <n v="846"/>
    <n v="602"/>
    <n v="333"/>
    <n v="28042"/>
    <n v="29449"/>
    <n v="29527"/>
    <n v="27098"/>
    <n v="21272"/>
    <n v="16883"/>
    <n v="14282"/>
    <n v="13725"/>
    <n v="11769"/>
    <n v="10583"/>
    <n v="7981"/>
    <n v="6826"/>
    <n v="6283"/>
    <n v="4174"/>
    <n v="1632"/>
    <n v="1020"/>
    <n v="692"/>
  </r>
  <r>
    <s v="NGA"/>
    <x v="0"/>
    <m/>
    <x v="8"/>
    <m/>
    <s v="AKAMKPA"/>
    <m/>
    <n v="85004"/>
    <n v="79944"/>
    <n v="164948"/>
    <n v="11000"/>
    <n v="11228"/>
    <n v="10897"/>
    <n v="10064"/>
    <n v="7932"/>
    <n v="6410"/>
    <n v="5480"/>
    <n v="4889"/>
    <n v="4465"/>
    <n v="3832"/>
    <n v="2836"/>
    <n v="1922"/>
    <n v="1600"/>
    <n v="1082"/>
    <n v="724"/>
    <n v="448"/>
    <n v="195"/>
    <n v="10287"/>
    <n v="10708"/>
    <n v="10158"/>
    <n v="9398"/>
    <n v="7304"/>
    <n v="6102"/>
    <n v="5464"/>
    <n v="5098"/>
    <n v="4194"/>
    <n v="3453"/>
    <n v="2500"/>
    <n v="1753"/>
    <n v="1436"/>
    <n v="949"/>
    <n v="584"/>
    <n v="354"/>
    <n v="202"/>
    <n v="21287"/>
    <n v="21936"/>
    <n v="21055"/>
    <n v="19462"/>
    <n v="15236"/>
    <n v="12512"/>
    <n v="10944"/>
    <n v="9987"/>
    <n v="8659"/>
    <n v="7285"/>
    <n v="5336"/>
    <n v="3675"/>
    <n v="3036"/>
    <n v="2031"/>
    <n v="1308"/>
    <n v="802"/>
    <n v="397"/>
  </r>
  <r>
    <s v="NGA"/>
    <x v="0"/>
    <m/>
    <x v="8"/>
    <m/>
    <s v="AKPABUYO"/>
    <m/>
    <n v="322807"/>
    <n v="297367"/>
    <n v="620174"/>
    <n v="41852"/>
    <n v="43557"/>
    <n v="41725"/>
    <n v="38642"/>
    <n v="29771"/>
    <n v="24619"/>
    <n v="21045"/>
    <n v="17946"/>
    <n v="16292"/>
    <n v="13025"/>
    <n v="10796"/>
    <n v="7015"/>
    <n v="6395"/>
    <n v="4739"/>
    <n v="2772"/>
    <n v="1728"/>
    <n v="888"/>
    <n v="39610"/>
    <n v="39109"/>
    <n v="37225"/>
    <n v="35426"/>
    <n v="26535"/>
    <n v="21917"/>
    <n v="19895"/>
    <n v="18132"/>
    <n v="15383"/>
    <n v="11812"/>
    <n v="9392"/>
    <n v="7059"/>
    <n v="5777"/>
    <n v="4675"/>
    <n v="2771"/>
    <n v="1677"/>
    <n v="972"/>
    <n v="81462"/>
    <n v="82666"/>
    <n v="78950"/>
    <n v="74068"/>
    <n v="56306"/>
    <n v="46536"/>
    <n v="40940"/>
    <n v="36078"/>
    <n v="31675"/>
    <n v="24837"/>
    <n v="20188"/>
    <n v="14074"/>
    <n v="12172"/>
    <n v="9414"/>
    <n v="5543"/>
    <n v="3405"/>
    <n v="1860"/>
  </r>
  <r>
    <s v="NGA"/>
    <x v="0"/>
    <m/>
    <x v="8"/>
    <m/>
    <s v="BEKWARRA"/>
    <m/>
    <n v="75328"/>
    <n v="75818"/>
    <n v="151146"/>
    <n v="9744"/>
    <n v="10310"/>
    <n v="9837"/>
    <n v="9237"/>
    <n v="7161"/>
    <n v="5386"/>
    <n v="4376"/>
    <n v="4029"/>
    <n v="3648"/>
    <n v="3127"/>
    <n v="2465"/>
    <n v="1941"/>
    <n v="1377"/>
    <n v="1153"/>
    <n v="647"/>
    <n v="543"/>
    <n v="347"/>
    <n v="9238"/>
    <n v="9685"/>
    <n v="9414"/>
    <n v="8630"/>
    <n v="6320"/>
    <n v="5421"/>
    <n v="4838"/>
    <n v="4768"/>
    <n v="3869"/>
    <n v="3544"/>
    <n v="2736"/>
    <n v="2073"/>
    <n v="1824"/>
    <n v="1810"/>
    <n v="912"/>
    <n v="525"/>
    <n v="211"/>
    <n v="18982"/>
    <n v="19995"/>
    <n v="19251"/>
    <n v="17867"/>
    <n v="13481"/>
    <n v="10807"/>
    <n v="9214"/>
    <n v="8797"/>
    <n v="7517"/>
    <n v="6671"/>
    <n v="5201"/>
    <n v="4014"/>
    <n v="3201"/>
    <n v="2963"/>
    <n v="1559"/>
    <n v="1068"/>
    <n v="558"/>
  </r>
  <r>
    <s v="NGA"/>
    <x v="0"/>
    <m/>
    <x v="8"/>
    <m/>
    <s v="BIASE"/>
    <m/>
    <n v="123845"/>
    <n v="119671"/>
    <n v="243516"/>
    <n v="15422"/>
    <n v="16633"/>
    <n v="16488"/>
    <n v="15229"/>
    <n v="11936"/>
    <n v="8835"/>
    <n v="7287"/>
    <n v="6639"/>
    <n v="6224"/>
    <n v="5372"/>
    <n v="4253"/>
    <n v="2924"/>
    <n v="2759"/>
    <n v="1736"/>
    <n v="1099"/>
    <n v="651"/>
    <n v="358"/>
    <n v="14848"/>
    <n v="15382"/>
    <n v="15329"/>
    <n v="13822"/>
    <n v="10160"/>
    <n v="8672"/>
    <n v="7941"/>
    <n v="7835"/>
    <n v="6243"/>
    <n v="5593"/>
    <n v="4305"/>
    <n v="3052"/>
    <n v="2513"/>
    <n v="1869"/>
    <n v="976"/>
    <n v="760"/>
    <n v="371"/>
    <n v="30270"/>
    <n v="32015"/>
    <n v="31817"/>
    <n v="29051"/>
    <n v="22096"/>
    <n v="17507"/>
    <n v="15228"/>
    <n v="14474"/>
    <n v="12467"/>
    <n v="10965"/>
    <n v="8558"/>
    <n v="5976"/>
    <n v="5272"/>
    <n v="3605"/>
    <n v="2075"/>
    <n v="1411"/>
    <n v="729"/>
  </r>
  <r>
    <s v="NGA"/>
    <x v="0"/>
    <m/>
    <x v="8"/>
    <m/>
    <s v="BOKI"/>
    <m/>
    <n v="106645"/>
    <n v="102742"/>
    <n v="209387"/>
    <n v="13314"/>
    <n v="14136"/>
    <n v="14083"/>
    <n v="13156"/>
    <n v="10334"/>
    <n v="7790"/>
    <n v="6538"/>
    <n v="5917"/>
    <n v="5283"/>
    <n v="4480"/>
    <n v="3537"/>
    <n v="2487"/>
    <n v="2053"/>
    <n v="1571"/>
    <n v="952"/>
    <n v="572"/>
    <n v="442"/>
    <n v="12635"/>
    <n v="13131"/>
    <n v="13066"/>
    <n v="11760"/>
    <n v="8884"/>
    <n v="7566"/>
    <n v="6829"/>
    <n v="6560"/>
    <n v="5328"/>
    <n v="4718"/>
    <n v="3584"/>
    <n v="2568"/>
    <n v="2205"/>
    <n v="1494"/>
    <n v="1157"/>
    <n v="756"/>
    <n v="501"/>
    <n v="25949"/>
    <n v="27267"/>
    <n v="27149"/>
    <n v="24916"/>
    <n v="19218"/>
    <n v="15356"/>
    <n v="13367"/>
    <n v="12477"/>
    <n v="10611"/>
    <n v="9198"/>
    <n v="7121"/>
    <n v="5055"/>
    <n v="4258"/>
    <n v="3065"/>
    <n v="2109"/>
    <n v="1328"/>
    <n v="943"/>
  </r>
  <r>
    <s v="NGA"/>
    <x v="0"/>
    <m/>
    <x v="8"/>
    <m/>
    <s v="CALABAR MUNICIPALITY"/>
    <m/>
    <n v="93863"/>
    <n v="88893"/>
    <n v="182756"/>
    <n v="10276"/>
    <n v="9493"/>
    <n v="10248"/>
    <n v="9790"/>
    <n v="12865"/>
    <n v="10812"/>
    <n v="6922"/>
    <n v="6314"/>
    <n v="5027"/>
    <n v="4662"/>
    <n v="2564"/>
    <n v="2467"/>
    <n v="967"/>
    <n v="760"/>
    <n v="326"/>
    <n v="249"/>
    <n v="121"/>
    <n v="10103"/>
    <n v="9546"/>
    <n v="12159"/>
    <n v="12234"/>
    <n v="11907"/>
    <n v="8089"/>
    <n v="5927"/>
    <n v="5110"/>
    <n v="3832"/>
    <n v="3081"/>
    <n v="1996"/>
    <n v="1647"/>
    <n v="1147"/>
    <n v="916"/>
    <n v="613"/>
    <n v="394"/>
    <n v="192"/>
    <n v="20379"/>
    <n v="19039"/>
    <n v="22407"/>
    <n v="22024"/>
    <n v="24772"/>
    <n v="18901"/>
    <n v="12849"/>
    <n v="11424"/>
    <n v="8859"/>
    <n v="7743"/>
    <n v="4560"/>
    <n v="4114"/>
    <n v="2114"/>
    <n v="1676"/>
    <n v="939"/>
    <n v="643"/>
    <n v="313"/>
  </r>
  <r>
    <s v="NGA"/>
    <x v="0"/>
    <m/>
    <x v="8"/>
    <m/>
    <s v="CALABAR SOUTH"/>
    <m/>
    <n v="95291"/>
    <n v="95260"/>
    <n v="190551"/>
    <n v="10508"/>
    <n v="9740"/>
    <n v="10775"/>
    <n v="10203"/>
    <n v="12543"/>
    <n v="10392"/>
    <n v="6962"/>
    <n v="6340"/>
    <n v="4994"/>
    <n v="4708"/>
    <n v="2730"/>
    <n v="2371"/>
    <n v="1051"/>
    <n v="984"/>
    <n v="470"/>
    <n v="381"/>
    <n v="139"/>
    <n v="10673"/>
    <n v="10205"/>
    <n v="12357"/>
    <n v="12747"/>
    <n v="12696"/>
    <n v="8434"/>
    <n v="6263"/>
    <n v="5757"/>
    <n v="4292"/>
    <n v="3274"/>
    <n v="2591"/>
    <n v="1957"/>
    <n v="1347"/>
    <n v="1086"/>
    <n v="811"/>
    <n v="488"/>
    <n v="282"/>
    <n v="21181"/>
    <n v="19945"/>
    <n v="23132"/>
    <n v="22950"/>
    <n v="25239"/>
    <n v="18826"/>
    <n v="13225"/>
    <n v="12097"/>
    <n v="9286"/>
    <n v="7982"/>
    <n v="5321"/>
    <n v="4328"/>
    <n v="2398"/>
    <n v="2070"/>
    <n v="1281"/>
    <n v="869"/>
    <n v="421"/>
  </r>
  <r>
    <s v="NGA"/>
    <x v="0"/>
    <m/>
    <x v="8"/>
    <m/>
    <s v="ETUNG"/>
    <m/>
    <n v="47135"/>
    <n v="44535"/>
    <n v="91670"/>
    <n v="5869"/>
    <n v="6159"/>
    <n v="6028"/>
    <n v="5800"/>
    <n v="4544"/>
    <n v="3655"/>
    <n v="3111"/>
    <n v="2668"/>
    <n v="2442"/>
    <n v="1955"/>
    <n v="1496"/>
    <n v="1078"/>
    <n v="837"/>
    <n v="715"/>
    <n v="373"/>
    <n v="274"/>
    <n v="131"/>
    <n v="5609"/>
    <n v="5916"/>
    <n v="5805"/>
    <n v="5280"/>
    <n v="3960"/>
    <n v="3333"/>
    <n v="2979"/>
    <n v="2754"/>
    <n v="2199"/>
    <n v="1874"/>
    <n v="1422"/>
    <n v="1051"/>
    <n v="914"/>
    <n v="602"/>
    <n v="424"/>
    <n v="271"/>
    <n v="142"/>
    <n v="11478"/>
    <n v="12075"/>
    <n v="11833"/>
    <n v="11080"/>
    <n v="8504"/>
    <n v="6988"/>
    <n v="6090"/>
    <n v="5422"/>
    <n v="4641"/>
    <n v="3829"/>
    <n v="2918"/>
    <n v="2129"/>
    <n v="1751"/>
    <n v="1317"/>
    <n v="797"/>
    <n v="545"/>
    <n v="273"/>
  </r>
  <r>
    <s v="NGA"/>
    <x v="0"/>
    <m/>
    <x v="8"/>
    <m/>
    <s v="IKOM"/>
    <m/>
    <n v="95006"/>
    <n v="92475"/>
    <n v="187481"/>
    <n v="12640"/>
    <n v="12894"/>
    <n v="12308"/>
    <n v="11605"/>
    <n v="9110"/>
    <n v="7891"/>
    <n v="6471"/>
    <n v="5439"/>
    <n v="4396"/>
    <n v="3624"/>
    <n v="2586"/>
    <n v="2039"/>
    <n v="1458"/>
    <n v="1098"/>
    <n v="707"/>
    <n v="486"/>
    <n v="254"/>
    <n v="12048"/>
    <n v="12618"/>
    <n v="12360"/>
    <n v="11283"/>
    <n v="8906"/>
    <n v="7088"/>
    <n v="5910"/>
    <n v="5117"/>
    <n v="4239"/>
    <n v="3445"/>
    <n v="2589"/>
    <n v="1909"/>
    <n v="1873"/>
    <n v="1313"/>
    <n v="921"/>
    <n v="490"/>
    <n v="366"/>
    <n v="24688"/>
    <n v="25512"/>
    <n v="24668"/>
    <n v="22888"/>
    <n v="18016"/>
    <n v="14979"/>
    <n v="12381"/>
    <n v="10556"/>
    <n v="8635"/>
    <n v="7069"/>
    <n v="5175"/>
    <n v="3948"/>
    <n v="3331"/>
    <n v="2411"/>
    <n v="1628"/>
    <n v="976"/>
    <n v="620"/>
  </r>
  <r>
    <s v="NGA"/>
    <x v="0"/>
    <m/>
    <x v="8"/>
    <m/>
    <s v="OBANLIKU"/>
    <m/>
    <n v="109628"/>
    <n v="105594"/>
    <n v="215222"/>
    <n v="13637"/>
    <n v="14248"/>
    <n v="14347"/>
    <n v="13165"/>
    <n v="10764"/>
    <n v="8192"/>
    <n v="6503"/>
    <n v="5884"/>
    <n v="5376"/>
    <n v="4757"/>
    <n v="3819"/>
    <n v="2708"/>
    <n v="1903"/>
    <n v="2012"/>
    <n v="1113"/>
    <n v="808"/>
    <n v="392"/>
    <n v="12800"/>
    <n v="13204"/>
    <n v="13327"/>
    <n v="11898"/>
    <n v="8720"/>
    <n v="7795"/>
    <n v="6965"/>
    <n v="6828"/>
    <n v="5593"/>
    <n v="5086"/>
    <n v="3725"/>
    <n v="3148"/>
    <n v="2345"/>
    <n v="1893"/>
    <n v="1070"/>
    <n v="772"/>
    <n v="425"/>
    <n v="26437"/>
    <n v="27452"/>
    <n v="27674"/>
    <n v="25063"/>
    <n v="19484"/>
    <n v="15987"/>
    <n v="13468"/>
    <n v="12712"/>
    <n v="10969"/>
    <n v="9843"/>
    <n v="7544"/>
    <n v="5856"/>
    <n v="4248"/>
    <n v="3905"/>
    <n v="2183"/>
    <n v="1580"/>
    <n v="817"/>
  </r>
  <r>
    <s v="NGA"/>
    <x v="0"/>
    <m/>
    <x v="8"/>
    <m/>
    <s v="OBUBRA"/>
    <m/>
    <n v="97569"/>
    <n v="95817"/>
    <n v="193386"/>
    <n v="12815"/>
    <n v="13250"/>
    <n v="12784"/>
    <n v="11948"/>
    <n v="9338"/>
    <n v="7089"/>
    <n v="5836"/>
    <n v="5169"/>
    <n v="4848"/>
    <n v="3937"/>
    <n v="3107"/>
    <n v="2368"/>
    <n v="1873"/>
    <n v="1309"/>
    <n v="977"/>
    <n v="614"/>
    <n v="307"/>
    <n v="12170"/>
    <n v="12364"/>
    <n v="12139"/>
    <n v="10941"/>
    <n v="8246"/>
    <n v="7021"/>
    <n v="6431"/>
    <n v="6083"/>
    <n v="4964"/>
    <n v="4170"/>
    <n v="3284"/>
    <n v="2297"/>
    <n v="1983"/>
    <n v="1755"/>
    <n v="933"/>
    <n v="677"/>
    <n v="359"/>
    <n v="24985"/>
    <n v="25614"/>
    <n v="24923"/>
    <n v="22889"/>
    <n v="17584"/>
    <n v="14110"/>
    <n v="12267"/>
    <n v="11252"/>
    <n v="9812"/>
    <n v="8107"/>
    <n v="6391"/>
    <n v="4665"/>
    <n v="3856"/>
    <n v="3064"/>
    <n v="1910"/>
    <n v="1291"/>
    <n v="666"/>
  </r>
  <r>
    <s v="NGA"/>
    <x v="0"/>
    <m/>
    <x v="8"/>
    <m/>
    <s v="OBUDU"/>
    <m/>
    <n v="134900"/>
    <n v="132835"/>
    <n v="267735"/>
    <n v="17305"/>
    <n v="17936"/>
    <n v="18006"/>
    <n v="16841"/>
    <n v="13061"/>
    <n v="10002"/>
    <n v="8064"/>
    <n v="7272"/>
    <n v="6365"/>
    <n v="5526"/>
    <n v="4376"/>
    <n v="3223"/>
    <n v="2495"/>
    <n v="1917"/>
    <n v="1336"/>
    <n v="690"/>
    <n v="485"/>
    <n v="16400"/>
    <n v="16860"/>
    <n v="16818"/>
    <n v="15356"/>
    <n v="11775"/>
    <n v="9905"/>
    <n v="8450"/>
    <n v="8333"/>
    <n v="6621"/>
    <n v="6013"/>
    <n v="4653"/>
    <n v="3402"/>
    <n v="2844"/>
    <n v="2594"/>
    <n v="1392"/>
    <n v="932"/>
    <n v="487"/>
    <n v="33705"/>
    <n v="34796"/>
    <n v="34824"/>
    <n v="32197"/>
    <n v="24836"/>
    <n v="19907"/>
    <n v="16514"/>
    <n v="15605"/>
    <n v="12986"/>
    <n v="11539"/>
    <n v="9029"/>
    <n v="6625"/>
    <n v="5339"/>
    <n v="4511"/>
    <n v="2728"/>
    <n v="1622"/>
    <n v="972"/>
  </r>
  <r>
    <s v="NGA"/>
    <x v="0"/>
    <m/>
    <x v="8"/>
    <m/>
    <s v="ODUKPANI"/>
    <m/>
    <n v="138239"/>
    <n v="126743"/>
    <n v="264982"/>
    <n v="17168"/>
    <n v="18616"/>
    <n v="17857"/>
    <n v="16311"/>
    <n v="13061"/>
    <n v="10586"/>
    <n v="8876"/>
    <n v="7925"/>
    <n v="7150"/>
    <n v="5770"/>
    <n v="4674"/>
    <n v="3233"/>
    <n v="2721"/>
    <n v="1848"/>
    <n v="1285"/>
    <n v="768"/>
    <n v="390"/>
    <n v="15760"/>
    <n v="16729"/>
    <n v="15980"/>
    <n v="14481"/>
    <n v="10904"/>
    <n v="9322"/>
    <n v="8656"/>
    <n v="8192"/>
    <n v="6545"/>
    <n v="5637"/>
    <n v="4064"/>
    <n v="3336"/>
    <n v="2761"/>
    <n v="1962"/>
    <n v="1151"/>
    <n v="825"/>
    <n v="438"/>
    <n v="32928"/>
    <n v="35345"/>
    <n v="33837"/>
    <n v="30792"/>
    <n v="23965"/>
    <n v="19908"/>
    <n v="17532"/>
    <n v="16117"/>
    <n v="13695"/>
    <n v="11407"/>
    <n v="8738"/>
    <n v="6569"/>
    <n v="5482"/>
    <n v="3810"/>
    <n v="2436"/>
    <n v="1593"/>
    <n v="828"/>
  </r>
  <r>
    <s v="NGA"/>
    <x v="0"/>
    <m/>
    <x v="8"/>
    <m/>
    <s v="OGOJA"/>
    <m/>
    <n v="124353"/>
    <n v="121466"/>
    <n v="245819"/>
    <n v="15960"/>
    <n v="16489"/>
    <n v="16312"/>
    <n v="15629"/>
    <n v="12311"/>
    <n v="9145"/>
    <n v="7363"/>
    <n v="6483"/>
    <n v="5840"/>
    <n v="5274"/>
    <n v="4035"/>
    <n v="3066"/>
    <n v="2242"/>
    <n v="1998"/>
    <n v="1066"/>
    <n v="774"/>
    <n v="366"/>
    <n v="15176"/>
    <n v="15447"/>
    <n v="15651"/>
    <n v="14323"/>
    <n v="10800"/>
    <n v="8870"/>
    <n v="7795"/>
    <n v="7537"/>
    <n v="6131"/>
    <n v="5459"/>
    <n v="4068"/>
    <n v="3108"/>
    <n v="2669"/>
    <n v="1966"/>
    <n v="1167"/>
    <n v="831"/>
    <n v="468"/>
    <n v="31136"/>
    <n v="31936"/>
    <n v="31963"/>
    <n v="29952"/>
    <n v="23111"/>
    <n v="18015"/>
    <n v="15158"/>
    <n v="14020"/>
    <n v="11971"/>
    <n v="10733"/>
    <n v="8103"/>
    <n v="6174"/>
    <n v="4911"/>
    <n v="3964"/>
    <n v="2233"/>
    <n v="1605"/>
    <n v="834"/>
  </r>
  <r>
    <s v="NGA"/>
    <x v="0"/>
    <m/>
    <x v="8"/>
    <m/>
    <s v="YAKURR"/>
    <m/>
    <n v="125914"/>
    <n v="123225"/>
    <n v="249139"/>
    <n v="15652"/>
    <n v="16413"/>
    <n v="16573"/>
    <n v="15347"/>
    <n v="12467"/>
    <n v="9365"/>
    <n v="7328"/>
    <n v="6710"/>
    <n v="6122"/>
    <n v="5365"/>
    <n v="4276"/>
    <n v="3221"/>
    <n v="2597"/>
    <n v="1952"/>
    <n v="1290"/>
    <n v="835"/>
    <n v="401"/>
    <n v="14725"/>
    <n v="15304"/>
    <n v="15439"/>
    <n v="13874"/>
    <n v="10555"/>
    <n v="8955"/>
    <n v="7974"/>
    <n v="7982"/>
    <n v="6406"/>
    <n v="5881"/>
    <n v="4566"/>
    <n v="3345"/>
    <n v="3183"/>
    <n v="1977"/>
    <n v="1563"/>
    <n v="1077"/>
    <n v="419"/>
    <n v="30377"/>
    <n v="31717"/>
    <n v="32012"/>
    <n v="29221"/>
    <n v="23022"/>
    <n v="18320"/>
    <n v="15302"/>
    <n v="14692"/>
    <n v="12528"/>
    <n v="11246"/>
    <n v="8842"/>
    <n v="6566"/>
    <n v="5780"/>
    <n v="3929"/>
    <n v="2853"/>
    <n v="1912"/>
    <n v="820"/>
  </r>
  <r>
    <s v="NGA"/>
    <x v="0"/>
    <m/>
    <x v="8"/>
    <m/>
    <s v="YALA"/>
    <m/>
    <n v="123655"/>
    <n v="125460"/>
    <n v="249115"/>
    <n v="17875"/>
    <n v="17391"/>
    <n v="16788"/>
    <n v="15064"/>
    <n v="11037"/>
    <n v="8492"/>
    <n v="6991"/>
    <n v="6130"/>
    <n v="5628"/>
    <n v="4786"/>
    <n v="3984"/>
    <n v="2809"/>
    <n v="2578"/>
    <n v="1713"/>
    <n v="1230"/>
    <n v="716"/>
    <n v="443"/>
    <n v="17411"/>
    <n v="16677"/>
    <n v="15592"/>
    <n v="14201"/>
    <n v="10257"/>
    <n v="8746"/>
    <n v="7938"/>
    <n v="7277"/>
    <n v="6269"/>
    <n v="5312"/>
    <n v="4220"/>
    <n v="3348"/>
    <n v="2940"/>
    <n v="2208"/>
    <n v="1398"/>
    <n v="1128"/>
    <n v="538"/>
    <n v="35286"/>
    <n v="34068"/>
    <n v="32380"/>
    <n v="29265"/>
    <n v="21294"/>
    <n v="17238"/>
    <n v="14929"/>
    <n v="13407"/>
    <n v="11897"/>
    <n v="10098"/>
    <n v="8204"/>
    <n v="6157"/>
    <n v="5518"/>
    <n v="3921"/>
    <n v="2628"/>
    <n v="1844"/>
    <n v="981"/>
  </r>
  <r>
    <s v="NGA"/>
    <x v="0"/>
    <m/>
    <x v="9"/>
    <m/>
    <s v="ANIOCHA NORTH"/>
    <m/>
    <n v="77346"/>
    <n v="77321"/>
    <n v="154667"/>
    <n v="8328"/>
    <n v="8583"/>
    <n v="9768"/>
    <n v="9946"/>
    <n v="8198"/>
    <n v="5964"/>
    <n v="4747"/>
    <n v="4054"/>
    <n v="3450"/>
    <n v="3246"/>
    <n v="2567"/>
    <n v="2711"/>
    <n v="1746"/>
    <n v="1721"/>
    <n v="1056"/>
    <n v="933"/>
    <n v="328"/>
    <n v="8053"/>
    <n v="8290"/>
    <n v="10014"/>
    <n v="9375"/>
    <n v="6720"/>
    <n v="5372"/>
    <n v="4577"/>
    <n v="4493"/>
    <n v="3913"/>
    <n v="3673"/>
    <n v="2981"/>
    <n v="3206"/>
    <n v="1924"/>
    <n v="2031"/>
    <n v="1220"/>
    <n v="1021"/>
    <n v="458"/>
    <n v="16381"/>
    <n v="16873"/>
    <n v="19782"/>
    <n v="19321"/>
    <n v="14918"/>
    <n v="11336"/>
    <n v="9324"/>
    <n v="8547"/>
    <n v="7363"/>
    <n v="6919"/>
    <n v="5548"/>
    <n v="5917"/>
    <n v="3670"/>
    <n v="3752"/>
    <n v="2276"/>
    <n v="1954"/>
    <n v="786"/>
  </r>
  <r>
    <s v="NGA"/>
    <x v="0"/>
    <m/>
    <x v="9"/>
    <m/>
    <s v="ANIOCHA SOUTH"/>
    <m/>
    <n v="78912"/>
    <n v="85443"/>
    <n v="164355"/>
    <n v="10974"/>
    <n v="9328"/>
    <n v="10035"/>
    <n v="9099"/>
    <n v="7174"/>
    <n v="5263"/>
    <n v="4351"/>
    <n v="3879"/>
    <n v="3231"/>
    <n v="3265"/>
    <n v="2610"/>
    <n v="2934"/>
    <n v="1948"/>
    <n v="2090"/>
    <n v="1282"/>
    <n v="1034"/>
    <n v="415"/>
    <n v="10916"/>
    <n v="9070"/>
    <n v="9823"/>
    <n v="9057"/>
    <n v="7037"/>
    <n v="4974"/>
    <n v="4629"/>
    <n v="4404"/>
    <n v="4198"/>
    <n v="4074"/>
    <n v="3562"/>
    <n v="4108"/>
    <n v="2836"/>
    <n v="2769"/>
    <n v="1771"/>
    <n v="1501"/>
    <n v="714"/>
    <n v="21890"/>
    <n v="18398"/>
    <n v="19858"/>
    <n v="18156"/>
    <n v="14211"/>
    <n v="10237"/>
    <n v="8980"/>
    <n v="8283"/>
    <n v="7429"/>
    <n v="7339"/>
    <n v="6172"/>
    <n v="7042"/>
    <n v="4784"/>
    <n v="4859"/>
    <n v="3053"/>
    <n v="2535"/>
    <n v="1129"/>
  </r>
  <r>
    <s v="NGA"/>
    <x v="0"/>
    <m/>
    <x v="9"/>
    <m/>
    <s v="BOMADI"/>
    <m/>
    <n v="53430"/>
    <n v="52589"/>
    <n v="106019"/>
    <n v="6875"/>
    <n v="7171"/>
    <n v="7007"/>
    <n v="6352"/>
    <n v="5231"/>
    <n v="3904"/>
    <n v="3201"/>
    <n v="2890"/>
    <n v="2486"/>
    <n v="2184"/>
    <n v="1716"/>
    <n v="1636"/>
    <n v="783"/>
    <n v="977"/>
    <n v="430"/>
    <n v="384"/>
    <n v="203"/>
    <n v="6460"/>
    <n v="6641"/>
    <n v="6544"/>
    <n v="5843"/>
    <n v="4444"/>
    <n v="3823"/>
    <n v="3361"/>
    <n v="3444"/>
    <n v="2688"/>
    <n v="2557"/>
    <n v="1950"/>
    <n v="1460"/>
    <n v="1243"/>
    <n v="1095"/>
    <n v="564"/>
    <n v="270"/>
    <n v="202"/>
    <n v="13335"/>
    <n v="13812"/>
    <n v="13551"/>
    <n v="12195"/>
    <n v="9675"/>
    <n v="7727"/>
    <n v="6562"/>
    <n v="6334"/>
    <n v="5174"/>
    <n v="4741"/>
    <n v="3666"/>
    <n v="3096"/>
    <n v="2026"/>
    <n v="2072"/>
    <n v="994"/>
    <n v="654"/>
    <n v="405"/>
  </r>
  <r>
    <s v="NGA"/>
    <x v="0"/>
    <m/>
    <x v="9"/>
    <m/>
    <s v="BURUTU"/>
    <m/>
    <n v="114430"/>
    <n v="110545"/>
    <n v="224975"/>
    <n v="14503"/>
    <n v="15191"/>
    <n v="14902"/>
    <n v="13818"/>
    <n v="10888"/>
    <n v="8229"/>
    <n v="6914"/>
    <n v="6316"/>
    <n v="5731"/>
    <n v="4883"/>
    <n v="4049"/>
    <n v="2665"/>
    <n v="2238"/>
    <n v="1566"/>
    <n v="1326"/>
    <n v="788"/>
    <n v="423"/>
    <n v="13554"/>
    <n v="14128"/>
    <n v="13895"/>
    <n v="12377"/>
    <n v="9269"/>
    <n v="8004"/>
    <n v="7192"/>
    <n v="7155"/>
    <n v="5677"/>
    <n v="5193"/>
    <n v="3730"/>
    <n v="3352"/>
    <n v="2756"/>
    <n v="1765"/>
    <n v="1339"/>
    <n v="669"/>
    <n v="490"/>
    <n v="28057"/>
    <n v="29319"/>
    <n v="28797"/>
    <n v="26195"/>
    <n v="20157"/>
    <n v="16233"/>
    <n v="14106"/>
    <n v="13471"/>
    <n v="11408"/>
    <n v="10076"/>
    <n v="7779"/>
    <n v="6017"/>
    <n v="4994"/>
    <n v="3331"/>
    <n v="2665"/>
    <n v="1457"/>
    <n v="913"/>
  </r>
  <r>
    <s v="NGA"/>
    <x v="0"/>
    <m/>
    <x v="9"/>
    <m/>
    <s v="ETHIOPE EAST"/>
    <m/>
    <n v="155789"/>
    <n v="152952"/>
    <n v="308741"/>
    <n v="19561"/>
    <n v="19774"/>
    <n v="19838"/>
    <n v="18956"/>
    <n v="17552"/>
    <n v="12472"/>
    <n v="8925"/>
    <n v="8017"/>
    <n v="7266"/>
    <n v="6333"/>
    <n v="5069"/>
    <n v="3771"/>
    <n v="2681"/>
    <n v="2296"/>
    <n v="1431"/>
    <n v="1202"/>
    <n v="645"/>
    <n v="18275"/>
    <n v="18471"/>
    <n v="18933"/>
    <n v="17287"/>
    <n v="14729"/>
    <n v="11359"/>
    <n v="9740"/>
    <n v="9467"/>
    <n v="7548"/>
    <n v="6970"/>
    <n v="4935"/>
    <n v="5061"/>
    <n v="2796"/>
    <n v="2711"/>
    <n v="2138"/>
    <n v="1549"/>
    <n v="983"/>
    <n v="37836"/>
    <n v="38245"/>
    <n v="38771"/>
    <n v="36243"/>
    <n v="32281"/>
    <n v="23831"/>
    <n v="18665"/>
    <n v="17484"/>
    <n v="14814"/>
    <n v="13303"/>
    <n v="10004"/>
    <n v="8832"/>
    <n v="5477"/>
    <n v="5007"/>
    <n v="3569"/>
    <n v="2751"/>
    <n v="1628"/>
  </r>
  <r>
    <s v="NGA"/>
    <x v="0"/>
    <m/>
    <x v="9"/>
    <m/>
    <s v="ETHIOPE WEST"/>
    <m/>
    <n v="170890"/>
    <n v="167162"/>
    <n v="338052"/>
    <n v="22274"/>
    <n v="22305"/>
    <n v="22125"/>
    <n v="21153"/>
    <n v="17330"/>
    <n v="12977"/>
    <n v="10152"/>
    <n v="9148"/>
    <n v="8055"/>
    <n v="7089"/>
    <n v="5542"/>
    <n v="4107"/>
    <n v="3114"/>
    <n v="2290"/>
    <n v="1511"/>
    <n v="975"/>
    <n v="743"/>
    <n v="21121"/>
    <n v="21048"/>
    <n v="21343"/>
    <n v="19318"/>
    <n v="14620"/>
    <n v="12216"/>
    <n v="10817"/>
    <n v="10381"/>
    <n v="8319"/>
    <n v="7382"/>
    <n v="5311"/>
    <n v="5274"/>
    <n v="3402"/>
    <n v="2675"/>
    <n v="1624"/>
    <n v="1400"/>
    <n v="911"/>
    <n v="43395"/>
    <n v="43353"/>
    <n v="43468"/>
    <n v="40471"/>
    <n v="31950"/>
    <n v="25193"/>
    <n v="20969"/>
    <n v="19529"/>
    <n v="16374"/>
    <n v="14471"/>
    <n v="10853"/>
    <n v="9381"/>
    <n v="6516"/>
    <n v="4965"/>
    <n v="3135"/>
    <n v="2375"/>
    <n v="1654"/>
  </r>
  <r>
    <s v="NGA"/>
    <x v="0"/>
    <m/>
    <x v="9"/>
    <m/>
    <s v="IKA NORTH EAST"/>
    <m/>
    <n v="114757"/>
    <n v="115435"/>
    <n v="230192"/>
    <n v="13315"/>
    <n v="13359"/>
    <n v="14798"/>
    <n v="14544"/>
    <n v="12690"/>
    <n v="9191"/>
    <n v="6787"/>
    <n v="6036"/>
    <n v="5319"/>
    <n v="4897"/>
    <n v="3465"/>
    <n v="3710"/>
    <n v="2049"/>
    <n v="2171"/>
    <n v="1179"/>
    <n v="796"/>
    <n v="451"/>
    <n v="12854"/>
    <n v="12882"/>
    <n v="14501"/>
    <n v="13859"/>
    <n v="10870"/>
    <n v="8499"/>
    <n v="7207"/>
    <n v="6934"/>
    <n v="5902"/>
    <n v="5408"/>
    <n v="3921"/>
    <n v="4366"/>
    <n v="2589"/>
    <n v="2342"/>
    <n v="1596"/>
    <n v="1115"/>
    <n v="590"/>
    <n v="26169"/>
    <n v="26241"/>
    <n v="29299"/>
    <n v="28403"/>
    <n v="23560"/>
    <n v="17690"/>
    <n v="13994"/>
    <n v="12970"/>
    <n v="11221"/>
    <n v="10305"/>
    <n v="7386"/>
    <n v="8076"/>
    <n v="4638"/>
    <n v="4513"/>
    <n v="2775"/>
    <n v="1911"/>
    <n v="1041"/>
  </r>
  <r>
    <s v="NGA"/>
    <x v="0"/>
    <m/>
    <x v="9"/>
    <m/>
    <s v="IKA SOUTH"/>
    <m/>
    <n v="109617"/>
    <n v="113113"/>
    <n v="222730"/>
    <n v="13503"/>
    <n v="12612"/>
    <n v="13672"/>
    <n v="14070"/>
    <n v="12389"/>
    <n v="9159"/>
    <n v="6933"/>
    <n v="5971"/>
    <n v="4732"/>
    <n v="4339"/>
    <n v="3298"/>
    <n v="3189"/>
    <n v="1926"/>
    <n v="1725"/>
    <n v="997"/>
    <n v="721"/>
    <n v="381"/>
    <n v="12945"/>
    <n v="12338"/>
    <n v="13982"/>
    <n v="13513"/>
    <n v="12292"/>
    <n v="8539"/>
    <n v="7079"/>
    <n v="6616"/>
    <n v="5347"/>
    <n v="5186"/>
    <n v="3536"/>
    <n v="3991"/>
    <n v="2431"/>
    <n v="2196"/>
    <n v="1387"/>
    <n v="1064"/>
    <n v="671"/>
    <n v="26448"/>
    <n v="24950"/>
    <n v="27654"/>
    <n v="27583"/>
    <n v="24681"/>
    <n v="17698"/>
    <n v="14012"/>
    <n v="12587"/>
    <n v="10079"/>
    <n v="9525"/>
    <n v="6834"/>
    <n v="7180"/>
    <n v="4357"/>
    <n v="3921"/>
    <n v="2384"/>
    <n v="1785"/>
    <n v="1052"/>
  </r>
  <r>
    <s v="NGA"/>
    <x v="0"/>
    <m/>
    <x v="9"/>
    <m/>
    <s v="ISOKO NORTH"/>
    <m/>
    <n v="80202"/>
    <n v="80355"/>
    <n v="160557"/>
    <n v="9876"/>
    <n v="10201"/>
    <n v="10620"/>
    <n v="10363"/>
    <n v="8458"/>
    <n v="6037"/>
    <n v="4676"/>
    <n v="4156"/>
    <n v="3721"/>
    <n v="3262"/>
    <n v="2446"/>
    <n v="2212"/>
    <n v="1187"/>
    <n v="1234"/>
    <n v="793"/>
    <n v="644"/>
    <n v="316"/>
    <n v="9389"/>
    <n v="9638"/>
    <n v="10176"/>
    <n v="9272"/>
    <n v="7245"/>
    <n v="5677"/>
    <n v="5019"/>
    <n v="4910"/>
    <n v="3929"/>
    <n v="3686"/>
    <n v="2684"/>
    <n v="2589"/>
    <n v="1794"/>
    <n v="1794"/>
    <n v="1148"/>
    <n v="871"/>
    <n v="534"/>
    <n v="19265"/>
    <n v="19839"/>
    <n v="20796"/>
    <n v="19635"/>
    <n v="15703"/>
    <n v="11714"/>
    <n v="9695"/>
    <n v="9066"/>
    <n v="7650"/>
    <n v="6948"/>
    <n v="5130"/>
    <n v="4801"/>
    <n v="2981"/>
    <n v="3028"/>
    <n v="1941"/>
    <n v="1515"/>
    <n v="850"/>
  </r>
  <r>
    <s v="NGA"/>
    <x v="0"/>
    <m/>
    <x v="9"/>
    <m/>
    <s v="ISOKO SOUTH"/>
    <m/>
    <n v="161297"/>
    <n v="158164"/>
    <n v="319461"/>
    <n v="19528"/>
    <n v="20361"/>
    <n v="21134"/>
    <n v="20654"/>
    <n v="16373"/>
    <n v="12019"/>
    <n v="9383"/>
    <n v="8369"/>
    <n v="7647"/>
    <n v="6875"/>
    <n v="5352"/>
    <n v="4319"/>
    <n v="3048"/>
    <n v="2570"/>
    <n v="1658"/>
    <n v="1335"/>
    <n v="672"/>
    <n v="18448"/>
    <n v="19281"/>
    <n v="19913"/>
    <n v="18751"/>
    <n v="13783"/>
    <n v="11451"/>
    <n v="9982"/>
    <n v="9816"/>
    <n v="8063"/>
    <n v="7386"/>
    <n v="5457"/>
    <n v="5056"/>
    <n v="3672"/>
    <n v="2983"/>
    <n v="1934"/>
    <n v="1372"/>
    <n v="816"/>
    <n v="37976"/>
    <n v="39642"/>
    <n v="41047"/>
    <n v="39405"/>
    <n v="30156"/>
    <n v="23470"/>
    <n v="19365"/>
    <n v="18185"/>
    <n v="15710"/>
    <n v="14261"/>
    <n v="10809"/>
    <n v="9375"/>
    <n v="6720"/>
    <n v="5553"/>
    <n v="3592"/>
    <n v="2707"/>
    <n v="1488"/>
  </r>
  <r>
    <s v="NGA"/>
    <x v="0"/>
    <m/>
    <x v="9"/>
    <m/>
    <s v="NDOKWA EAST"/>
    <m/>
    <n v="61803"/>
    <n v="61103"/>
    <n v="122906"/>
    <n v="7900"/>
    <n v="7970"/>
    <n v="7722"/>
    <n v="7407"/>
    <n v="5862"/>
    <n v="4583"/>
    <n v="3769"/>
    <n v="3318"/>
    <n v="2875"/>
    <n v="2509"/>
    <n v="1948"/>
    <n v="1688"/>
    <n v="1265"/>
    <n v="1259"/>
    <n v="792"/>
    <n v="635"/>
    <n v="301"/>
    <n v="7762"/>
    <n v="7650"/>
    <n v="7481"/>
    <n v="6486"/>
    <n v="5029"/>
    <n v="4162"/>
    <n v="3722"/>
    <n v="3320"/>
    <n v="2814"/>
    <n v="2775"/>
    <n v="2179"/>
    <n v="2289"/>
    <n v="1668"/>
    <n v="1586"/>
    <n v="951"/>
    <n v="767"/>
    <n v="462"/>
    <n v="15662"/>
    <n v="15620"/>
    <n v="15203"/>
    <n v="13893"/>
    <n v="10891"/>
    <n v="8745"/>
    <n v="7491"/>
    <n v="6638"/>
    <n v="5689"/>
    <n v="5284"/>
    <n v="4127"/>
    <n v="3977"/>
    <n v="2933"/>
    <n v="2845"/>
    <n v="1743"/>
    <n v="1402"/>
    <n v="763"/>
  </r>
  <r>
    <s v="NGA"/>
    <x v="0"/>
    <m/>
    <x v="9"/>
    <m/>
    <s v="NDOKWA WEST"/>
    <m/>
    <n v="93811"/>
    <n v="98625"/>
    <n v="192436"/>
    <n v="11607"/>
    <n v="11494"/>
    <n v="12565"/>
    <n v="12137"/>
    <n v="9718"/>
    <n v="7046"/>
    <n v="5663"/>
    <n v="4575"/>
    <n v="4001"/>
    <n v="3496"/>
    <n v="2675"/>
    <n v="2773"/>
    <n v="1741"/>
    <n v="1695"/>
    <n v="1141"/>
    <n v="1010"/>
    <n v="474"/>
    <n v="11639"/>
    <n v="11308"/>
    <n v="12401"/>
    <n v="11416"/>
    <n v="8856"/>
    <n v="6240"/>
    <n v="5547"/>
    <n v="5255"/>
    <n v="4469"/>
    <n v="4241"/>
    <n v="3520"/>
    <n v="3882"/>
    <n v="2739"/>
    <n v="2955"/>
    <n v="1802"/>
    <n v="1524"/>
    <n v="831"/>
    <n v="23246"/>
    <n v="22802"/>
    <n v="24966"/>
    <n v="23553"/>
    <n v="18574"/>
    <n v="13286"/>
    <n v="11210"/>
    <n v="9830"/>
    <n v="8470"/>
    <n v="7737"/>
    <n v="6195"/>
    <n v="6655"/>
    <n v="4480"/>
    <n v="4650"/>
    <n v="2943"/>
    <n v="2534"/>
    <n v="1305"/>
  </r>
  <r>
    <s v="NGA"/>
    <x v="0"/>
    <m/>
    <x v="9"/>
    <m/>
    <s v="OKPE"/>
    <m/>
    <n v="97294"/>
    <n v="94197"/>
    <n v="191491"/>
    <n v="11942"/>
    <n v="12772"/>
    <n v="12882"/>
    <n v="12355"/>
    <n v="9813"/>
    <n v="7375"/>
    <n v="5881"/>
    <n v="5268"/>
    <n v="4726"/>
    <n v="4012"/>
    <n v="3074"/>
    <n v="2356"/>
    <n v="1554"/>
    <n v="1454"/>
    <n v="841"/>
    <n v="589"/>
    <n v="400"/>
    <n v="11417"/>
    <n v="12026"/>
    <n v="11987"/>
    <n v="10989"/>
    <n v="8419"/>
    <n v="7031"/>
    <n v="6151"/>
    <n v="5941"/>
    <n v="4618"/>
    <n v="4252"/>
    <n v="3019"/>
    <n v="2675"/>
    <n v="1770"/>
    <n v="1491"/>
    <n v="1143"/>
    <n v="731"/>
    <n v="537"/>
    <n v="23359"/>
    <n v="24798"/>
    <n v="24869"/>
    <n v="23344"/>
    <n v="18232"/>
    <n v="14406"/>
    <n v="12032"/>
    <n v="11209"/>
    <n v="9344"/>
    <n v="8264"/>
    <n v="6093"/>
    <n v="5031"/>
    <n v="3324"/>
    <n v="2945"/>
    <n v="1984"/>
    <n v="1320"/>
    <n v="937"/>
  </r>
  <r>
    <s v="NGA"/>
    <x v="0"/>
    <m/>
    <x v="9"/>
    <m/>
    <s v="OSHIMILI NORTH"/>
    <m/>
    <n v="107224"/>
    <n v="112682"/>
    <n v="219906"/>
    <n v="13735"/>
    <n v="12493"/>
    <n v="13890"/>
    <n v="12688"/>
    <n v="10461"/>
    <n v="7767"/>
    <n v="6346"/>
    <n v="5928"/>
    <n v="5118"/>
    <n v="4622"/>
    <n v="3523"/>
    <n v="3365"/>
    <n v="2206"/>
    <n v="2246"/>
    <n v="1295"/>
    <n v="1144"/>
    <n v="397"/>
    <n v="13825"/>
    <n v="12651"/>
    <n v="14966"/>
    <n v="14541"/>
    <n v="9814"/>
    <n v="7534"/>
    <n v="6688"/>
    <n v="6097"/>
    <n v="5074"/>
    <n v="4920"/>
    <n v="3778"/>
    <n v="3854"/>
    <n v="2642"/>
    <n v="2612"/>
    <n v="1683"/>
    <n v="1362"/>
    <n v="641"/>
    <n v="27560"/>
    <n v="25144"/>
    <n v="28856"/>
    <n v="27229"/>
    <n v="20275"/>
    <n v="15301"/>
    <n v="13034"/>
    <n v="12025"/>
    <n v="10192"/>
    <n v="9542"/>
    <n v="7301"/>
    <n v="7219"/>
    <n v="4848"/>
    <n v="4858"/>
    <n v="2978"/>
    <n v="2506"/>
    <n v="1038"/>
  </r>
  <r>
    <s v="NGA"/>
    <x v="0"/>
    <m/>
    <x v="9"/>
    <m/>
    <s v="OSHIMILI SOUTH"/>
    <m/>
    <n v="142408"/>
    <n v="135909"/>
    <n v="278317"/>
    <n v="18041"/>
    <n v="14982"/>
    <n v="15515"/>
    <n v="14343"/>
    <n v="15655"/>
    <n v="13996"/>
    <n v="11657"/>
    <n v="9918"/>
    <n v="7444"/>
    <n v="6342"/>
    <n v="4195"/>
    <n v="4068"/>
    <n v="2188"/>
    <n v="2024"/>
    <n v="962"/>
    <n v="789"/>
    <n v="289"/>
    <n v="17367"/>
    <n v="14827"/>
    <n v="16532"/>
    <n v="15035"/>
    <n v="15145"/>
    <n v="12918"/>
    <n v="9889"/>
    <n v="8503"/>
    <n v="6008"/>
    <n v="5452"/>
    <n v="3910"/>
    <n v="3496"/>
    <n v="2039"/>
    <n v="2154"/>
    <n v="1090"/>
    <n v="1052"/>
    <n v="492"/>
    <n v="35408"/>
    <n v="29809"/>
    <n v="32047"/>
    <n v="29378"/>
    <n v="30800"/>
    <n v="26914"/>
    <n v="21546"/>
    <n v="18421"/>
    <n v="13452"/>
    <n v="11794"/>
    <n v="8105"/>
    <n v="7564"/>
    <n v="4227"/>
    <n v="4178"/>
    <n v="2052"/>
    <n v="1841"/>
    <n v="781"/>
  </r>
  <r>
    <s v="NGA"/>
    <x v="0"/>
    <m/>
    <x v="9"/>
    <m/>
    <s v="PATANI"/>
    <m/>
    <n v="42221"/>
    <n v="40845"/>
    <n v="83066"/>
    <n v="5252"/>
    <n v="5738"/>
    <n v="5457"/>
    <n v="5332"/>
    <n v="4032"/>
    <n v="3063"/>
    <n v="2480"/>
    <n v="2305"/>
    <n v="2104"/>
    <n v="1754"/>
    <n v="1333"/>
    <n v="1054"/>
    <n v="812"/>
    <n v="664"/>
    <n v="421"/>
    <n v="283"/>
    <n v="137"/>
    <n v="5010"/>
    <n v="5313"/>
    <n v="5324"/>
    <n v="4746"/>
    <n v="3487"/>
    <n v="2966"/>
    <n v="2660"/>
    <n v="2585"/>
    <n v="2016"/>
    <n v="1796"/>
    <n v="1286"/>
    <n v="1283"/>
    <n v="692"/>
    <n v="714"/>
    <n v="466"/>
    <n v="293"/>
    <n v="208"/>
    <n v="10262"/>
    <n v="11051"/>
    <n v="10781"/>
    <n v="10078"/>
    <n v="7519"/>
    <n v="6029"/>
    <n v="5140"/>
    <n v="4890"/>
    <n v="4120"/>
    <n v="3550"/>
    <n v="2619"/>
    <n v="2337"/>
    <n v="1504"/>
    <n v="1378"/>
    <n v="887"/>
    <n v="576"/>
    <n v="345"/>
  </r>
  <r>
    <s v="NGA"/>
    <x v="0"/>
    <m/>
    <x v="9"/>
    <m/>
    <s v="SAPELE"/>
    <m/>
    <n v="91767"/>
    <n v="93886"/>
    <n v="185653"/>
    <n v="12590"/>
    <n v="11347"/>
    <n v="12042"/>
    <n v="10419"/>
    <n v="9397"/>
    <n v="7058"/>
    <n v="5743"/>
    <n v="4904"/>
    <n v="3994"/>
    <n v="3694"/>
    <n v="2748"/>
    <n v="2892"/>
    <n v="1531"/>
    <n v="1593"/>
    <n v="722"/>
    <n v="827"/>
    <n v="266"/>
    <n v="12262"/>
    <n v="11292"/>
    <n v="11856"/>
    <n v="10482"/>
    <n v="8746"/>
    <n v="6765"/>
    <n v="5741"/>
    <n v="5321"/>
    <n v="4477"/>
    <n v="4347"/>
    <n v="3005"/>
    <n v="3364"/>
    <n v="1782"/>
    <n v="1831"/>
    <n v="1159"/>
    <n v="863"/>
    <n v="593"/>
    <n v="24852"/>
    <n v="22639"/>
    <n v="23898"/>
    <n v="20901"/>
    <n v="18143"/>
    <n v="13823"/>
    <n v="11484"/>
    <n v="10225"/>
    <n v="8471"/>
    <n v="8041"/>
    <n v="5753"/>
    <n v="6256"/>
    <n v="3313"/>
    <n v="3424"/>
    <n v="1881"/>
    <n v="1690"/>
    <n v="859"/>
  </r>
  <r>
    <s v="NGA"/>
    <x v="0"/>
    <m/>
    <x v="9"/>
    <m/>
    <s v="UDU"/>
    <m/>
    <n v="107183"/>
    <n v="105306"/>
    <n v="212489"/>
    <n v="13996"/>
    <n v="13707"/>
    <n v="13969"/>
    <n v="12858"/>
    <n v="10354"/>
    <n v="7856"/>
    <n v="6642"/>
    <n v="6020"/>
    <n v="5177"/>
    <n v="4777"/>
    <n v="3431"/>
    <n v="3322"/>
    <n v="1855"/>
    <n v="1498"/>
    <n v="800"/>
    <n v="614"/>
    <n v="307"/>
    <n v="13385"/>
    <n v="13164"/>
    <n v="13458"/>
    <n v="11669"/>
    <n v="9145"/>
    <n v="7731"/>
    <n v="7035"/>
    <n v="6947"/>
    <n v="5524"/>
    <n v="4981"/>
    <n v="3476"/>
    <n v="2847"/>
    <n v="1656"/>
    <n v="1735"/>
    <n v="1087"/>
    <n v="971"/>
    <n v="495"/>
    <n v="27381"/>
    <n v="26871"/>
    <n v="27427"/>
    <n v="24527"/>
    <n v="19499"/>
    <n v="15587"/>
    <n v="13677"/>
    <n v="12967"/>
    <n v="10701"/>
    <n v="9758"/>
    <n v="6907"/>
    <n v="6169"/>
    <n v="3511"/>
    <n v="3233"/>
    <n v="1887"/>
    <n v="1585"/>
    <n v="802"/>
  </r>
  <r>
    <s v="NGA"/>
    <x v="0"/>
    <m/>
    <x v="9"/>
    <m/>
    <s v="UGHELLI NORTH"/>
    <m/>
    <n v="269598"/>
    <n v="269809"/>
    <n v="539407"/>
    <n v="34469"/>
    <n v="35261"/>
    <n v="35426"/>
    <n v="32885"/>
    <n v="26313"/>
    <n v="19878"/>
    <n v="15991"/>
    <n v="14666"/>
    <n v="13048"/>
    <n v="11441"/>
    <n v="8716"/>
    <n v="7041"/>
    <n v="4690"/>
    <n v="4190"/>
    <n v="2559"/>
    <n v="2085"/>
    <n v="939"/>
    <n v="33394"/>
    <n v="33706"/>
    <n v="34672"/>
    <n v="31694"/>
    <n v="23266"/>
    <n v="19528"/>
    <n v="17256"/>
    <n v="16893"/>
    <n v="13452"/>
    <n v="12318"/>
    <n v="8262"/>
    <n v="9071"/>
    <n v="4962"/>
    <n v="4513"/>
    <n v="3122"/>
    <n v="2102"/>
    <n v="1598"/>
    <n v="67863"/>
    <n v="68967"/>
    <n v="70098"/>
    <n v="64579"/>
    <n v="49579"/>
    <n v="39406"/>
    <n v="33247"/>
    <n v="31559"/>
    <n v="26500"/>
    <n v="23759"/>
    <n v="16978"/>
    <n v="16112"/>
    <n v="9652"/>
    <n v="8703"/>
    <n v="5681"/>
    <n v="4187"/>
    <n v="2537"/>
  </r>
  <r>
    <s v="NGA"/>
    <x v="0"/>
    <m/>
    <x v="9"/>
    <m/>
    <s v="UGHELLI SOUTH"/>
    <m/>
    <n v="142394"/>
    <n v="139588"/>
    <n v="281982"/>
    <n v="18543"/>
    <n v="19760"/>
    <n v="18714"/>
    <n v="17402"/>
    <n v="13243"/>
    <n v="9809"/>
    <n v="8136"/>
    <n v="7470"/>
    <n v="6808"/>
    <n v="5958"/>
    <n v="4581"/>
    <n v="3710"/>
    <n v="2639"/>
    <n v="2538"/>
    <n v="1374"/>
    <n v="1186"/>
    <n v="523"/>
    <n v="17418"/>
    <n v="18187"/>
    <n v="17780"/>
    <n v="15619"/>
    <n v="11534"/>
    <n v="9857"/>
    <n v="9070"/>
    <n v="8730"/>
    <n v="7089"/>
    <n v="6336"/>
    <n v="4444"/>
    <n v="4445"/>
    <n v="2799"/>
    <n v="2773"/>
    <n v="1554"/>
    <n v="1212"/>
    <n v="741"/>
    <n v="35961"/>
    <n v="37947"/>
    <n v="36494"/>
    <n v="33021"/>
    <n v="24777"/>
    <n v="19666"/>
    <n v="17206"/>
    <n v="16200"/>
    <n v="13897"/>
    <n v="12294"/>
    <n v="9025"/>
    <n v="8155"/>
    <n v="5438"/>
    <n v="5311"/>
    <n v="2928"/>
    <n v="2398"/>
    <n v="1264"/>
  </r>
  <r>
    <s v="NGA"/>
    <x v="0"/>
    <m/>
    <x v="9"/>
    <m/>
    <s v="UKWUANI"/>
    <m/>
    <n v="74995"/>
    <n v="77689"/>
    <n v="152684"/>
    <n v="9292"/>
    <n v="9219"/>
    <n v="10135"/>
    <n v="9663"/>
    <n v="7830"/>
    <n v="5476"/>
    <n v="4457"/>
    <n v="3966"/>
    <n v="3268"/>
    <n v="2888"/>
    <n v="2159"/>
    <n v="2217"/>
    <n v="1295"/>
    <n v="1360"/>
    <n v="742"/>
    <n v="709"/>
    <n v="319"/>
    <n v="8882"/>
    <n v="8828"/>
    <n v="10077"/>
    <n v="9012"/>
    <n v="6906"/>
    <n v="5210"/>
    <n v="4703"/>
    <n v="4258"/>
    <n v="3592"/>
    <n v="3633"/>
    <n v="2531"/>
    <n v="3142"/>
    <n v="1840"/>
    <n v="2167"/>
    <n v="1255"/>
    <n v="1054"/>
    <n v="599"/>
    <n v="18174"/>
    <n v="18047"/>
    <n v="20212"/>
    <n v="18675"/>
    <n v="14736"/>
    <n v="10686"/>
    <n v="9160"/>
    <n v="8224"/>
    <n v="6860"/>
    <n v="6521"/>
    <n v="4690"/>
    <n v="5359"/>
    <n v="3135"/>
    <n v="3527"/>
    <n v="1997"/>
    <n v="1763"/>
    <n v="918"/>
  </r>
  <r>
    <s v="NGA"/>
    <x v="0"/>
    <m/>
    <x v="9"/>
    <m/>
    <s v="UVWIE"/>
    <m/>
    <n v="141356"/>
    <n v="140111"/>
    <n v="281467"/>
    <n v="19018"/>
    <n v="16174"/>
    <n v="15750"/>
    <n v="14574"/>
    <n v="14680"/>
    <n v="13362"/>
    <n v="11144"/>
    <n v="9578"/>
    <n v="7132"/>
    <n v="6300"/>
    <n v="3951"/>
    <n v="4292"/>
    <n v="2013"/>
    <n v="1895"/>
    <n v="683"/>
    <n v="579"/>
    <n v="231"/>
    <n v="18536"/>
    <n v="16331"/>
    <n v="16641"/>
    <n v="14766"/>
    <n v="14436"/>
    <n v="12461"/>
    <n v="10307"/>
    <n v="9147"/>
    <n v="6715"/>
    <n v="6142"/>
    <n v="3949"/>
    <n v="4028"/>
    <n v="1964"/>
    <n v="1919"/>
    <n v="1189"/>
    <n v="1025"/>
    <n v="555"/>
    <n v="37554"/>
    <n v="32505"/>
    <n v="32391"/>
    <n v="29340"/>
    <n v="29116"/>
    <n v="25823"/>
    <n v="21451"/>
    <n v="18725"/>
    <n v="13847"/>
    <n v="12442"/>
    <n v="7900"/>
    <n v="8320"/>
    <n v="3977"/>
    <n v="3814"/>
    <n v="1872"/>
    <n v="1604"/>
    <n v="786"/>
  </r>
  <r>
    <s v="NGA"/>
    <x v="0"/>
    <m/>
    <x v="9"/>
    <m/>
    <s v="WARRI NORTH"/>
    <m/>
    <n v="91741"/>
    <n v="86003"/>
    <n v="177744"/>
    <n v="10878"/>
    <n v="11975"/>
    <n v="12556"/>
    <n v="11755"/>
    <n v="8723"/>
    <n v="6577"/>
    <n v="5434"/>
    <n v="4918"/>
    <n v="4601"/>
    <n v="4027"/>
    <n v="3070"/>
    <n v="2300"/>
    <n v="1776"/>
    <n v="1273"/>
    <n v="890"/>
    <n v="629"/>
    <n v="359"/>
    <n v="10103"/>
    <n v="10801"/>
    <n v="11103"/>
    <n v="10020"/>
    <n v="7269"/>
    <n v="6310"/>
    <n v="5752"/>
    <n v="5991"/>
    <n v="4510"/>
    <n v="4102"/>
    <n v="2818"/>
    <n v="2600"/>
    <n v="1605"/>
    <n v="1178"/>
    <n v="841"/>
    <n v="670"/>
    <n v="330"/>
    <n v="20981"/>
    <n v="22776"/>
    <n v="23659"/>
    <n v="21775"/>
    <n v="15992"/>
    <n v="12887"/>
    <n v="11186"/>
    <n v="10909"/>
    <n v="9111"/>
    <n v="8129"/>
    <n v="5888"/>
    <n v="4900"/>
    <n v="3381"/>
    <n v="2451"/>
    <n v="1731"/>
    <n v="1299"/>
    <n v="689"/>
  </r>
  <r>
    <s v="NGA"/>
    <x v="0"/>
    <m/>
    <x v="9"/>
    <m/>
    <s v="WARRI SOUTH"/>
    <m/>
    <n v="251440"/>
    <n v="242477"/>
    <n v="493917"/>
    <n v="29631"/>
    <n v="29525"/>
    <n v="30550"/>
    <n v="29914"/>
    <n v="26317"/>
    <n v="21527"/>
    <n v="17171"/>
    <n v="15703"/>
    <n v="12431"/>
    <n v="10900"/>
    <n v="7584"/>
    <n v="7652"/>
    <n v="4472"/>
    <n v="3948"/>
    <n v="2014"/>
    <n v="1478"/>
    <n v="623"/>
    <n v="28322"/>
    <n v="28048"/>
    <n v="30578"/>
    <n v="27934"/>
    <n v="23521"/>
    <n v="19670"/>
    <n v="16788"/>
    <n v="15676"/>
    <n v="12003"/>
    <n v="11085"/>
    <n v="7714"/>
    <n v="7817"/>
    <n v="4117"/>
    <n v="4080"/>
    <n v="2275"/>
    <n v="1886"/>
    <n v="963"/>
    <n v="57953"/>
    <n v="57573"/>
    <n v="61128"/>
    <n v="57848"/>
    <n v="49838"/>
    <n v="41197"/>
    <n v="33959"/>
    <n v="31379"/>
    <n v="24434"/>
    <n v="21985"/>
    <n v="15298"/>
    <n v="15469"/>
    <n v="8589"/>
    <n v="8028"/>
    <n v="4289"/>
    <n v="3364"/>
    <n v="1586"/>
  </r>
  <r>
    <s v="NGA"/>
    <x v="0"/>
    <m/>
    <x v="9"/>
    <m/>
    <s v="WARRI SOUTH WEST"/>
    <m/>
    <n v="96060"/>
    <n v="88452"/>
    <n v="184512"/>
    <n v="11471"/>
    <n v="12123"/>
    <n v="12122"/>
    <n v="11253"/>
    <n v="8922"/>
    <n v="7354"/>
    <n v="6287"/>
    <n v="6027"/>
    <n v="5368"/>
    <n v="4536"/>
    <n v="3394"/>
    <n v="2671"/>
    <n v="1568"/>
    <n v="1125"/>
    <n v="796"/>
    <n v="517"/>
    <n v="526"/>
    <n v="10722"/>
    <n v="11220"/>
    <n v="11350"/>
    <n v="9962"/>
    <n v="7174"/>
    <n v="6419"/>
    <n v="5802"/>
    <n v="5933"/>
    <n v="4625"/>
    <n v="4262"/>
    <n v="3047"/>
    <n v="2806"/>
    <n v="1555"/>
    <n v="1761"/>
    <n v="750"/>
    <n v="696"/>
    <n v="368"/>
    <n v="22193"/>
    <n v="23343"/>
    <n v="23472"/>
    <n v="21215"/>
    <n v="16096"/>
    <n v="13773"/>
    <n v="12089"/>
    <n v="11960"/>
    <n v="9993"/>
    <n v="8798"/>
    <n v="6441"/>
    <n v="5477"/>
    <n v="3123"/>
    <n v="2886"/>
    <n v="1546"/>
    <n v="1213"/>
    <n v="894"/>
  </r>
  <r>
    <s v="NGA"/>
    <x v="0"/>
    <m/>
    <x v="10"/>
    <m/>
    <s v="ABAKALIKI"/>
    <m/>
    <n v="80065"/>
    <n v="84652"/>
    <n v="164717"/>
    <n v="12729"/>
    <n v="11525"/>
    <n v="10547"/>
    <n v="9028"/>
    <n v="7154"/>
    <n v="5642"/>
    <n v="4719"/>
    <n v="4497"/>
    <n v="3557"/>
    <n v="3299"/>
    <n v="2265"/>
    <n v="1733"/>
    <n v="1227"/>
    <n v="997"/>
    <n v="496"/>
    <n v="443"/>
    <n v="207"/>
    <n v="12804"/>
    <n v="11597"/>
    <n v="11660"/>
    <n v="10929"/>
    <n v="7773"/>
    <n v="6438"/>
    <n v="5114"/>
    <n v="4565"/>
    <n v="3542"/>
    <n v="2927"/>
    <n v="2039"/>
    <n v="1846"/>
    <n v="1282"/>
    <n v="1097"/>
    <n v="516"/>
    <n v="321"/>
    <n v="202"/>
    <n v="25533"/>
    <n v="23122"/>
    <n v="22207"/>
    <n v="19957"/>
    <n v="14927"/>
    <n v="12080"/>
    <n v="9833"/>
    <n v="9062"/>
    <n v="7099"/>
    <n v="6226"/>
    <n v="4304"/>
    <n v="3579"/>
    <n v="2509"/>
    <n v="2094"/>
    <n v="1012"/>
    <n v="764"/>
    <n v="409"/>
  </r>
  <r>
    <s v="NGA"/>
    <x v="0"/>
    <m/>
    <x v="10"/>
    <m/>
    <s v="AFIKPO NORTH"/>
    <m/>
    <n v="101893"/>
    <n v="96826"/>
    <n v="198719"/>
    <n v="11318"/>
    <n v="11471"/>
    <n v="13578"/>
    <n v="15910"/>
    <n v="12540"/>
    <n v="7433"/>
    <n v="5182"/>
    <n v="4617"/>
    <n v="4196"/>
    <n v="3935"/>
    <n v="2859"/>
    <n v="2971"/>
    <n v="1596"/>
    <n v="1818"/>
    <n v="1075"/>
    <n v="956"/>
    <n v="438"/>
    <n v="10338"/>
    <n v="10699"/>
    <n v="11974"/>
    <n v="11998"/>
    <n v="9378"/>
    <n v="6954"/>
    <n v="5803"/>
    <n v="5741"/>
    <n v="4740"/>
    <n v="4495"/>
    <n v="3259"/>
    <n v="3607"/>
    <n v="2431"/>
    <n v="2361"/>
    <n v="1428"/>
    <n v="1048"/>
    <n v="572"/>
    <n v="21656"/>
    <n v="22170"/>
    <n v="25552"/>
    <n v="27908"/>
    <n v="21918"/>
    <n v="14387"/>
    <n v="10985"/>
    <n v="10358"/>
    <n v="8936"/>
    <n v="8430"/>
    <n v="6118"/>
    <n v="6578"/>
    <n v="4027"/>
    <n v="4179"/>
    <n v="2503"/>
    <n v="2004"/>
    <n v="1010"/>
  </r>
  <r>
    <s v="NGA"/>
    <x v="0"/>
    <m/>
    <x v="10"/>
    <m/>
    <s v="AFIKPO SOUTH"/>
    <m/>
    <n v="154514"/>
    <n v="155315"/>
    <n v="309829"/>
    <n v="19778"/>
    <n v="19820"/>
    <n v="20488"/>
    <n v="18456"/>
    <n v="14995"/>
    <n v="10610"/>
    <n v="8483"/>
    <n v="8115"/>
    <n v="7521"/>
    <n v="6477"/>
    <n v="5296"/>
    <n v="4643"/>
    <n v="3317"/>
    <n v="2324"/>
    <n v="1737"/>
    <n v="1896"/>
    <n v="558"/>
    <n v="19656"/>
    <n v="18273"/>
    <n v="19755"/>
    <n v="16967"/>
    <n v="12427"/>
    <n v="10524"/>
    <n v="9675"/>
    <n v="10196"/>
    <n v="8260"/>
    <n v="7270"/>
    <n v="5567"/>
    <n v="4850"/>
    <n v="4590"/>
    <n v="3828"/>
    <n v="2167"/>
    <n v="761"/>
    <n v="549"/>
    <n v="39434"/>
    <n v="38093"/>
    <n v="40243"/>
    <n v="35423"/>
    <n v="27422"/>
    <n v="21134"/>
    <n v="18158"/>
    <n v="18311"/>
    <n v="15781"/>
    <n v="13747"/>
    <n v="10863"/>
    <n v="9493"/>
    <n v="7907"/>
    <n v="6152"/>
    <n v="3904"/>
    <n v="2657"/>
    <n v="1107"/>
  </r>
  <r>
    <s v="NGA"/>
    <x v="0"/>
    <m/>
    <x v="10"/>
    <m/>
    <s v="EBONYI"/>
    <m/>
    <n v="66577"/>
    <n v="73426"/>
    <n v="140003"/>
    <n v="12562"/>
    <n v="10336"/>
    <n v="8206"/>
    <n v="6641"/>
    <n v="5853"/>
    <n v="4267"/>
    <n v="3666"/>
    <n v="3305"/>
    <n v="2967"/>
    <n v="2629"/>
    <n v="2042"/>
    <n v="1279"/>
    <n v="1098"/>
    <n v="816"/>
    <n v="418"/>
    <n v="315"/>
    <n v="177"/>
    <n v="12334"/>
    <n v="10639"/>
    <n v="9028"/>
    <n v="8250"/>
    <n v="6549"/>
    <n v="5482"/>
    <n v="4606"/>
    <n v="3959"/>
    <n v="3311"/>
    <n v="2655"/>
    <n v="1799"/>
    <n v="1647"/>
    <n v="1150"/>
    <n v="900"/>
    <n v="483"/>
    <n v="407"/>
    <n v="227"/>
    <n v="24896"/>
    <n v="20975"/>
    <n v="17234"/>
    <n v="14891"/>
    <n v="12402"/>
    <n v="9749"/>
    <n v="8272"/>
    <n v="7264"/>
    <n v="6278"/>
    <n v="5284"/>
    <n v="3841"/>
    <n v="2926"/>
    <n v="2248"/>
    <n v="1716"/>
    <n v="901"/>
    <n v="722"/>
    <n v="404"/>
  </r>
  <r>
    <s v="NGA"/>
    <x v="0"/>
    <m/>
    <x v="10"/>
    <m/>
    <s v="EZZA NORTH"/>
    <m/>
    <n v="87163"/>
    <n v="94857"/>
    <n v="182020"/>
    <n v="13226"/>
    <n v="13214"/>
    <n v="12445"/>
    <n v="10246"/>
    <n v="7234"/>
    <n v="5196"/>
    <n v="4372"/>
    <n v="4191"/>
    <n v="4033"/>
    <n v="3417"/>
    <n v="2735"/>
    <n v="2013"/>
    <n v="1760"/>
    <n v="1476"/>
    <n v="735"/>
    <n v="536"/>
    <n v="334"/>
    <n v="13114"/>
    <n v="12946"/>
    <n v="12370"/>
    <n v="11025"/>
    <n v="7292"/>
    <n v="6273"/>
    <n v="5944"/>
    <n v="5629"/>
    <n v="4787"/>
    <n v="4067"/>
    <n v="3024"/>
    <n v="2607"/>
    <n v="2085"/>
    <n v="1672"/>
    <n v="1002"/>
    <n v="643"/>
    <n v="377"/>
    <n v="26340"/>
    <n v="26160"/>
    <n v="24815"/>
    <n v="21271"/>
    <n v="14526"/>
    <n v="11469"/>
    <n v="10316"/>
    <n v="9820"/>
    <n v="8820"/>
    <n v="7484"/>
    <n v="5759"/>
    <n v="4620"/>
    <n v="3845"/>
    <n v="3148"/>
    <n v="1737"/>
    <n v="1179"/>
    <n v="711"/>
  </r>
  <r>
    <s v="NGA"/>
    <x v="0"/>
    <m/>
    <x v="10"/>
    <m/>
    <s v="EZZA SOUTH"/>
    <m/>
    <n v="82275"/>
    <n v="84151"/>
    <n v="166426"/>
    <n v="10894"/>
    <n v="11066"/>
    <n v="11577"/>
    <n v="10389"/>
    <n v="7648"/>
    <n v="5526"/>
    <n v="4449"/>
    <n v="4072"/>
    <n v="3817"/>
    <n v="3405"/>
    <n v="2862"/>
    <n v="1876"/>
    <n v="1770"/>
    <n v="1438"/>
    <n v="754"/>
    <n v="445"/>
    <n v="287"/>
    <n v="10297"/>
    <n v="10601"/>
    <n v="11174"/>
    <n v="10229"/>
    <n v="7064"/>
    <n v="5810"/>
    <n v="5064"/>
    <n v="5114"/>
    <n v="4202"/>
    <n v="3927"/>
    <n v="2800"/>
    <n v="2512"/>
    <n v="1795"/>
    <n v="1589"/>
    <n v="946"/>
    <n v="663"/>
    <n v="364"/>
    <n v="21191"/>
    <n v="21667"/>
    <n v="22751"/>
    <n v="20618"/>
    <n v="14712"/>
    <n v="11336"/>
    <n v="9513"/>
    <n v="9186"/>
    <n v="8019"/>
    <n v="7332"/>
    <n v="5662"/>
    <n v="4388"/>
    <n v="3565"/>
    <n v="3027"/>
    <n v="1700"/>
    <n v="1108"/>
    <n v="651"/>
  </r>
  <r>
    <s v="NGA"/>
    <x v="0"/>
    <m/>
    <x v="10"/>
    <m/>
    <s v="IKWO"/>
    <m/>
    <n v="120940"/>
    <n v="139973"/>
    <n v="260913"/>
    <n v="22326"/>
    <n v="20634"/>
    <n v="16623"/>
    <n v="12812"/>
    <n v="8653"/>
    <n v="6800"/>
    <n v="6237"/>
    <n v="5589"/>
    <n v="5363"/>
    <n v="4216"/>
    <n v="3446"/>
    <n v="2280"/>
    <n v="2291"/>
    <n v="1547"/>
    <n v="1007"/>
    <n v="683"/>
    <n v="433"/>
    <n v="22773"/>
    <n v="21235"/>
    <n v="17435"/>
    <n v="16465"/>
    <n v="10689"/>
    <n v="9288"/>
    <n v="8765"/>
    <n v="7485"/>
    <n v="7128"/>
    <n v="5415"/>
    <n v="3867"/>
    <n v="2686"/>
    <n v="2766"/>
    <n v="1707"/>
    <n v="1105"/>
    <n v="684"/>
    <n v="480"/>
    <n v="45099"/>
    <n v="41869"/>
    <n v="34058"/>
    <n v="29277"/>
    <n v="19342"/>
    <n v="16088"/>
    <n v="15002"/>
    <n v="13074"/>
    <n v="12491"/>
    <n v="9631"/>
    <n v="7313"/>
    <n v="4966"/>
    <n v="5057"/>
    <n v="3254"/>
    <n v="2112"/>
    <n v="1367"/>
    <n v="913"/>
  </r>
  <r>
    <s v="NGA"/>
    <x v="0"/>
    <m/>
    <x v="10"/>
    <m/>
    <s v="ISHIELU"/>
    <m/>
    <n v="74359"/>
    <n v="83369"/>
    <n v="157728"/>
    <n v="12540"/>
    <n v="8960"/>
    <n v="10185"/>
    <n v="9042"/>
    <n v="5858"/>
    <n v="4392"/>
    <n v="4373"/>
    <n v="3354"/>
    <n v="3416"/>
    <n v="3069"/>
    <n v="2353"/>
    <n v="2100"/>
    <n v="1663"/>
    <n v="1166"/>
    <n v="1045"/>
    <n v="521"/>
    <n v="322"/>
    <n v="12198"/>
    <n v="10117"/>
    <n v="9712"/>
    <n v="9449"/>
    <n v="6164"/>
    <n v="4892"/>
    <n v="4376"/>
    <n v="4709"/>
    <n v="4575"/>
    <n v="5467"/>
    <n v="2990"/>
    <n v="2582"/>
    <n v="2213"/>
    <n v="1584"/>
    <n v="1063"/>
    <n v="787"/>
    <n v="491"/>
    <n v="24738"/>
    <n v="19077"/>
    <n v="19897"/>
    <n v="18491"/>
    <n v="12022"/>
    <n v="9284"/>
    <n v="8749"/>
    <n v="8063"/>
    <n v="7991"/>
    <n v="8536"/>
    <n v="5343"/>
    <n v="4682"/>
    <n v="3876"/>
    <n v="2750"/>
    <n v="2108"/>
    <n v="1308"/>
    <n v="813"/>
  </r>
  <r>
    <s v="NGA"/>
    <x v="0"/>
    <m/>
    <x v="10"/>
    <m/>
    <s v="IVO"/>
    <m/>
    <n v="107477"/>
    <n v="103251"/>
    <n v="210728"/>
    <n v="12141"/>
    <n v="13193"/>
    <n v="14160"/>
    <n v="13719"/>
    <n v="10852"/>
    <n v="7926"/>
    <n v="6535"/>
    <n v="5729"/>
    <n v="5475"/>
    <n v="4773"/>
    <n v="3524"/>
    <n v="3038"/>
    <n v="2468"/>
    <n v="1719"/>
    <n v="1090"/>
    <n v="721"/>
    <n v="414"/>
    <n v="11457"/>
    <n v="12356"/>
    <n v="13364"/>
    <n v="12618"/>
    <n v="9254"/>
    <n v="7603"/>
    <n v="6882"/>
    <n v="6620"/>
    <n v="5311"/>
    <n v="4833"/>
    <n v="3417"/>
    <n v="3095"/>
    <n v="2229"/>
    <n v="1954"/>
    <n v="1043"/>
    <n v="773"/>
    <n v="442"/>
    <n v="23598"/>
    <n v="25549"/>
    <n v="27524"/>
    <n v="26337"/>
    <n v="20106"/>
    <n v="15529"/>
    <n v="13417"/>
    <n v="12349"/>
    <n v="10786"/>
    <n v="9606"/>
    <n v="6941"/>
    <n v="6133"/>
    <n v="4697"/>
    <n v="3673"/>
    <n v="2133"/>
    <n v="1494"/>
    <n v="856"/>
  </r>
  <r>
    <s v="NGA"/>
    <x v="0"/>
    <m/>
    <x v="10"/>
    <m/>
    <s v="IZZI"/>
    <m/>
    <n v="144226"/>
    <n v="158380"/>
    <n v="302606"/>
    <n v="28026"/>
    <n v="24322"/>
    <n v="18943"/>
    <n v="14891"/>
    <n v="10423"/>
    <n v="8352"/>
    <n v="7720"/>
    <n v="6944"/>
    <n v="6262"/>
    <n v="5051"/>
    <n v="4158"/>
    <n v="2726"/>
    <n v="2520"/>
    <n v="1807"/>
    <n v="1009"/>
    <n v="649"/>
    <n v="423"/>
    <n v="27522"/>
    <n v="24914"/>
    <n v="20140"/>
    <n v="17603"/>
    <n v="11804"/>
    <n v="11083"/>
    <n v="9907"/>
    <n v="8551"/>
    <n v="7029"/>
    <n v="5756"/>
    <n v="4261"/>
    <n v="3101"/>
    <n v="2681"/>
    <n v="1937"/>
    <n v="1060"/>
    <n v="581"/>
    <n v="450"/>
    <n v="55548"/>
    <n v="49236"/>
    <n v="39083"/>
    <n v="32494"/>
    <n v="22227"/>
    <n v="19435"/>
    <n v="17627"/>
    <n v="15495"/>
    <n v="13291"/>
    <n v="10807"/>
    <n v="8419"/>
    <n v="5827"/>
    <n v="5201"/>
    <n v="3744"/>
    <n v="2069"/>
    <n v="1230"/>
    <n v="873"/>
  </r>
  <r>
    <s v="NGA"/>
    <x v="0"/>
    <m/>
    <x v="10"/>
    <m/>
    <s v="OHAOZARA"/>
    <m/>
    <n v="129842"/>
    <n v="127688"/>
    <n v="257530"/>
    <n v="16092"/>
    <n v="16567"/>
    <n v="17534"/>
    <n v="16744"/>
    <n v="12387"/>
    <n v="9041"/>
    <n v="7321"/>
    <n v="6614"/>
    <n v="6329"/>
    <n v="5547"/>
    <n v="4366"/>
    <n v="3544"/>
    <n v="2592"/>
    <n v="2241"/>
    <n v="1532"/>
    <n v="929"/>
    <n v="462"/>
    <n v="14914"/>
    <n v="15409"/>
    <n v="16391"/>
    <n v="15049"/>
    <n v="10674"/>
    <n v="8998"/>
    <n v="8205"/>
    <n v="8095"/>
    <n v="6695"/>
    <n v="6184"/>
    <n v="4658"/>
    <n v="3659"/>
    <n v="3035"/>
    <n v="2564"/>
    <n v="1446"/>
    <n v="1172"/>
    <n v="540"/>
    <n v="31006"/>
    <n v="31976"/>
    <n v="33925"/>
    <n v="31793"/>
    <n v="23061"/>
    <n v="18039"/>
    <n v="15526"/>
    <n v="14709"/>
    <n v="13024"/>
    <n v="11731"/>
    <n v="9024"/>
    <n v="7203"/>
    <n v="5627"/>
    <n v="4805"/>
    <n v="2978"/>
    <n v="2101"/>
    <n v="1002"/>
  </r>
  <r>
    <s v="NGA"/>
    <x v="0"/>
    <m/>
    <x v="10"/>
    <m/>
    <s v="OHAUKWU"/>
    <m/>
    <n v="94563"/>
    <n v="102056"/>
    <n v="196619"/>
    <n v="14527"/>
    <n v="13552"/>
    <n v="13464"/>
    <n v="11860"/>
    <n v="8190"/>
    <n v="5748"/>
    <n v="4807"/>
    <n v="4479"/>
    <n v="4150"/>
    <n v="3650"/>
    <n v="3021"/>
    <n v="2148"/>
    <n v="1823"/>
    <n v="1370"/>
    <n v="850"/>
    <n v="559"/>
    <n v="365"/>
    <n v="14169"/>
    <n v="13652"/>
    <n v="13587"/>
    <n v="12939"/>
    <n v="8249"/>
    <n v="6627"/>
    <n v="6068"/>
    <n v="5643"/>
    <n v="4957"/>
    <n v="4160"/>
    <n v="3048"/>
    <n v="2807"/>
    <n v="2379"/>
    <n v="1724"/>
    <n v="993"/>
    <n v="614"/>
    <n v="440"/>
    <n v="28696"/>
    <n v="27204"/>
    <n v="27051"/>
    <n v="24799"/>
    <n v="16439"/>
    <n v="12375"/>
    <n v="10875"/>
    <n v="10122"/>
    <n v="9107"/>
    <n v="7810"/>
    <n v="6069"/>
    <n v="4955"/>
    <n v="4202"/>
    <n v="3094"/>
    <n v="1843"/>
    <n v="1173"/>
    <n v="805"/>
  </r>
  <r>
    <s v="NGA"/>
    <x v="0"/>
    <m/>
    <x v="10"/>
    <m/>
    <s v="ONICHA"/>
    <m/>
    <n v="215340"/>
    <n v="219955"/>
    <n v="435295"/>
    <n v="27674"/>
    <n v="29094"/>
    <n v="29284"/>
    <n v="26933"/>
    <n v="20296"/>
    <n v="14552"/>
    <n v="11720"/>
    <n v="10832"/>
    <n v="10102"/>
    <n v="8979"/>
    <n v="7182"/>
    <n v="5884"/>
    <n v="4416"/>
    <n v="3757"/>
    <n v="2107"/>
    <n v="1585"/>
    <n v="943"/>
    <n v="26314"/>
    <n v="27272"/>
    <n v="27964"/>
    <n v="25479"/>
    <n v="18202"/>
    <n v="14943"/>
    <n v="13626"/>
    <n v="13879"/>
    <n v="11615"/>
    <n v="10520"/>
    <n v="7433"/>
    <n v="7489"/>
    <n v="5318"/>
    <n v="4669"/>
    <n v="2699"/>
    <n v="1522"/>
    <n v="1011"/>
    <n v="53988"/>
    <n v="56366"/>
    <n v="57248"/>
    <n v="52412"/>
    <n v="38498"/>
    <n v="29495"/>
    <n v="25346"/>
    <n v="24711"/>
    <n v="21717"/>
    <n v="19499"/>
    <n v="14615"/>
    <n v="13373"/>
    <n v="9734"/>
    <n v="8426"/>
    <n v="4806"/>
    <n v="3107"/>
    <n v="1954"/>
  </r>
  <r>
    <s v="NGA"/>
    <x v="0"/>
    <m/>
    <x v="11"/>
    <m/>
    <s v="AKOKO-EDO"/>
    <m/>
    <n v="242059"/>
    <n v="239487"/>
    <n v="481546"/>
    <n v="30744"/>
    <n v="32022"/>
    <n v="32230"/>
    <n v="29579"/>
    <n v="22903"/>
    <n v="17160"/>
    <n v="13956"/>
    <n v="12915"/>
    <n v="11907"/>
    <n v="10466"/>
    <n v="8397"/>
    <n v="6154"/>
    <n v="4674"/>
    <n v="3931"/>
    <n v="2527"/>
    <n v="1619"/>
    <n v="875"/>
    <n v="28986"/>
    <n v="29848"/>
    <n v="30034"/>
    <n v="26536"/>
    <n v="19850"/>
    <n v="17147"/>
    <n v="15565"/>
    <n v="15584"/>
    <n v="12420"/>
    <n v="11454"/>
    <n v="8017"/>
    <n v="7902"/>
    <n v="5252"/>
    <n v="5076"/>
    <n v="2768"/>
    <n v="2061"/>
    <n v="987"/>
    <n v="59730"/>
    <n v="61870"/>
    <n v="62264"/>
    <n v="56115"/>
    <n v="42753"/>
    <n v="34307"/>
    <n v="29521"/>
    <n v="28499"/>
    <n v="24327"/>
    <n v="21920"/>
    <n v="16414"/>
    <n v="14056"/>
    <n v="9926"/>
    <n v="9007"/>
    <n v="5295"/>
    <n v="3680"/>
    <n v="1862"/>
  </r>
  <r>
    <s v="NGA"/>
    <x v="0"/>
    <m/>
    <x v="11"/>
    <m/>
    <s v="EGOR"/>
    <m/>
    <n v="200725"/>
    <n v="201492"/>
    <n v="402217"/>
    <n v="25150"/>
    <n v="21735"/>
    <n v="22603"/>
    <n v="21910"/>
    <n v="26041"/>
    <n v="21645"/>
    <n v="14151"/>
    <n v="11956"/>
    <n v="7532"/>
    <n v="7915"/>
    <n v="5146"/>
    <n v="6521"/>
    <n v="2830"/>
    <n v="2995"/>
    <n v="1264"/>
    <n v="926"/>
    <n v="405"/>
    <n v="23709"/>
    <n v="21979"/>
    <n v="25017"/>
    <n v="22946"/>
    <n v="22259"/>
    <n v="17001"/>
    <n v="12678"/>
    <n v="11770"/>
    <n v="8970"/>
    <n v="8751"/>
    <n v="6415"/>
    <n v="7454"/>
    <n v="3648"/>
    <n v="3765"/>
    <n v="2108"/>
    <n v="1732"/>
    <n v="1290"/>
    <n v="48859"/>
    <n v="43714"/>
    <n v="47620"/>
    <n v="44856"/>
    <n v="48300"/>
    <n v="38646"/>
    <n v="26829"/>
    <n v="23726"/>
    <n v="16502"/>
    <n v="16666"/>
    <n v="11561"/>
    <n v="13975"/>
    <n v="6478"/>
    <n v="6760"/>
    <n v="3372"/>
    <n v="2658"/>
    <n v="1695"/>
  </r>
  <r>
    <s v="NGA"/>
    <x v="0"/>
    <m/>
    <x v="11"/>
    <m/>
    <s v="ESAN CENTRAL"/>
    <m/>
    <n v="73093"/>
    <n v="73020"/>
    <n v="146113"/>
    <n v="8956"/>
    <n v="9351"/>
    <n v="9557"/>
    <n v="9451"/>
    <n v="7284"/>
    <n v="5369"/>
    <n v="4198"/>
    <n v="3703"/>
    <n v="3276"/>
    <n v="3080"/>
    <n v="2189"/>
    <n v="2228"/>
    <n v="1204"/>
    <n v="1460"/>
    <n v="797"/>
    <n v="636"/>
    <n v="354"/>
    <n v="8526"/>
    <n v="8701"/>
    <n v="9133"/>
    <n v="8566"/>
    <n v="6240"/>
    <n v="4988"/>
    <n v="4361"/>
    <n v="4312"/>
    <n v="3584"/>
    <n v="3413"/>
    <n v="2539"/>
    <n v="2825"/>
    <n v="1591"/>
    <n v="1783"/>
    <n v="1076"/>
    <n v="907"/>
    <n v="475"/>
    <n v="17482"/>
    <n v="18052"/>
    <n v="18690"/>
    <n v="18017"/>
    <n v="13524"/>
    <n v="10357"/>
    <n v="8559"/>
    <n v="8015"/>
    <n v="6860"/>
    <n v="6493"/>
    <n v="4728"/>
    <n v="5053"/>
    <n v="2795"/>
    <n v="3243"/>
    <n v="1873"/>
    <n v="1543"/>
    <n v="829"/>
  </r>
  <r>
    <s v="NGA"/>
    <x v="0"/>
    <m/>
    <x v="11"/>
    <m/>
    <s v="ESAN NORTH EAST"/>
    <m/>
    <n v="73446"/>
    <n v="72833"/>
    <n v="146279"/>
    <n v="8863"/>
    <n v="8433"/>
    <n v="9883"/>
    <n v="10011"/>
    <n v="8454"/>
    <n v="6063"/>
    <n v="4171"/>
    <n v="3457"/>
    <n v="2801"/>
    <n v="2771"/>
    <n v="2133"/>
    <n v="2093"/>
    <n v="1392"/>
    <n v="1176"/>
    <n v="804"/>
    <n v="626"/>
    <n v="315"/>
    <n v="8454"/>
    <n v="8145"/>
    <n v="9244"/>
    <n v="9005"/>
    <n v="6935"/>
    <n v="4933"/>
    <n v="4011"/>
    <n v="3806"/>
    <n v="3385"/>
    <n v="3358"/>
    <n v="2579"/>
    <n v="2681"/>
    <n v="1882"/>
    <n v="1781"/>
    <n v="1141"/>
    <n v="1013"/>
    <n v="480"/>
    <n v="17317"/>
    <n v="16578"/>
    <n v="19127"/>
    <n v="19016"/>
    <n v="15389"/>
    <n v="10996"/>
    <n v="8182"/>
    <n v="7263"/>
    <n v="6186"/>
    <n v="6129"/>
    <n v="4712"/>
    <n v="4774"/>
    <n v="3274"/>
    <n v="2957"/>
    <n v="1945"/>
    <n v="1639"/>
    <n v="795"/>
  </r>
  <r>
    <s v="NGA"/>
    <x v="0"/>
    <m/>
    <x v="11"/>
    <m/>
    <s v="ESAN SOUTH EAST"/>
    <m/>
    <n v="145746"/>
    <n v="142200"/>
    <n v="287946"/>
    <n v="18158"/>
    <n v="19171"/>
    <n v="19129"/>
    <n v="17963"/>
    <n v="14350"/>
    <n v="10494"/>
    <n v="8456"/>
    <n v="7425"/>
    <n v="7031"/>
    <n v="6240"/>
    <n v="4866"/>
    <n v="4076"/>
    <n v="2748"/>
    <n v="2404"/>
    <n v="1620"/>
    <n v="1019"/>
    <n v="596"/>
    <n v="17011"/>
    <n v="17787"/>
    <n v="17955"/>
    <n v="16062"/>
    <n v="12030"/>
    <n v="10042"/>
    <n v="9064"/>
    <n v="8912"/>
    <n v="7310"/>
    <n v="6787"/>
    <n v="4876"/>
    <n v="4599"/>
    <n v="2994"/>
    <n v="2954"/>
    <n v="1847"/>
    <n v="1254"/>
    <n v="716"/>
    <n v="35169"/>
    <n v="36958"/>
    <n v="37084"/>
    <n v="34025"/>
    <n v="26380"/>
    <n v="20536"/>
    <n v="17520"/>
    <n v="16337"/>
    <n v="14341"/>
    <n v="13027"/>
    <n v="9742"/>
    <n v="8675"/>
    <n v="5742"/>
    <n v="5358"/>
    <n v="3467"/>
    <n v="2273"/>
    <n v="1312"/>
  </r>
  <r>
    <s v="NGA"/>
    <x v="0"/>
    <m/>
    <x v="11"/>
    <m/>
    <s v="ESAN WEST"/>
    <m/>
    <n v="81060"/>
    <n v="77582"/>
    <n v="158642"/>
    <n v="8827"/>
    <n v="8739"/>
    <n v="9027"/>
    <n v="9731"/>
    <n v="11947"/>
    <n v="8870"/>
    <n v="4891"/>
    <n v="3912"/>
    <n v="3162"/>
    <n v="2982"/>
    <n v="2266"/>
    <n v="2216"/>
    <n v="1290"/>
    <n v="1452"/>
    <n v="767"/>
    <n v="650"/>
    <n v="331"/>
    <n v="8450"/>
    <n v="8063"/>
    <n v="8698"/>
    <n v="8977"/>
    <n v="9628"/>
    <n v="6286"/>
    <n v="4388"/>
    <n v="4319"/>
    <n v="3561"/>
    <n v="3474"/>
    <n v="2508"/>
    <n v="2920"/>
    <n v="1905"/>
    <n v="2013"/>
    <n v="1000"/>
    <n v="919"/>
    <n v="473"/>
    <n v="17277"/>
    <n v="16802"/>
    <n v="17725"/>
    <n v="18708"/>
    <n v="21575"/>
    <n v="15156"/>
    <n v="9279"/>
    <n v="8231"/>
    <n v="6723"/>
    <n v="6456"/>
    <n v="4774"/>
    <n v="5136"/>
    <n v="3195"/>
    <n v="3465"/>
    <n v="1767"/>
    <n v="1569"/>
    <n v="804"/>
  </r>
  <r>
    <s v="NGA"/>
    <x v="0"/>
    <m/>
    <x v="11"/>
    <m/>
    <s v="ETSAKO CENTRAL"/>
    <m/>
    <n v="96327"/>
    <n v="94348"/>
    <n v="190675"/>
    <n v="12227"/>
    <n v="12624"/>
    <n v="12878"/>
    <n v="11771"/>
    <n v="9184"/>
    <n v="7012"/>
    <n v="5521"/>
    <n v="5114"/>
    <n v="4668"/>
    <n v="4064"/>
    <n v="3094"/>
    <n v="2663"/>
    <n v="1527"/>
    <n v="1801"/>
    <n v="887"/>
    <n v="917"/>
    <n v="375"/>
    <n v="11522"/>
    <n v="11782"/>
    <n v="11604"/>
    <n v="10520"/>
    <n v="8033"/>
    <n v="6843"/>
    <n v="6069"/>
    <n v="6113"/>
    <n v="4868"/>
    <n v="4501"/>
    <n v="3407"/>
    <n v="2711"/>
    <n v="1985"/>
    <n v="1787"/>
    <n v="1145"/>
    <n v="985"/>
    <n v="473"/>
    <n v="23749"/>
    <n v="24406"/>
    <n v="24482"/>
    <n v="22291"/>
    <n v="17217"/>
    <n v="13855"/>
    <n v="11590"/>
    <n v="11227"/>
    <n v="9536"/>
    <n v="8565"/>
    <n v="6501"/>
    <n v="5374"/>
    <n v="3512"/>
    <n v="3588"/>
    <n v="2032"/>
    <n v="1902"/>
    <n v="848"/>
  </r>
  <r>
    <s v="NGA"/>
    <x v="0"/>
    <m/>
    <x v="11"/>
    <m/>
    <s v="ETSAKO EAST"/>
    <m/>
    <n v="66830"/>
    <n v="69987"/>
    <n v="136817"/>
    <n v="9200"/>
    <n v="9547"/>
    <n v="9299"/>
    <n v="8777"/>
    <n v="6328"/>
    <n v="4287"/>
    <n v="3450"/>
    <n v="3055"/>
    <n v="2742"/>
    <n v="2517"/>
    <n v="1895"/>
    <n v="1779"/>
    <n v="1207"/>
    <n v="1167"/>
    <n v="742"/>
    <n v="528"/>
    <n v="310"/>
    <n v="8772"/>
    <n v="9044"/>
    <n v="8856"/>
    <n v="7921"/>
    <n v="5500"/>
    <n v="4429"/>
    <n v="4276"/>
    <n v="3894"/>
    <n v="3615"/>
    <n v="3133"/>
    <n v="2620"/>
    <n v="2132"/>
    <n v="1868"/>
    <n v="1598"/>
    <n v="1059"/>
    <n v="790"/>
    <n v="480"/>
    <n v="17972"/>
    <n v="18591"/>
    <n v="18155"/>
    <n v="16698"/>
    <n v="11828"/>
    <n v="8716"/>
    <n v="7726"/>
    <n v="6949"/>
    <n v="6357"/>
    <n v="5650"/>
    <n v="4515"/>
    <n v="3911"/>
    <n v="3075"/>
    <n v="2765"/>
    <n v="1801"/>
    <n v="1318"/>
    <n v="790"/>
  </r>
  <r>
    <s v="NGA"/>
    <x v="0"/>
    <m/>
    <x v="11"/>
    <m/>
    <s v="ETSAKO WEST"/>
    <m/>
    <n v="204093"/>
    <n v="198491"/>
    <n v="402584"/>
    <n v="24703"/>
    <n v="25014"/>
    <n v="25469"/>
    <n v="25269"/>
    <n v="23637"/>
    <n v="17345"/>
    <n v="12029"/>
    <n v="10521"/>
    <n v="9123"/>
    <n v="8181"/>
    <n v="5908"/>
    <n v="6046"/>
    <n v="3505"/>
    <n v="3233"/>
    <n v="1884"/>
    <n v="1417"/>
    <n v="809"/>
    <n v="23234"/>
    <n v="23391"/>
    <n v="24379"/>
    <n v="23148"/>
    <n v="20128"/>
    <n v="14857"/>
    <n v="12226"/>
    <n v="11726"/>
    <n v="9707"/>
    <n v="9083"/>
    <n v="6473"/>
    <n v="6680"/>
    <n v="4040"/>
    <n v="4085"/>
    <n v="2405"/>
    <n v="1779"/>
    <n v="1150"/>
    <n v="47937"/>
    <n v="48405"/>
    <n v="49848"/>
    <n v="48417"/>
    <n v="43765"/>
    <n v="32202"/>
    <n v="24255"/>
    <n v="22247"/>
    <n v="18830"/>
    <n v="17264"/>
    <n v="12381"/>
    <n v="12726"/>
    <n v="7545"/>
    <n v="7318"/>
    <n v="4289"/>
    <n v="3196"/>
    <n v="1959"/>
  </r>
  <r>
    <s v="NGA"/>
    <x v="0"/>
    <m/>
    <x v="11"/>
    <m/>
    <s v="IGUEBEN"/>
    <m/>
    <n v="48330"/>
    <n v="49238"/>
    <n v="97568"/>
    <n v="5839"/>
    <n v="6048"/>
    <n v="6486"/>
    <n v="6183"/>
    <n v="5001"/>
    <n v="3496"/>
    <n v="2720"/>
    <n v="2445"/>
    <n v="2232"/>
    <n v="1975"/>
    <n v="1449"/>
    <n v="1456"/>
    <n v="809"/>
    <n v="822"/>
    <n v="585"/>
    <n v="554"/>
    <n v="230"/>
    <n v="5584"/>
    <n v="5736"/>
    <n v="6160"/>
    <n v="5693"/>
    <n v="4034"/>
    <n v="3312"/>
    <n v="2956"/>
    <n v="2862"/>
    <n v="2404"/>
    <n v="2398"/>
    <n v="1727"/>
    <n v="1975"/>
    <n v="1299"/>
    <n v="1292"/>
    <n v="824"/>
    <n v="644"/>
    <n v="338"/>
    <n v="11423"/>
    <n v="11784"/>
    <n v="12646"/>
    <n v="11876"/>
    <n v="9035"/>
    <n v="6808"/>
    <n v="5676"/>
    <n v="5307"/>
    <n v="4636"/>
    <n v="4373"/>
    <n v="3176"/>
    <n v="3431"/>
    <n v="2108"/>
    <n v="2114"/>
    <n v="1409"/>
    <n v="1198"/>
    <n v="568"/>
  </r>
  <r>
    <s v="NGA"/>
    <x v="0"/>
    <m/>
    <x v="11"/>
    <m/>
    <s v="IKPOBA-OKHA"/>
    <m/>
    <n v="219202"/>
    <n v="220592"/>
    <n v="439794"/>
    <n v="28965"/>
    <n v="25728"/>
    <n v="26830"/>
    <n v="25099"/>
    <n v="24637"/>
    <n v="20211"/>
    <n v="14168"/>
    <n v="12427"/>
    <n v="8971"/>
    <n v="8944"/>
    <n v="6314"/>
    <n v="7372"/>
    <n v="3489"/>
    <n v="3134"/>
    <n v="1390"/>
    <n v="1011"/>
    <n v="512"/>
    <n v="27532"/>
    <n v="25532"/>
    <n v="28278"/>
    <n v="25391"/>
    <n v="22137"/>
    <n v="17589"/>
    <n v="13987"/>
    <n v="13184"/>
    <n v="10006"/>
    <n v="10001"/>
    <n v="6644"/>
    <n v="7416"/>
    <n v="3651"/>
    <n v="3825"/>
    <n v="2203"/>
    <n v="1809"/>
    <n v="1407"/>
    <n v="56497"/>
    <n v="51260"/>
    <n v="55108"/>
    <n v="50490"/>
    <n v="46774"/>
    <n v="37800"/>
    <n v="28155"/>
    <n v="25611"/>
    <n v="18977"/>
    <n v="18945"/>
    <n v="12958"/>
    <n v="14788"/>
    <n v="7140"/>
    <n v="6959"/>
    <n v="3593"/>
    <n v="2820"/>
    <n v="1919"/>
  </r>
  <r>
    <s v="NGA"/>
    <x v="0"/>
    <m/>
    <x v="11"/>
    <m/>
    <s v="OREDO"/>
    <m/>
    <n v="224286"/>
    <n v="218384"/>
    <n v="442670"/>
    <n v="26365"/>
    <n v="22152"/>
    <n v="23180"/>
    <n v="23273"/>
    <n v="27332"/>
    <n v="25004"/>
    <n v="18537"/>
    <n v="14922"/>
    <n v="10192"/>
    <n v="9759"/>
    <n v="6212"/>
    <n v="6992"/>
    <n v="3176"/>
    <n v="3408"/>
    <n v="1710"/>
    <n v="1470"/>
    <n v="602"/>
    <n v="24984"/>
    <n v="22536"/>
    <n v="25651"/>
    <n v="23865"/>
    <n v="23990"/>
    <n v="19515"/>
    <n v="15076"/>
    <n v="13610"/>
    <n v="10091"/>
    <n v="9502"/>
    <n v="6630"/>
    <n v="7979"/>
    <n v="4095"/>
    <n v="4530"/>
    <n v="2713"/>
    <n v="2239"/>
    <n v="1378"/>
    <n v="51349"/>
    <n v="44688"/>
    <n v="48831"/>
    <n v="47138"/>
    <n v="51322"/>
    <n v="44519"/>
    <n v="33613"/>
    <n v="28532"/>
    <n v="20283"/>
    <n v="19261"/>
    <n v="12842"/>
    <n v="14971"/>
    <n v="7271"/>
    <n v="7938"/>
    <n v="4423"/>
    <n v="3709"/>
    <n v="1980"/>
  </r>
  <r>
    <s v="NGA"/>
    <x v="0"/>
    <m/>
    <x v="11"/>
    <m/>
    <s v="ORHIONMWON"/>
    <m/>
    <n v="99556"/>
    <n v="100523"/>
    <n v="200079"/>
    <n v="11970"/>
    <n v="12380"/>
    <n v="13109"/>
    <n v="12440"/>
    <n v="9925"/>
    <n v="7314"/>
    <n v="5760"/>
    <n v="5181"/>
    <n v="4508"/>
    <n v="4124"/>
    <n v="3039"/>
    <n v="3206"/>
    <n v="1875"/>
    <n v="1969"/>
    <n v="1208"/>
    <n v="992"/>
    <n v="556"/>
    <n v="11788"/>
    <n v="11780"/>
    <n v="12405"/>
    <n v="11152"/>
    <n v="8072"/>
    <n v="6506"/>
    <n v="6225"/>
    <n v="5969"/>
    <n v="5101"/>
    <n v="4774"/>
    <n v="3632"/>
    <n v="4187"/>
    <n v="2713"/>
    <n v="2542"/>
    <n v="1721"/>
    <n v="1204"/>
    <n v="752"/>
    <n v="23758"/>
    <n v="24160"/>
    <n v="25514"/>
    <n v="23592"/>
    <n v="17997"/>
    <n v="13820"/>
    <n v="11985"/>
    <n v="11150"/>
    <n v="9609"/>
    <n v="8898"/>
    <n v="6671"/>
    <n v="7393"/>
    <n v="4588"/>
    <n v="4511"/>
    <n v="2929"/>
    <n v="2196"/>
    <n v="1308"/>
  </r>
  <r>
    <s v="NGA"/>
    <x v="0"/>
    <m/>
    <x v="11"/>
    <m/>
    <s v="OVIA NORTH EAST"/>
    <m/>
    <n v="89762"/>
    <n v="83032"/>
    <n v="172794"/>
    <n v="10780"/>
    <n v="9724"/>
    <n v="9588"/>
    <n v="9774"/>
    <n v="11994"/>
    <n v="9377"/>
    <n v="6138"/>
    <n v="5177"/>
    <n v="4039"/>
    <n v="3672"/>
    <n v="2432"/>
    <n v="2616"/>
    <n v="1445"/>
    <n v="1481"/>
    <n v="648"/>
    <n v="519"/>
    <n v="358"/>
    <n v="10241"/>
    <n v="9633"/>
    <n v="9320"/>
    <n v="9741"/>
    <n v="9907"/>
    <n v="6449"/>
    <n v="5088"/>
    <n v="4733"/>
    <n v="3800"/>
    <n v="3562"/>
    <n v="2592"/>
    <n v="2650"/>
    <n v="1522"/>
    <n v="1580"/>
    <n v="955"/>
    <n v="746"/>
    <n v="513"/>
    <n v="21021"/>
    <n v="19357"/>
    <n v="18908"/>
    <n v="19515"/>
    <n v="21901"/>
    <n v="15826"/>
    <n v="11226"/>
    <n v="9910"/>
    <n v="7839"/>
    <n v="7234"/>
    <n v="5024"/>
    <n v="5266"/>
    <n v="2967"/>
    <n v="3061"/>
    <n v="1603"/>
    <n v="1265"/>
    <n v="871"/>
  </r>
  <r>
    <s v="NGA"/>
    <x v="0"/>
    <m/>
    <x v="11"/>
    <m/>
    <s v="OVIA SOUTH WEST"/>
    <m/>
    <n v="107681"/>
    <n v="98149"/>
    <n v="205830"/>
    <n v="14634"/>
    <n v="13655"/>
    <n v="12749"/>
    <n v="11784"/>
    <n v="11008"/>
    <n v="8796"/>
    <n v="7446"/>
    <n v="6724"/>
    <n v="5485"/>
    <n v="4506"/>
    <n v="3194"/>
    <n v="2629"/>
    <n v="1878"/>
    <n v="1311"/>
    <n v="902"/>
    <n v="632"/>
    <n v="348"/>
    <n v="13894"/>
    <n v="13016"/>
    <n v="11979"/>
    <n v="9917"/>
    <n v="8384"/>
    <n v="7823"/>
    <n v="6739"/>
    <n v="6244"/>
    <n v="4778"/>
    <n v="4044"/>
    <n v="2974"/>
    <n v="2730"/>
    <n v="1908"/>
    <n v="1489"/>
    <n v="1060"/>
    <n v="684"/>
    <n v="486"/>
    <n v="28528"/>
    <n v="26671"/>
    <n v="24728"/>
    <n v="21701"/>
    <n v="19392"/>
    <n v="16619"/>
    <n v="14185"/>
    <n v="12968"/>
    <n v="10263"/>
    <n v="8550"/>
    <n v="6168"/>
    <n v="5359"/>
    <n v="3786"/>
    <n v="2800"/>
    <n v="1962"/>
    <n v="1316"/>
    <n v="834"/>
  </r>
  <r>
    <s v="NGA"/>
    <x v="0"/>
    <m/>
    <x v="11"/>
    <m/>
    <s v="OWAN EAST"/>
    <m/>
    <n v="116593"/>
    <n v="112509"/>
    <n v="229102"/>
    <n v="14935"/>
    <n v="15821"/>
    <n v="15613"/>
    <n v="14600"/>
    <n v="11310"/>
    <n v="8487"/>
    <n v="6650"/>
    <n v="6014"/>
    <n v="5353"/>
    <n v="4634"/>
    <n v="3578"/>
    <n v="3069"/>
    <n v="2053"/>
    <n v="2012"/>
    <n v="1140"/>
    <n v="875"/>
    <n v="449"/>
    <n v="13822"/>
    <n v="14287"/>
    <n v="14346"/>
    <n v="12859"/>
    <n v="9594"/>
    <n v="8028"/>
    <n v="7173"/>
    <n v="6921"/>
    <n v="5594"/>
    <n v="5150"/>
    <n v="3858"/>
    <n v="3506"/>
    <n v="2381"/>
    <n v="1865"/>
    <n v="1485"/>
    <n v="1022"/>
    <n v="618"/>
    <n v="28757"/>
    <n v="30108"/>
    <n v="29959"/>
    <n v="27459"/>
    <n v="20904"/>
    <n v="16515"/>
    <n v="13823"/>
    <n v="12935"/>
    <n v="10947"/>
    <n v="9784"/>
    <n v="7436"/>
    <n v="6575"/>
    <n v="4434"/>
    <n v="3877"/>
    <n v="2625"/>
    <n v="1897"/>
    <n v="1067"/>
  </r>
  <r>
    <s v="NGA"/>
    <x v="0"/>
    <m/>
    <x v="11"/>
    <m/>
    <s v="OWAN WEST"/>
    <m/>
    <n v="61983"/>
    <n v="59559"/>
    <n v="121542"/>
    <n v="7620"/>
    <n v="7801"/>
    <n v="7697"/>
    <n v="7701"/>
    <n v="6567"/>
    <n v="5056"/>
    <n v="3935"/>
    <n v="3255"/>
    <n v="2760"/>
    <n v="2515"/>
    <n v="1780"/>
    <n v="1669"/>
    <n v="1087"/>
    <n v="1060"/>
    <n v="653"/>
    <n v="583"/>
    <n v="244"/>
    <n v="7062"/>
    <n v="7252"/>
    <n v="7150"/>
    <n v="6698"/>
    <n v="5340"/>
    <n v="4296"/>
    <n v="3695"/>
    <n v="3422"/>
    <n v="2868"/>
    <n v="2680"/>
    <n v="1972"/>
    <n v="2113"/>
    <n v="1420"/>
    <n v="1512"/>
    <n v="925"/>
    <n v="762"/>
    <n v="392"/>
    <n v="14682"/>
    <n v="15053"/>
    <n v="14847"/>
    <n v="14399"/>
    <n v="11907"/>
    <n v="9352"/>
    <n v="7630"/>
    <n v="6677"/>
    <n v="5628"/>
    <n v="5195"/>
    <n v="3752"/>
    <n v="3782"/>
    <n v="2507"/>
    <n v="2572"/>
    <n v="1578"/>
    <n v="1345"/>
    <n v="636"/>
  </r>
  <r>
    <s v="NGA"/>
    <x v="0"/>
    <m/>
    <x v="11"/>
    <m/>
    <s v="UHUNMWONDE"/>
    <m/>
    <n v="67952"/>
    <n v="62920"/>
    <n v="130872"/>
    <n v="8493"/>
    <n v="7946"/>
    <n v="7892"/>
    <n v="7463"/>
    <n v="6788"/>
    <n v="5751"/>
    <n v="4699"/>
    <n v="3960"/>
    <n v="3171"/>
    <n v="3027"/>
    <n v="2098"/>
    <n v="2312"/>
    <n v="1202"/>
    <n v="1427"/>
    <n v="738"/>
    <n v="616"/>
    <n v="369"/>
    <n v="8185"/>
    <n v="7413"/>
    <n v="7586"/>
    <n v="6307"/>
    <n v="4896"/>
    <n v="4086"/>
    <n v="3865"/>
    <n v="3871"/>
    <n v="3214"/>
    <n v="2988"/>
    <n v="2245"/>
    <n v="2496"/>
    <n v="1752"/>
    <n v="1687"/>
    <n v="1101"/>
    <n v="731"/>
    <n v="497"/>
    <n v="16678"/>
    <n v="15359"/>
    <n v="15478"/>
    <n v="13770"/>
    <n v="11684"/>
    <n v="9837"/>
    <n v="8564"/>
    <n v="7831"/>
    <n v="6385"/>
    <n v="6015"/>
    <n v="4343"/>
    <n v="4808"/>
    <n v="2954"/>
    <n v="3114"/>
    <n v="1839"/>
    <n v="1347"/>
    <n v="866"/>
  </r>
  <r>
    <s v="NGA"/>
    <x v="0"/>
    <m/>
    <x v="12"/>
    <m/>
    <s v="ADO-EKITI"/>
    <m/>
    <n v="286156"/>
    <n v="262638"/>
    <n v="548794"/>
    <n v="27362"/>
    <n v="29291"/>
    <n v="34308"/>
    <n v="37645"/>
    <n v="46363"/>
    <n v="29368"/>
    <n v="16917"/>
    <n v="14084"/>
    <n v="12328"/>
    <n v="10674"/>
    <n v="8031"/>
    <n v="6988"/>
    <n v="4668"/>
    <n v="3990"/>
    <n v="2255"/>
    <n v="1161"/>
    <n v="723"/>
    <n v="25721"/>
    <n v="27692"/>
    <n v="33659"/>
    <n v="34384"/>
    <n v="35473"/>
    <n v="21576"/>
    <n v="15449"/>
    <n v="15038"/>
    <n v="11930"/>
    <n v="11187"/>
    <n v="7896"/>
    <n v="7789"/>
    <n v="4846"/>
    <n v="4552"/>
    <n v="2480"/>
    <n v="1712"/>
    <n v="1254"/>
    <n v="53083"/>
    <n v="56983"/>
    <n v="67967"/>
    <n v="72029"/>
    <n v="81836"/>
    <n v="50944"/>
    <n v="32366"/>
    <n v="29122"/>
    <n v="24258"/>
    <n v="21861"/>
    <n v="15927"/>
    <n v="14777"/>
    <n v="9514"/>
    <n v="8542"/>
    <n v="4735"/>
    <n v="2873"/>
    <n v="1977"/>
  </r>
  <r>
    <s v="NGA"/>
    <x v="0"/>
    <m/>
    <x v="12"/>
    <m/>
    <s v="EFON"/>
    <m/>
    <n v="45653"/>
    <n v="46809"/>
    <n v="92462"/>
    <n v="5405"/>
    <n v="6073"/>
    <n v="6490"/>
    <n v="5643"/>
    <n v="4283"/>
    <n v="3282"/>
    <n v="2630"/>
    <n v="2439"/>
    <n v="2241"/>
    <n v="1951"/>
    <n v="1545"/>
    <n v="1209"/>
    <n v="829"/>
    <n v="716"/>
    <n v="381"/>
    <n v="316"/>
    <n v="220"/>
    <n v="5283"/>
    <n v="5734"/>
    <n v="6862"/>
    <n v="5515"/>
    <n v="3697"/>
    <n v="3212"/>
    <n v="2814"/>
    <n v="2905"/>
    <n v="2095"/>
    <n v="2082"/>
    <n v="1324"/>
    <n v="1880"/>
    <n v="1134"/>
    <n v="1311"/>
    <n v="352"/>
    <n v="494"/>
    <n v="115"/>
    <n v="10688"/>
    <n v="11807"/>
    <n v="13352"/>
    <n v="11158"/>
    <n v="7980"/>
    <n v="6494"/>
    <n v="5444"/>
    <n v="5344"/>
    <n v="4336"/>
    <n v="4033"/>
    <n v="2869"/>
    <n v="3089"/>
    <n v="1963"/>
    <n v="2027"/>
    <n v="733"/>
    <n v="810"/>
    <n v="335"/>
  </r>
  <r>
    <s v="NGA"/>
    <x v="0"/>
    <m/>
    <x v="12"/>
    <m/>
    <s v="EKITI EAST"/>
    <m/>
    <n v="131292"/>
    <n v="128326"/>
    <n v="259618"/>
    <n v="15802"/>
    <n v="16607"/>
    <n v="17460"/>
    <n v="16596"/>
    <n v="12630"/>
    <n v="9351"/>
    <n v="7609"/>
    <n v="6967"/>
    <n v="6422"/>
    <n v="5668"/>
    <n v="4332"/>
    <n v="3947"/>
    <n v="2934"/>
    <n v="2522"/>
    <n v="1386"/>
    <n v="595"/>
    <n v="464"/>
    <n v="14907"/>
    <n v="15694"/>
    <n v="16498"/>
    <n v="14690"/>
    <n v="10870"/>
    <n v="9249"/>
    <n v="8309"/>
    <n v="8217"/>
    <n v="6705"/>
    <n v="6433"/>
    <n v="4802"/>
    <n v="3927"/>
    <n v="3539"/>
    <n v="1571"/>
    <n v="1611"/>
    <n v="628"/>
    <n v="676"/>
    <n v="30709"/>
    <n v="32301"/>
    <n v="33958"/>
    <n v="31286"/>
    <n v="23500"/>
    <n v="18600"/>
    <n v="15918"/>
    <n v="15184"/>
    <n v="13127"/>
    <n v="12101"/>
    <n v="9134"/>
    <n v="7874"/>
    <n v="6473"/>
    <n v="4093"/>
    <n v="2997"/>
    <n v="1223"/>
    <n v="1140"/>
  </r>
  <r>
    <s v="NGA"/>
    <x v="0"/>
    <m/>
    <x v="12"/>
    <m/>
    <s v="EKITI SOUTH WEST"/>
    <m/>
    <n v="85089"/>
    <n v="84455"/>
    <n v="169544"/>
    <n v="9661"/>
    <n v="11046"/>
    <n v="11780"/>
    <n v="10666"/>
    <n v="8303"/>
    <n v="6174"/>
    <n v="4977"/>
    <n v="4458"/>
    <n v="4255"/>
    <n v="3705"/>
    <n v="2932"/>
    <n v="2302"/>
    <n v="1764"/>
    <n v="1227"/>
    <n v="988"/>
    <n v="514"/>
    <n v="337"/>
    <n v="9275"/>
    <n v="10392"/>
    <n v="11137"/>
    <n v="9710"/>
    <n v="7061"/>
    <n v="5992"/>
    <n v="5286"/>
    <n v="5536"/>
    <n v="4391"/>
    <n v="4140"/>
    <n v="2875"/>
    <n v="3102"/>
    <n v="2187"/>
    <n v="1772"/>
    <n v="698"/>
    <n v="545"/>
    <n v="356"/>
    <n v="18936"/>
    <n v="21438"/>
    <n v="22917"/>
    <n v="20376"/>
    <n v="15364"/>
    <n v="12166"/>
    <n v="10263"/>
    <n v="9994"/>
    <n v="8646"/>
    <n v="7845"/>
    <n v="5807"/>
    <n v="5404"/>
    <n v="3951"/>
    <n v="2999"/>
    <n v="1686"/>
    <n v="1059"/>
    <n v="693"/>
  </r>
  <r>
    <s v="NGA"/>
    <x v="0"/>
    <m/>
    <x v="12"/>
    <m/>
    <s v="EKITI WEST"/>
    <m/>
    <n v="96290"/>
    <n v="94166"/>
    <n v="190456"/>
    <n v="11364"/>
    <n v="12324"/>
    <n v="12950"/>
    <n v="12101"/>
    <n v="9238"/>
    <n v="6937"/>
    <n v="5594"/>
    <n v="5107"/>
    <n v="4799"/>
    <n v="4176"/>
    <n v="3472"/>
    <n v="2566"/>
    <n v="2261"/>
    <n v="1689"/>
    <n v="1007"/>
    <n v="416"/>
    <n v="289"/>
    <n v="10580"/>
    <n v="11711"/>
    <n v="12110"/>
    <n v="10729"/>
    <n v="7793"/>
    <n v="6742"/>
    <n v="6020"/>
    <n v="6348"/>
    <n v="4781"/>
    <n v="4614"/>
    <n v="3289"/>
    <n v="3197"/>
    <n v="2450"/>
    <n v="1696"/>
    <n v="1030"/>
    <n v="738"/>
    <n v="338"/>
    <n v="21944"/>
    <n v="24035"/>
    <n v="25060"/>
    <n v="22830"/>
    <n v="17031"/>
    <n v="13679"/>
    <n v="11614"/>
    <n v="11455"/>
    <n v="9580"/>
    <n v="8790"/>
    <n v="6761"/>
    <n v="5763"/>
    <n v="4711"/>
    <n v="3385"/>
    <n v="2037"/>
    <n v="1154"/>
    <n v="627"/>
  </r>
  <r>
    <s v="NGA"/>
    <x v="0"/>
    <m/>
    <x v="12"/>
    <m/>
    <s v="EMURE"/>
    <m/>
    <n v="61173"/>
    <n v="60648"/>
    <n v="121821"/>
    <n v="5647"/>
    <n v="7096"/>
    <n v="8593"/>
    <n v="8503"/>
    <n v="6474"/>
    <n v="4692"/>
    <n v="3575"/>
    <n v="3017"/>
    <n v="3068"/>
    <n v="2530"/>
    <n v="2293"/>
    <n v="1687"/>
    <n v="1492"/>
    <n v="1061"/>
    <n v="748"/>
    <n v="474"/>
    <n v="223"/>
    <n v="5584"/>
    <n v="7052"/>
    <n v="8154"/>
    <n v="7951"/>
    <n v="5344"/>
    <n v="4151"/>
    <n v="3531"/>
    <n v="3956"/>
    <n v="3022"/>
    <n v="3403"/>
    <n v="2113"/>
    <n v="2245"/>
    <n v="1266"/>
    <n v="1868"/>
    <n v="414"/>
    <n v="376"/>
    <n v="218"/>
    <n v="11231"/>
    <n v="14148"/>
    <n v="16747"/>
    <n v="16454"/>
    <n v="11818"/>
    <n v="8843"/>
    <n v="7106"/>
    <n v="6973"/>
    <n v="6090"/>
    <n v="5933"/>
    <n v="4406"/>
    <n v="3932"/>
    <n v="2758"/>
    <n v="2929"/>
    <n v="1162"/>
    <n v="850"/>
    <n v="441"/>
  </r>
  <r>
    <s v="NGA"/>
    <x v="0"/>
    <m/>
    <x v="12"/>
    <m/>
    <s v="GBONYIN"/>
    <m/>
    <n v="140677"/>
    <n v="137062"/>
    <n v="277739"/>
    <n v="17082"/>
    <n v="18742"/>
    <n v="20009"/>
    <n v="17559"/>
    <n v="12824"/>
    <n v="8952"/>
    <n v="8691"/>
    <n v="6904"/>
    <n v="7102"/>
    <n v="6129"/>
    <n v="5062"/>
    <n v="2988"/>
    <n v="2808"/>
    <n v="2710"/>
    <n v="2005"/>
    <n v="661"/>
    <n v="449"/>
    <n v="16159"/>
    <n v="18028"/>
    <n v="18319"/>
    <n v="15985"/>
    <n v="11165"/>
    <n v="10117"/>
    <n v="8831"/>
    <n v="8343"/>
    <n v="6372"/>
    <n v="5912"/>
    <n v="4604"/>
    <n v="5254"/>
    <n v="3138"/>
    <n v="1769"/>
    <n v="1082"/>
    <n v="1525"/>
    <n v="459"/>
    <n v="33241"/>
    <n v="36770"/>
    <n v="38328"/>
    <n v="33544"/>
    <n v="23989"/>
    <n v="19069"/>
    <n v="17522"/>
    <n v="15247"/>
    <n v="13474"/>
    <n v="12041"/>
    <n v="9666"/>
    <n v="8242"/>
    <n v="5946"/>
    <n v="4479"/>
    <n v="3087"/>
    <n v="2186"/>
    <n v="908"/>
  </r>
  <r>
    <s v="NGA"/>
    <x v="0"/>
    <m/>
    <x v="12"/>
    <m/>
    <s v="IDO-OSI"/>
    <m/>
    <n v="114596"/>
    <n v="111681"/>
    <n v="226277"/>
    <n v="13417"/>
    <n v="13960"/>
    <n v="17793"/>
    <n v="16719"/>
    <n v="10622"/>
    <n v="7818"/>
    <n v="6216"/>
    <n v="5686"/>
    <n v="5231"/>
    <n v="4628"/>
    <n v="3819"/>
    <n v="2652"/>
    <n v="2024"/>
    <n v="1531"/>
    <n v="1145"/>
    <n v="887"/>
    <n v="448"/>
    <n v="12576"/>
    <n v="13146"/>
    <n v="17431"/>
    <n v="14051"/>
    <n v="9050"/>
    <n v="7606"/>
    <n v="6763"/>
    <n v="6702"/>
    <n v="5497"/>
    <n v="5163"/>
    <n v="3434"/>
    <n v="3221"/>
    <n v="2410"/>
    <n v="2134"/>
    <n v="1081"/>
    <n v="919"/>
    <n v="497"/>
    <n v="25993"/>
    <n v="27106"/>
    <n v="35224"/>
    <n v="30770"/>
    <n v="19672"/>
    <n v="15424"/>
    <n v="12979"/>
    <n v="12388"/>
    <n v="10728"/>
    <n v="9791"/>
    <n v="7253"/>
    <n v="5873"/>
    <n v="4434"/>
    <n v="3665"/>
    <n v="2226"/>
    <n v="1806"/>
    <n v="945"/>
  </r>
  <r>
    <s v="NGA"/>
    <x v="0"/>
    <m/>
    <x v="12"/>
    <m/>
    <s v="IJERO"/>
    <m/>
    <n v="225433"/>
    <n v="223783"/>
    <n v="449216"/>
    <n v="27213"/>
    <n v="29125"/>
    <n v="29575"/>
    <n v="27249"/>
    <n v="22234"/>
    <n v="16498"/>
    <n v="13118"/>
    <n v="12071"/>
    <n v="11263"/>
    <n v="9356"/>
    <n v="8110"/>
    <n v="6091"/>
    <n v="5231"/>
    <n v="3562"/>
    <n v="2780"/>
    <n v="1254"/>
    <n v="703"/>
    <n v="25888"/>
    <n v="27407"/>
    <n v="27880"/>
    <n v="24786"/>
    <n v="18829"/>
    <n v="16072"/>
    <n v="14324"/>
    <n v="14280"/>
    <n v="11708"/>
    <n v="10743"/>
    <n v="6473"/>
    <n v="8635"/>
    <n v="4954"/>
    <n v="7703"/>
    <n v="2614"/>
    <n v="822"/>
    <n v="665"/>
    <n v="53101"/>
    <n v="56532"/>
    <n v="57455"/>
    <n v="52035"/>
    <n v="41063"/>
    <n v="32570"/>
    <n v="27442"/>
    <n v="26351"/>
    <n v="22971"/>
    <n v="20099"/>
    <n v="14583"/>
    <n v="14726"/>
    <n v="10185"/>
    <n v="11265"/>
    <n v="5394"/>
    <n v="2076"/>
    <n v="1368"/>
  </r>
  <r>
    <s v="NGA"/>
    <x v="0"/>
    <m/>
    <x v="12"/>
    <m/>
    <s v="IKERE"/>
    <m/>
    <n v="154070"/>
    <n v="173525"/>
    <n v="327595"/>
    <n v="16261"/>
    <n v="18632"/>
    <n v="22720"/>
    <n v="21841"/>
    <n v="21357"/>
    <n v="12125"/>
    <n v="8060"/>
    <n v="6944"/>
    <n v="6367"/>
    <n v="5421"/>
    <n v="4476"/>
    <n v="3056"/>
    <n v="2595"/>
    <n v="1690"/>
    <n v="1217"/>
    <n v="796"/>
    <n v="512"/>
    <n v="15893"/>
    <n v="17505"/>
    <n v="22130"/>
    <n v="29400"/>
    <n v="30841"/>
    <n v="12016"/>
    <n v="8616"/>
    <n v="8225"/>
    <n v="6618"/>
    <n v="6004"/>
    <n v="4294"/>
    <n v="4098"/>
    <n v="2559"/>
    <n v="2185"/>
    <n v="1305"/>
    <n v="1096"/>
    <n v="740"/>
    <n v="32154"/>
    <n v="36137"/>
    <n v="44850"/>
    <n v="51241"/>
    <n v="52198"/>
    <n v="24141"/>
    <n v="16676"/>
    <n v="15169"/>
    <n v="12985"/>
    <n v="11425"/>
    <n v="8770"/>
    <n v="7154"/>
    <n v="5154"/>
    <n v="3875"/>
    <n v="2522"/>
    <n v="1892"/>
    <n v="1252"/>
  </r>
  <r>
    <s v="NGA"/>
    <x v="0"/>
    <m/>
    <x v="12"/>
    <m/>
    <s v="IKOLE"/>
    <m/>
    <n v="107271"/>
    <n v="104043"/>
    <n v="211314"/>
    <n v="12099"/>
    <n v="14322"/>
    <n v="15218"/>
    <n v="13743"/>
    <n v="10273"/>
    <n v="7617"/>
    <n v="6060"/>
    <n v="5399"/>
    <n v="5271"/>
    <n v="4535"/>
    <n v="3772"/>
    <n v="2697"/>
    <n v="2080"/>
    <n v="2031"/>
    <n v="1057"/>
    <n v="706"/>
    <n v="391"/>
    <n v="11452"/>
    <n v="13631"/>
    <n v="14058"/>
    <n v="12012"/>
    <n v="8629"/>
    <n v="7275"/>
    <n v="6445"/>
    <n v="6624"/>
    <n v="5281"/>
    <n v="5034"/>
    <n v="3511"/>
    <n v="3495"/>
    <n v="2692"/>
    <n v="1870"/>
    <n v="860"/>
    <n v="682"/>
    <n v="492"/>
    <n v="23551"/>
    <n v="27953"/>
    <n v="29276"/>
    <n v="25755"/>
    <n v="18902"/>
    <n v="14892"/>
    <n v="12505"/>
    <n v="12023"/>
    <n v="10552"/>
    <n v="9569"/>
    <n v="7283"/>
    <n v="6192"/>
    <n v="4772"/>
    <n v="3901"/>
    <n v="1917"/>
    <n v="1388"/>
    <n v="883"/>
  </r>
  <r>
    <s v="NGA"/>
    <x v="0"/>
    <m/>
    <x v="12"/>
    <m/>
    <s v="ILEJEMEJE"/>
    <m/>
    <n v="24044"/>
    <n v="23992"/>
    <n v="48036"/>
    <n v="2996"/>
    <n v="3282"/>
    <n v="3298"/>
    <n v="2879"/>
    <n v="2157"/>
    <n v="1728"/>
    <n v="1445"/>
    <n v="1302"/>
    <n v="1096"/>
    <n v="982"/>
    <n v="886"/>
    <n v="601"/>
    <n v="536"/>
    <n v="308"/>
    <n v="268"/>
    <n v="189"/>
    <n v="91"/>
    <n v="2788"/>
    <n v="3003"/>
    <n v="3161"/>
    <n v="2610"/>
    <n v="1873"/>
    <n v="1723"/>
    <n v="1490"/>
    <n v="1534"/>
    <n v="1193"/>
    <n v="1189"/>
    <n v="724"/>
    <n v="959"/>
    <n v="431"/>
    <n v="683"/>
    <n v="213"/>
    <n v="337"/>
    <n v="81"/>
    <n v="5784"/>
    <n v="6285"/>
    <n v="6459"/>
    <n v="5489"/>
    <n v="4030"/>
    <n v="3451"/>
    <n v="2935"/>
    <n v="2836"/>
    <n v="2289"/>
    <n v="2171"/>
    <n v="1610"/>
    <n v="1560"/>
    <n v="967"/>
    <n v="991"/>
    <n v="481"/>
    <n v="526"/>
    <n v="172"/>
  </r>
  <r>
    <s v="NGA"/>
    <x v="0"/>
    <m/>
    <x v="12"/>
    <m/>
    <s v="IREPODUN/IFELODUN"/>
    <m/>
    <n v="68684"/>
    <n v="67733"/>
    <n v="136417"/>
    <n v="7885"/>
    <n v="8846"/>
    <n v="9461"/>
    <n v="8945"/>
    <n v="7116"/>
    <n v="5056"/>
    <n v="3859"/>
    <n v="3480"/>
    <n v="3243"/>
    <n v="2888"/>
    <n v="2253"/>
    <n v="1794"/>
    <n v="1325"/>
    <n v="1110"/>
    <n v="737"/>
    <n v="477"/>
    <n v="209"/>
    <n v="7494"/>
    <n v="8341"/>
    <n v="9378"/>
    <n v="8335"/>
    <n v="5943"/>
    <n v="4763"/>
    <n v="4150"/>
    <n v="4192"/>
    <n v="3380"/>
    <n v="3146"/>
    <n v="2237"/>
    <n v="2231"/>
    <n v="1287"/>
    <n v="1276"/>
    <n v="743"/>
    <n v="465"/>
    <n v="372"/>
    <n v="15379"/>
    <n v="17187"/>
    <n v="18839"/>
    <n v="17280"/>
    <n v="13059"/>
    <n v="9819"/>
    <n v="8009"/>
    <n v="7672"/>
    <n v="6623"/>
    <n v="6034"/>
    <n v="4490"/>
    <n v="4025"/>
    <n v="2612"/>
    <n v="2386"/>
    <n v="1480"/>
    <n v="942"/>
    <n v="581"/>
  </r>
  <r>
    <s v="NGA"/>
    <x v="0"/>
    <m/>
    <x v="12"/>
    <m/>
    <s v="ISE/ORUN"/>
    <m/>
    <n v="74270"/>
    <n v="72997"/>
    <n v="147267"/>
    <n v="9027"/>
    <n v="9949"/>
    <n v="10040"/>
    <n v="9342"/>
    <n v="7334"/>
    <n v="5355"/>
    <n v="4294"/>
    <n v="3867"/>
    <n v="3626"/>
    <n v="3166"/>
    <n v="2627"/>
    <n v="1639"/>
    <n v="1776"/>
    <n v="860"/>
    <n v="787"/>
    <n v="345"/>
    <n v="236"/>
    <n v="8538"/>
    <n v="9287"/>
    <n v="9502"/>
    <n v="8434"/>
    <n v="6157"/>
    <n v="5219"/>
    <n v="4644"/>
    <n v="4681"/>
    <n v="3711"/>
    <n v="3441"/>
    <n v="2396"/>
    <n v="2420"/>
    <n v="1771"/>
    <n v="1141"/>
    <n v="944"/>
    <n v="403"/>
    <n v="308"/>
    <n v="17565"/>
    <n v="19236"/>
    <n v="19542"/>
    <n v="17776"/>
    <n v="13491"/>
    <n v="10574"/>
    <n v="8938"/>
    <n v="8548"/>
    <n v="7337"/>
    <n v="6607"/>
    <n v="5023"/>
    <n v="4059"/>
    <n v="3547"/>
    <n v="2001"/>
    <n v="1731"/>
    <n v="748"/>
    <n v="544"/>
  </r>
  <r>
    <s v="NGA"/>
    <x v="0"/>
    <m/>
    <x v="12"/>
    <m/>
    <s v="MOBA"/>
    <m/>
    <n v="83476"/>
    <n v="77236"/>
    <n v="160712"/>
    <n v="9140"/>
    <n v="10312"/>
    <n v="12122"/>
    <n v="12670"/>
    <n v="10378"/>
    <n v="4834"/>
    <n v="4230"/>
    <n v="3701"/>
    <n v="3552"/>
    <n v="3162"/>
    <n v="2242"/>
    <n v="2072"/>
    <n v="2306"/>
    <n v="1583"/>
    <n v="786"/>
    <n v="243"/>
    <n v="143"/>
    <n v="8501"/>
    <n v="9624"/>
    <n v="10948"/>
    <n v="10128"/>
    <n v="6704"/>
    <n v="5049"/>
    <n v="4471"/>
    <n v="4715"/>
    <n v="4311"/>
    <n v="3662"/>
    <n v="2414"/>
    <n v="2882"/>
    <n v="1687"/>
    <n v="1343"/>
    <n v="391"/>
    <n v="255"/>
    <n v="151"/>
    <n v="17641"/>
    <n v="19936"/>
    <n v="23070"/>
    <n v="22798"/>
    <n v="17082"/>
    <n v="9883"/>
    <n v="8701"/>
    <n v="8416"/>
    <n v="7863"/>
    <n v="6824"/>
    <n v="4656"/>
    <n v="4954"/>
    <n v="3993"/>
    <n v="2926"/>
    <n v="1177"/>
    <n v="498"/>
    <n v="294"/>
  </r>
  <r>
    <s v="NGA"/>
    <x v="0"/>
    <m/>
    <x v="12"/>
    <m/>
    <s v="OYE"/>
    <m/>
    <n v="72416"/>
    <n v="71268"/>
    <n v="143684"/>
    <n v="8670"/>
    <n v="9350"/>
    <n v="9857"/>
    <n v="9376"/>
    <n v="6885"/>
    <n v="5151"/>
    <n v="4120"/>
    <n v="3775"/>
    <n v="3524"/>
    <n v="3062"/>
    <n v="2470"/>
    <n v="1989"/>
    <n v="1397"/>
    <n v="1123"/>
    <n v="779"/>
    <n v="622"/>
    <n v="266"/>
    <n v="8236"/>
    <n v="8757"/>
    <n v="9293"/>
    <n v="8338"/>
    <n v="5897"/>
    <n v="5021"/>
    <n v="4540"/>
    <n v="4528"/>
    <n v="3566"/>
    <n v="3463"/>
    <n v="2553"/>
    <n v="2307"/>
    <n v="1714"/>
    <n v="1291"/>
    <n v="793"/>
    <n v="698"/>
    <n v="273"/>
    <n v="16906"/>
    <n v="18107"/>
    <n v="19150"/>
    <n v="17714"/>
    <n v="12782"/>
    <n v="10172"/>
    <n v="8660"/>
    <n v="8303"/>
    <n v="7090"/>
    <n v="6525"/>
    <n v="5023"/>
    <n v="4296"/>
    <n v="3111"/>
    <n v="2414"/>
    <n v="1572"/>
    <n v="1320"/>
    <n v="539"/>
  </r>
  <r>
    <s v="NGA"/>
    <x v="0"/>
    <m/>
    <x v="13"/>
    <m/>
    <s v="ANINRI"/>
    <m/>
    <n v="81963"/>
    <n v="88551"/>
    <n v="170514"/>
    <n v="10148"/>
    <n v="10780"/>
    <n v="11305"/>
    <n v="10515"/>
    <n v="7711"/>
    <n v="5252"/>
    <n v="4040"/>
    <n v="3673"/>
    <n v="3598"/>
    <n v="3393"/>
    <n v="2823"/>
    <n v="2559"/>
    <n v="2058"/>
    <n v="1874"/>
    <n v="1115"/>
    <n v="731"/>
    <n v="388"/>
    <n v="9877"/>
    <n v="10195"/>
    <n v="11160"/>
    <n v="10925"/>
    <n v="7081"/>
    <n v="5544"/>
    <n v="5115"/>
    <n v="5251"/>
    <n v="4676"/>
    <n v="4546"/>
    <n v="3387"/>
    <n v="3445"/>
    <n v="2535"/>
    <n v="2118"/>
    <n v="1321"/>
    <n v="909"/>
    <n v="466"/>
    <n v="20025"/>
    <n v="20975"/>
    <n v="22465"/>
    <n v="21440"/>
    <n v="14792"/>
    <n v="10796"/>
    <n v="9155"/>
    <n v="8924"/>
    <n v="8274"/>
    <n v="7939"/>
    <n v="6210"/>
    <n v="6004"/>
    <n v="4593"/>
    <n v="3992"/>
    <n v="2436"/>
    <n v="1640"/>
    <n v="854"/>
  </r>
  <r>
    <s v="NGA"/>
    <x v="0"/>
    <m/>
    <x v="13"/>
    <m/>
    <s v="AWGU"/>
    <m/>
    <n v="118602"/>
    <n v="128356"/>
    <n v="246958"/>
    <n v="13612"/>
    <n v="12971"/>
    <n v="15897"/>
    <n v="14695"/>
    <n v="12260"/>
    <n v="7893"/>
    <n v="6282"/>
    <n v="5825"/>
    <n v="5588"/>
    <n v="6121"/>
    <n v="4259"/>
    <n v="3943"/>
    <n v="2726"/>
    <n v="3000"/>
    <n v="2044"/>
    <n v="942"/>
    <n v="544"/>
    <n v="13988"/>
    <n v="12749"/>
    <n v="14513"/>
    <n v="13595"/>
    <n v="10419"/>
    <n v="7948"/>
    <n v="7904"/>
    <n v="8332"/>
    <n v="7087"/>
    <n v="7755"/>
    <n v="5641"/>
    <n v="5638"/>
    <n v="4082"/>
    <n v="4421"/>
    <n v="1625"/>
    <n v="1884"/>
    <n v="775"/>
    <n v="27600"/>
    <n v="25720"/>
    <n v="30410"/>
    <n v="28290"/>
    <n v="22679"/>
    <n v="15841"/>
    <n v="14186"/>
    <n v="14157"/>
    <n v="12675"/>
    <n v="13876"/>
    <n v="9900"/>
    <n v="9581"/>
    <n v="6808"/>
    <n v="7421"/>
    <n v="3669"/>
    <n v="2826"/>
    <n v="1319"/>
  </r>
  <r>
    <s v="NGA"/>
    <x v="0"/>
    <m/>
    <x v="13"/>
    <m/>
    <s v="ENUGU EAST"/>
    <m/>
    <n v="182014"/>
    <n v="200908"/>
    <n v="382922"/>
    <n v="23176"/>
    <n v="20854"/>
    <n v="22803"/>
    <n v="20701"/>
    <n v="19063"/>
    <n v="13896"/>
    <n v="10359"/>
    <n v="10205"/>
    <n v="8936"/>
    <n v="9600"/>
    <n v="6087"/>
    <n v="6352"/>
    <n v="3420"/>
    <n v="3703"/>
    <n v="1470"/>
    <n v="1014"/>
    <n v="375"/>
    <n v="24750"/>
    <n v="21281"/>
    <n v="26875"/>
    <n v="25816"/>
    <n v="21370"/>
    <n v="15057"/>
    <n v="12982"/>
    <n v="11987"/>
    <n v="9315"/>
    <n v="8454"/>
    <n v="6112"/>
    <n v="6341"/>
    <n v="3805"/>
    <n v="3087"/>
    <n v="1774"/>
    <n v="1254"/>
    <n v="648"/>
    <n v="47926"/>
    <n v="42135"/>
    <n v="49678"/>
    <n v="46517"/>
    <n v="40433"/>
    <n v="28953"/>
    <n v="23341"/>
    <n v="22192"/>
    <n v="18251"/>
    <n v="18054"/>
    <n v="12199"/>
    <n v="12693"/>
    <n v="7225"/>
    <n v="6790"/>
    <n v="3244"/>
    <n v="2268"/>
    <n v="1023"/>
  </r>
  <r>
    <s v="NGA"/>
    <x v="0"/>
    <m/>
    <x v="13"/>
    <m/>
    <s v="ENUGU NORTH"/>
    <m/>
    <n v="166102"/>
    <n v="168490"/>
    <n v="334592"/>
    <n v="17772"/>
    <n v="14842"/>
    <n v="17395"/>
    <n v="17399"/>
    <n v="24169"/>
    <n v="18150"/>
    <n v="10641"/>
    <n v="9206"/>
    <n v="7909"/>
    <n v="8315"/>
    <n v="5915"/>
    <n v="6293"/>
    <n v="2827"/>
    <n v="2801"/>
    <n v="1268"/>
    <n v="880"/>
    <n v="320"/>
    <n v="16575"/>
    <n v="15282"/>
    <n v="21396"/>
    <n v="21509"/>
    <n v="25271"/>
    <n v="15711"/>
    <n v="10242"/>
    <n v="9683"/>
    <n v="7694"/>
    <n v="7058"/>
    <n v="5081"/>
    <n v="4856"/>
    <n v="2706"/>
    <n v="2685"/>
    <n v="1352"/>
    <n v="924"/>
    <n v="465"/>
    <n v="34347"/>
    <n v="30124"/>
    <n v="38791"/>
    <n v="38908"/>
    <n v="49440"/>
    <n v="33861"/>
    <n v="20883"/>
    <n v="18889"/>
    <n v="15603"/>
    <n v="15373"/>
    <n v="10996"/>
    <n v="11149"/>
    <n v="5533"/>
    <n v="5486"/>
    <n v="2620"/>
    <n v="1804"/>
    <n v="785"/>
  </r>
  <r>
    <s v="NGA"/>
    <x v="0"/>
    <m/>
    <x v="13"/>
    <m/>
    <s v="ENUGU SOUTH"/>
    <m/>
    <n v="118552"/>
    <n v="130872"/>
    <n v="249424"/>
    <n v="14432"/>
    <n v="12766"/>
    <n v="14047"/>
    <n v="12729"/>
    <n v="13935"/>
    <n v="10122"/>
    <n v="7181"/>
    <n v="6497"/>
    <n v="6258"/>
    <n v="6330"/>
    <n v="4143"/>
    <n v="4166"/>
    <n v="1957"/>
    <n v="2126"/>
    <n v="967"/>
    <n v="638"/>
    <n v="258"/>
    <n v="15023"/>
    <n v="13540"/>
    <n v="17705"/>
    <n v="16692"/>
    <n v="14570"/>
    <n v="10448"/>
    <n v="7996"/>
    <n v="7791"/>
    <n v="6204"/>
    <n v="5814"/>
    <n v="3827"/>
    <n v="3997"/>
    <n v="2283"/>
    <n v="2231"/>
    <n v="1237"/>
    <n v="1028"/>
    <n v="486"/>
    <n v="29455"/>
    <n v="26306"/>
    <n v="31752"/>
    <n v="29421"/>
    <n v="28505"/>
    <n v="20570"/>
    <n v="15177"/>
    <n v="14288"/>
    <n v="12462"/>
    <n v="12144"/>
    <n v="7970"/>
    <n v="8163"/>
    <n v="4240"/>
    <n v="4357"/>
    <n v="2204"/>
    <n v="1666"/>
    <n v="744"/>
  </r>
  <r>
    <s v="NGA"/>
    <x v="0"/>
    <m/>
    <x v="13"/>
    <m/>
    <s v="EZEAGU"/>
    <m/>
    <n v="110065"/>
    <n v="114905"/>
    <n v="224970"/>
    <n v="11886"/>
    <n v="12625"/>
    <n v="14307"/>
    <n v="13836"/>
    <n v="10257"/>
    <n v="7817"/>
    <n v="6031"/>
    <n v="5533"/>
    <n v="5427"/>
    <n v="4915"/>
    <n v="4156"/>
    <n v="4001"/>
    <n v="3089"/>
    <n v="2601"/>
    <n v="1794"/>
    <n v="1166"/>
    <n v="624"/>
    <n v="11882"/>
    <n v="11941"/>
    <n v="13682"/>
    <n v="13584"/>
    <n v="9663"/>
    <n v="7817"/>
    <n v="7167"/>
    <n v="6898"/>
    <n v="6216"/>
    <n v="5864"/>
    <n v="4707"/>
    <n v="4875"/>
    <n v="3490"/>
    <n v="3225"/>
    <n v="1960"/>
    <n v="1245"/>
    <n v="689"/>
    <n v="23768"/>
    <n v="24566"/>
    <n v="27989"/>
    <n v="27420"/>
    <n v="19920"/>
    <n v="15634"/>
    <n v="13198"/>
    <n v="12431"/>
    <n v="11643"/>
    <n v="10779"/>
    <n v="8863"/>
    <n v="8876"/>
    <n v="6579"/>
    <n v="5826"/>
    <n v="3754"/>
    <n v="2411"/>
    <n v="1313"/>
  </r>
  <r>
    <s v="NGA"/>
    <x v="0"/>
    <m/>
    <x v="13"/>
    <m/>
    <s v="IGBO ETITI"/>
    <m/>
    <n v="137557"/>
    <n v="135759"/>
    <n v="273316"/>
    <n v="16508"/>
    <n v="17632"/>
    <n v="18376"/>
    <n v="17500"/>
    <n v="13241"/>
    <n v="9637"/>
    <n v="7739"/>
    <n v="7123"/>
    <n v="6708"/>
    <n v="6035"/>
    <n v="4935"/>
    <n v="3657"/>
    <n v="3082"/>
    <n v="2529"/>
    <n v="1570"/>
    <n v="828"/>
    <n v="457"/>
    <n v="15669"/>
    <n v="16548"/>
    <n v="17463"/>
    <n v="15784"/>
    <n v="11571"/>
    <n v="9706"/>
    <n v="8854"/>
    <n v="8772"/>
    <n v="7096"/>
    <n v="6445"/>
    <n v="4808"/>
    <n v="4066"/>
    <n v="3332"/>
    <n v="2618"/>
    <n v="1499"/>
    <n v="1031"/>
    <n v="497"/>
    <n v="32177"/>
    <n v="34180"/>
    <n v="35839"/>
    <n v="33284"/>
    <n v="24812"/>
    <n v="19343"/>
    <n v="16593"/>
    <n v="15895"/>
    <n v="13804"/>
    <n v="12480"/>
    <n v="9743"/>
    <n v="7723"/>
    <n v="6414"/>
    <n v="5147"/>
    <n v="3069"/>
    <n v="1859"/>
    <n v="954"/>
  </r>
  <r>
    <s v="NGA"/>
    <x v="0"/>
    <m/>
    <x v="13"/>
    <m/>
    <s v="IGBO EZE NORTH"/>
    <m/>
    <n v="202910"/>
    <n v="215992"/>
    <n v="418902"/>
    <n v="26859"/>
    <n v="27960"/>
    <n v="28583"/>
    <n v="25058"/>
    <n v="18258"/>
    <n v="13007"/>
    <n v="10549"/>
    <n v="9785"/>
    <n v="9295"/>
    <n v="8499"/>
    <n v="6822"/>
    <n v="5766"/>
    <n v="4468"/>
    <n v="3543"/>
    <n v="2176"/>
    <n v="1535"/>
    <n v="747"/>
    <n v="25900"/>
    <n v="26468"/>
    <n v="27867"/>
    <n v="25774"/>
    <n v="18155"/>
    <n v="14461"/>
    <n v="13321"/>
    <n v="13167"/>
    <n v="11527"/>
    <n v="10534"/>
    <n v="7516"/>
    <n v="6741"/>
    <n v="5437"/>
    <n v="3998"/>
    <n v="2635"/>
    <n v="1579"/>
    <n v="912"/>
    <n v="52759"/>
    <n v="54428"/>
    <n v="56450"/>
    <n v="50832"/>
    <n v="36413"/>
    <n v="27468"/>
    <n v="23870"/>
    <n v="22952"/>
    <n v="20822"/>
    <n v="19033"/>
    <n v="14338"/>
    <n v="12507"/>
    <n v="9905"/>
    <n v="7541"/>
    <n v="4811"/>
    <n v="3114"/>
    <n v="1659"/>
  </r>
  <r>
    <s v="NGA"/>
    <x v="0"/>
    <m/>
    <x v="13"/>
    <m/>
    <s v="IGBO EZE SOUTH"/>
    <m/>
    <n v="122404"/>
    <n v="127614"/>
    <n v="250018"/>
    <n v="15176"/>
    <n v="15894"/>
    <n v="16401"/>
    <n v="15167"/>
    <n v="11756"/>
    <n v="8523"/>
    <n v="6699"/>
    <n v="6187"/>
    <n v="5941"/>
    <n v="5223"/>
    <n v="4287"/>
    <n v="3505"/>
    <n v="2846"/>
    <n v="2118"/>
    <n v="1429"/>
    <n v="755"/>
    <n v="497"/>
    <n v="14682"/>
    <n v="15124"/>
    <n v="16078"/>
    <n v="14885"/>
    <n v="11120"/>
    <n v="8882"/>
    <n v="8125"/>
    <n v="7815"/>
    <n v="6856"/>
    <n v="6231"/>
    <n v="4572"/>
    <n v="4052"/>
    <n v="3340"/>
    <n v="2812"/>
    <n v="1696"/>
    <n v="859"/>
    <n v="485"/>
    <n v="29858"/>
    <n v="31018"/>
    <n v="32479"/>
    <n v="30052"/>
    <n v="22876"/>
    <n v="17405"/>
    <n v="14824"/>
    <n v="14002"/>
    <n v="12797"/>
    <n v="11454"/>
    <n v="8859"/>
    <n v="7557"/>
    <n v="6186"/>
    <n v="4930"/>
    <n v="3125"/>
    <n v="1614"/>
    <n v="982"/>
  </r>
  <r>
    <s v="NGA"/>
    <x v="0"/>
    <m/>
    <x v="13"/>
    <m/>
    <s v="ISI UZO"/>
    <m/>
    <n v="104093"/>
    <n v="110575"/>
    <n v="214668"/>
    <n v="12999"/>
    <n v="13143"/>
    <n v="13761"/>
    <n v="13284"/>
    <n v="9910"/>
    <n v="6755"/>
    <n v="5379"/>
    <n v="5003"/>
    <n v="4723"/>
    <n v="4530"/>
    <n v="3802"/>
    <n v="3215"/>
    <n v="2633"/>
    <n v="2402"/>
    <n v="1412"/>
    <n v="768"/>
    <n v="374"/>
    <n v="11972"/>
    <n v="12739"/>
    <n v="13148"/>
    <n v="13322"/>
    <n v="10746"/>
    <n v="7665"/>
    <n v="6608"/>
    <n v="6743"/>
    <n v="5907"/>
    <n v="5545"/>
    <n v="4075"/>
    <n v="3986"/>
    <n v="2793"/>
    <n v="2604"/>
    <n v="1459"/>
    <n v="847"/>
    <n v="416"/>
    <n v="24971"/>
    <n v="25882"/>
    <n v="26909"/>
    <n v="26606"/>
    <n v="20656"/>
    <n v="14420"/>
    <n v="11987"/>
    <n v="11746"/>
    <n v="10630"/>
    <n v="10075"/>
    <n v="7877"/>
    <n v="7201"/>
    <n v="5426"/>
    <n v="5006"/>
    <n v="2871"/>
    <n v="1615"/>
    <n v="790"/>
  </r>
  <r>
    <s v="NGA"/>
    <x v="0"/>
    <m/>
    <x v="13"/>
    <m/>
    <s v="NKANU EAST"/>
    <m/>
    <n v="92793"/>
    <n v="99593"/>
    <n v="192386"/>
    <n v="11037"/>
    <n v="11568"/>
    <n v="12103"/>
    <n v="11178"/>
    <n v="8240"/>
    <n v="5878"/>
    <n v="4696"/>
    <n v="4357"/>
    <n v="4486"/>
    <n v="4165"/>
    <n v="3445"/>
    <n v="3367"/>
    <n v="2731"/>
    <n v="2588"/>
    <n v="1567"/>
    <n v="949"/>
    <n v="438"/>
    <n v="10859"/>
    <n v="11070"/>
    <n v="12038"/>
    <n v="11438"/>
    <n v="7704"/>
    <n v="6280"/>
    <n v="5916"/>
    <n v="5960"/>
    <n v="5567"/>
    <n v="5312"/>
    <n v="4264"/>
    <n v="4041"/>
    <n v="3130"/>
    <n v="2823"/>
    <n v="1620"/>
    <n v="1006"/>
    <n v="565"/>
    <n v="21896"/>
    <n v="22638"/>
    <n v="24141"/>
    <n v="22616"/>
    <n v="15944"/>
    <n v="12158"/>
    <n v="10612"/>
    <n v="10317"/>
    <n v="10053"/>
    <n v="9477"/>
    <n v="7709"/>
    <n v="7408"/>
    <n v="5861"/>
    <n v="5411"/>
    <n v="3187"/>
    <n v="1955"/>
    <n v="1003"/>
  </r>
  <r>
    <s v="NGA"/>
    <x v="0"/>
    <m/>
    <x v="13"/>
    <m/>
    <s v="NKANU WEST"/>
    <m/>
    <n v="90150"/>
    <n v="94463"/>
    <n v="184613"/>
    <n v="9161"/>
    <n v="9792"/>
    <n v="11803"/>
    <n v="11351"/>
    <n v="9123"/>
    <n v="6620"/>
    <n v="4844"/>
    <n v="4390"/>
    <n v="4268"/>
    <n v="4177"/>
    <n v="3308"/>
    <n v="3309"/>
    <n v="2402"/>
    <n v="2566"/>
    <n v="1517"/>
    <n v="1057"/>
    <n v="462"/>
    <n v="8921"/>
    <n v="9552"/>
    <n v="11816"/>
    <n v="11763"/>
    <n v="8333"/>
    <n v="6554"/>
    <n v="5614"/>
    <n v="5618"/>
    <n v="4999"/>
    <n v="5032"/>
    <n v="3761"/>
    <n v="3819"/>
    <n v="2804"/>
    <n v="2817"/>
    <n v="1500"/>
    <n v="1014"/>
    <n v="546"/>
    <n v="18082"/>
    <n v="19344"/>
    <n v="23619"/>
    <n v="23114"/>
    <n v="17456"/>
    <n v="13174"/>
    <n v="10458"/>
    <n v="10008"/>
    <n v="9267"/>
    <n v="9209"/>
    <n v="7069"/>
    <n v="7128"/>
    <n v="5206"/>
    <n v="5383"/>
    <n v="3017"/>
    <n v="2071"/>
    <n v="1008"/>
  </r>
  <r>
    <s v="NGA"/>
    <x v="0"/>
    <m/>
    <x v="13"/>
    <m/>
    <s v="NSUKKA"/>
    <m/>
    <n v="182223"/>
    <n v="196493"/>
    <n v="378716"/>
    <n v="20585"/>
    <n v="21578"/>
    <n v="24010"/>
    <n v="23657"/>
    <n v="21394"/>
    <n v="13867"/>
    <n v="9192"/>
    <n v="8194"/>
    <n v="8060"/>
    <n v="7502"/>
    <n v="6236"/>
    <n v="5593"/>
    <n v="4314"/>
    <n v="3559"/>
    <n v="2441"/>
    <n v="1319"/>
    <n v="722"/>
    <n v="20530"/>
    <n v="21127"/>
    <n v="25057"/>
    <n v="26403"/>
    <n v="21417"/>
    <n v="13847"/>
    <n v="11510"/>
    <n v="10697"/>
    <n v="9705"/>
    <n v="8843"/>
    <n v="7071"/>
    <n v="6350"/>
    <n v="4972"/>
    <n v="4038"/>
    <n v="2619"/>
    <n v="1510"/>
    <n v="797"/>
    <n v="41115"/>
    <n v="42705"/>
    <n v="49067"/>
    <n v="50060"/>
    <n v="42811"/>
    <n v="27714"/>
    <n v="20702"/>
    <n v="18891"/>
    <n v="17765"/>
    <n v="16345"/>
    <n v="13307"/>
    <n v="11943"/>
    <n v="9286"/>
    <n v="7597"/>
    <n v="5060"/>
    <n v="2829"/>
    <n v="1519"/>
  </r>
  <r>
    <s v="NGA"/>
    <x v="0"/>
    <m/>
    <x v="13"/>
    <m/>
    <s v="OJI RIVER"/>
    <m/>
    <n v="78982"/>
    <n v="88289"/>
    <n v="167271"/>
    <n v="8568"/>
    <n v="8842"/>
    <n v="9650"/>
    <n v="9127"/>
    <n v="7251"/>
    <n v="5526"/>
    <n v="4470"/>
    <n v="4308"/>
    <n v="4081"/>
    <n v="3810"/>
    <n v="3194"/>
    <n v="2984"/>
    <n v="2122"/>
    <n v="2307"/>
    <n v="1298"/>
    <n v="971"/>
    <n v="473"/>
    <n v="8971"/>
    <n v="8573"/>
    <n v="9542"/>
    <n v="9864"/>
    <n v="7428"/>
    <n v="5802"/>
    <n v="5662"/>
    <n v="5202"/>
    <n v="4703"/>
    <n v="4629"/>
    <n v="3959"/>
    <n v="3869"/>
    <n v="3043"/>
    <n v="3299"/>
    <n v="1935"/>
    <n v="1192"/>
    <n v="616"/>
    <n v="17539"/>
    <n v="17415"/>
    <n v="19192"/>
    <n v="18991"/>
    <n v="14679"/>
    <n v="11328"/>
    <n v="10132"/>
    <n v="9510"/>
    <n v="8784"/>
    <n v="8439"/>
    <n v="7153"/>
    <n v="6853"/>
    <n v="5165"/>
    <n v="5606"/>
    <n v="3233"/>
    <n v="2163"/>
    <n v="1089"/>
  </r>
  <r>
    <s v="NGA"/>
    <x v="0"/>
    <m/>
    <x v="13"/>
    <m/>
    <s v="UDENU"/>
    <m/>
    <n v="126903"/>
    <n v="131233"/>
    <n v="258136"/>
    <n v="15431"/>
    <n v="16053"/>
    <n v="16987"/>
    <n v="15918"/>
    <n v="12412"/>
    <n v="8832"/>
    <n v="7164"/>
    <n v="6383"/>
    <n v="6059"/>
    <n v="5458"/>
    <n v="4386"/>
    <n v="3635"/>
    <n v="2898"/>
    <n v="2296"/>
    <n v="1669"/>
    <n v="868"/>
    <n v="454"/>
    <n v="14917"/>
    <n v="15224"/>
    <n v="16799"/>
    <n v="15757"/>
    <n v="11528"/>
    <n v="9217"/>
    <n v="8169"/>
    <n v="7818"/>
    <n v="6796"/>
    <n v="6262"/>
    <n v="4741"/>
    <n v="4474"/>
    <n v="3279"/>
    <n v="2798"/>
    <n v="1729"/>
    <n v="1179"/>
    <n v="546"/>
    <n v="30348"/>
    <n v="31277"/>
    <n v="33786"/>
    <n v="31675"/>
    <n v="23940"/>
    <n v="18049"/>
    <n v="15333"/>
    <n v="14201"/>
    <n v="12855"/>
    <n v="11720"/>
    <n v="9127"/>
    <n v="8109"/>
    <n v="6177"/>
    <n v="5094"/>
    <n v="3398"/>
    <n v="2047"/>
    <n v="1000"/>
  </r>
  <r>
    <s v="NGA"/>
    <x v="0"/>
    <m/>
    <x v="13"/>
    <m/>
    <s v="UDI"/>
    <m/>
    <n v="151274"/>
    <n v="157113"/>
    <n v="308387"/>
    <n v="16360"/>
    <n v="17338"/>
    <n v="19339"/>
    <n v="18586"/>
    <n v="14895"/>
    <n v="11214"/>
    <n v="8686"/>
    <n v="7754"/>
    <n v="7387"/>
    <n v="6913"/>
    <n v="5670"/>
    <n v="5298"/>
    <n v="3736"/>
    <n v="3624"/>
    <n v="2263"/>
    <n v="1498"/>
    <n v="713"/>
    <n v="16360"/>
    <n v="16681"/>
    <n v="18590"/>
    <n v="17962"/>
    <n v="13949"/>
    <n v="11242"/>
    <n v="9721"/>
    <n v="9485"/>
    <n v="8123"/>
    <n v="7848"/>
    <n v="6203"/>
    <n v="6542"/>
    <n v="4266"/>
    <n v="4323"/>
    <n v="2862"/>
    <n v="1922"/>
    <n v="1034"/>
    <n v="32720"/>
    <n v="34019"/>
    <n v="37929"/>
    <n v="36548"/>
    <n v="28844"/>
    <n v="22456"/>
    <n v="18407"/>
    <n v="17239"/>
    <n v="15510"/>
    <n v="14761"/>
    <n v="11873"/>
    <n v="11840"/>
    <n v="8002"/>
    <n v="7947"/>
    <n v="5125"/>
    <n v="3420"/>
    <n v="1747"/>
  </r>
  <r>
    <s v="NGA"/>
    <x v="0"/>
    <m/>
    <x v="13"/>
    <m/>
    <s v="UZO UWANI"/>
    <m/>
    <n v="79764"/>
    <n v="80170"/>
    <n v="159934"/>
    <n v="9391"/>
    <n v="10017"/>
    <n v="10666"/>
    <n v="10338"/>
    <n v="7762"/>
    <n v="5405"/>
    <n v="4393"/>
    <n v="3829"/>
    <n v="3898"/>
    <n v="3339"/>
    <n v="2923"/>
    <n v="2266"/>
    <n v="1997"/>
    <n v="1556"/>
    <n v="1101"/>
    <n v="553"/>
    <n v="330"/>
    <n v="9148"/>
    <n v="9618"/>
    <n v="10193"/>
    <n v="9711"/>
    <n v="6880"/>
    <n v="5440"/>
    <n v="5220"/>
    <n v="4762"/>
    <n v="4654"/>
    <n v="3883"/>
    <n v="2911"/>
    <n v="2372"/>
    <n v="1928"/>
    <n v="1654"/>
    <n v="871"/>
    <n v="593"/>
    <n v="332"/>
    <n v="18539"/>
    <n v="19635"/>
    <n v="20859"/>
    <n v="20049"/>
    <n v="14642"/>
    <n v="10845"/>
    <n v="9613"/>
    <n v="8591"/>
    <n v="8552"/>
    <n v="7222"/>
    <n v="5834"/>
    <n v="4638"/>
    <n v="3925"/>
    <n v="3210"/>
    <n v="1972"/>
    <n v="1146"/>
    <n v="662"/>
  </r>
  <r>
    <s v="NGA"/>
    <x v="0"/>
    <m/>
    <x v="14"/>
    <m/>
    <s v="ABAJI"/>
    <m/>
    <n v="70297"/>
    <n v="71603"/>
    <n v="141900"/>
    <n v="12581"/>
    <n v="10355"/>
    <n v="8729"/>
    <n v="7352"/>
    <n v="5396"/>
    <n v="5171"/>
    <n v="4900"/>
    <n v="4704"/>
    <n v="3292"/>
    <n v="2439"/>
    <n v="1685"/>
    <n v="1178"/>
    <n v="842"/>
    <n v="693"/>
    <n v="451"/>
    <n v="349"/>
    <n v="180"/>
    <n v="12960"/>
    <n v="10835"/>
    <n v="9974"/>
    <n v="8593"/>
    <n v="6153"/>
    <n v="5575"/>
    <n v="4447"/>
    <n v="3607"/>
    <n v="2480"/>
    <n v="1793"/>
    <n v="1341"/>
    <n v="1181"/>
    <n v="825"/>
    <n v="825"/>
    <n v="501"/>
    <n v="246"/>
    <n v="267"/>
    <n v="25541"/>
    <n v="21190"/>
    <n v="18703"/>
    <n v="15945"/>
    <n v="11549"/>
    <n v="10746"/>
    <n v="9347"/>
    <n v="8311"/>
    <n v="5772"/>
    <n v="4232"/>
    <n v="3026"/>
    <n v="2359"/>
    <n v="1667"/>
    <n v="1518"/>
    <n v="952"/>
    <n v="595"/>
    <n v="447"/>
  </r>
  <r>
    <s v="NGA"/>
    <x v="0"/>
    <m/>
    <x v="14"/>
    <m/>
    <s v="ABUJA MUNICIPAL"/>
    <m/>
    <n v="1621481"/>
    <n v="1347926"/>
    <n v="2969407"/>
    <n v="210578"/>
    <n v="157768"/>
    <n v="128930"/>
    <n v="115425"/>
    <n v="166438"/>
    <n v="220682"/>
    <n v="184390"/>
    <n v="153862"/>
    <n v="97593"/>
    <n v="81493"/>
    <n v="40885"/>
    <n v="35840"/>
    <n v="11432"/>
    <n v="9051"/>
    <n v="3215"/>
    <n v="2392"/>
    <n v="1507"/>
    <n v="210332"/>
    <n v="166258"/>
    <n v="156402"/>
    <n v="132046"/>
    <n v="152654"/>
    <n v="153027"/>
    <n v="117544"/>
    <n v="90746"/>
    <n v="57563"/>
    <n v="41789"/>
    <n v="22792"/>
    <n v="19323"/>
    <n v="9214"/>
    <n v="8298"/>
    <n v="4626"/>
    <n v="3203"/>
    <n v="2109"/>
    <n v="420910"/>
    <n v="324026"/>
    <n v="285332"/>
    <n v="247471"/>
    <n v="319092"/>
    <n v="373709"/>
    <n v="301934"/>
    <n v="244608"/>
    <n v="155156"/>
    <n v="123282"/>
    <n v="63677"/>
    <n v="55163"/>
    <n v="20646"/>
    <n v="17349"/>
    <n v="7841"/>
    <n v="5595"/>
    <n v="3616"/>
  </r>
  <r>
    <s v="NGA"/>
    <x v="0"/>
    <m/>
    <x v="14"/>
    <m/>
    <s v="BWARI"/>
    <m/>
    <n v="450374"/>
    <n v="430569"/>
    <n v="880943"/>
    <n v="72287"/>
    <n v="53233"/>
    <n v="42984"/>
    <n v="34763"/>
    <n v="39225"/>
    <n v="48133"/>
    <n v="43947"/>
    <n v="40944"/>
    <n v="27341"/>
    <n v="21150"/>
    <n v="9786"/>
    <n v="7830"/>
    <n v="3073"/>
    <n v="2728"/>
    <n v="1275"/>
    <n v="866"/>
    <n v="809"/>
    <n v="72312"/>
    <n v="56958"/>
    <n v="56108"/>
    <n v="43224"/>
    <n v="42073"/>
    <n v="45752"/>
    <n v="36036"/>
    <n v="27221"/>
    <n v="16202"/>
    <n v="10866"/>
    <n v="6656"/>
    <n v="5670"/>
    <n v="3488"/>
    <n v="3137"/>
    <n v="2352"/>
    <n v="1419"/>
    <n v="1095"/>
    <n v="144599"/>
    <n v="110191"/>
    <n v="99092"/>
    <n v="77987"/>
    <n v="81298"/>
    <n v="93885"/>
    <n v="79983"/>
    <n v="68165"/>
    <n v="43543"/>
    <n v="32016"/>
    <n v="16442"/>
    <n v="13500"/>
    <n v="6561"/>
    <n v="5865"/>
    <n v="3627"/>
    <n v="2285"/>
    <n v="1904"/>
  </r>
  <r>
    <s v="NGA"/>
    <x v="0"/>
    <m/>
    <x v="14"/>
    <m/>
    <s v="GWAGWALADA"/>
    <m/>
    <n v="218088"/>
    <n v="207510"/>
    <n v="425598"/>
    <n v="35797"/>
    <n v="29100"/>
    <n v="24879"/>
    <n v="20344"/>
    <n v="21468"/>
    <n v="20724"/>
    <n v="16034"/>
    <n v="15664"/>
    <n v="10625"/>
    <n v="8579"/>
    <n v="4943"/>
    <n v="4093"/>
    <n v="2106"/>
    <n v="1909"/>
    <n v="800"/>
    <n v="604"/>
    <n v="419"/>
    <n v="36646"/>
    <n v="30542"/>
    <n v="25154"/>
    <n v="20786"/>
    <n v="22552"/>
    <n v="18715"/>
    <n v="14795"/>
    <n v="11781"/>
    <n v="8258"/>
    <n v="5712"/>
    <n v="3327"/>
    <n v="3073"/>
    <n v="1983"/>
    <n v="1749"/>
    <n v="1183"/>
    <n v="675"/>
    <n v="579"/>
    <n v="72443"/>
    <n v="59642"/>
    <n v="50033"/>
    <n v="41130"/>
    <n v="44020"/>
    <n v="39439"/>
    <n v="30829"/>
    <n v="27445"/>
    <n v="18883"/>
    <n v="14291"/>
    <n v="8270"/>
    <n v="7166"/>
    <n v="4089"/>
    <n v="3658"/>
    <n v="1983"/>
    <n v="1279"/>
    <n v="998"/>
  </r>
  <r>
    <s v="NGA"/>
    <x v="0"/>
    <m/>
    <x v="14"/>
    <m/>
    <s v="KUJE"/>
    <m/>
    <n v="94750"/>
    <n v="90873"/>
    <n v="185623"/>
    <n v="15475"/>
    <n v="13144"/>
    <n v="12185"/>
    <n v="10794"/>
    <n v="7447"/>
    <n v="7663"/>
    <n v="6737"/>
    <n v="6205"/>
    <n v="4244"/>
    <n v="3352"/>
    <n v="2179"/>
    <n v="1767"/>
    <n v="984"/>
    <n v="1072"/>
    <n v="638"/>
    <n v="534"/>
    <n v="330"/>
    <n v="16024"/>
    <n v="13488"/>
    <n v="11791"/>
    <n v="10063"/>
    <n v="7394"/>
    <n v="6870"/>
    <n v="6006"/>
    <n v="4856"/>
    <n v="3578"/>
    <n v="2724"/>
    <n v="1921"/>
    <n v="1791"/>
    <n v="1219"/>
    <n v="1298"/>
    <n v="777"/>
    <n v="635"/>
    <n v="438"/>
    <n v="31499"/>
    <n v="26632"/>
    <n v="23976"/>
    <n v="20857"/>
    <n v="14841"/>
    <n v="14533"/>
    <n v="12743"/>
    <n v="11061"/>
    <n v="7822"/>
    <n v="6076"/>
    <n v="4100"/>
    <n v="3558"/>
    <n v="2203"/>
    <n v="2370"/>
    <n v="1415"/>
    <n v="1169"/>
    <n v="768"/>
  </r>
  <r>
    <s v="NGA"/>
    <x v="0"/>
    <m/>
    <x v="14"/>
    <m/>
    <s v="KWALI"/>
    <m/>
    <n v="117226"/>
    <n v="114050"/>
    <n v="231276"/>
    <n v="20016"/>
    <n v="17457"/>
    <n v="15206"/>
    <n v="13474"/>
    <n v="8408"/>
    <n v="8190"/>
    <n v="7218"/>
    <n v="7378"/>
    <n v="5372"/>
    <n v="4249"/>
    <n v="3067"/>
    <n v="2368"/>
    <n v="1698"/>
    <n v="1349"/>
    <n v="808"/>
    <n v="562"/>
    <n v="406"/>
    <n v="19788"/>
    <n v="17723"/>
    <n v="14740"/>
    <n v="11382"/>
    <n v="9744"/>
    <n v="9123"/>
    <n v="7863"/>
    <n v="6306"/>
    <n v="4745"/>
    <n v="3346"/>
    <n v="2629"/>
    <n v="2043"/>
    <n v="1370"/>
    <n v="1216"/>
    <n v="938"/>
    <n v="596"/>
    <n v="498"/>
    <n v="39804"/>
    <n v="35180"/>
    <n v="29946"/>
    <n v="24856"/>
    <n v="18152"/>
    <n v="17313"/>
    <n v="15081"/>
    <n v="13684"/>
    <n v="10117"/>
    <n v="7595"/>
    <n v="5696"/>
    <n v="4411"/>
    <n v="3068"/>
    <n v="2565"/>
    <n v="1746"/>
    <n v="1158"/>
    <n v="904"/>
  </r>
  <r>
    <s v="NGA"/>
    <x v="0"/>
    <m/>
    <x v="15"/>
    <m/>
    <s v="AKKO"/>
    <m/>
    <n v="222632"/>
    <n v="198641"/>
    <n v="421273"/>
    <n v="42142"/>
    <n v="35258"/>
    <n v="30083"/>
    <n v="25965"/>
    <n v="17995"/>
    <n v="14215"/>
    <n v="12836"/>
    <n v="10865"/>
    <n v="8790"/>
    <n v="6524"/>
    <n v="5145"/>
    <n v="4054"/>
    <n v="3087"/>
    <n v="2256"/>
    <n v="1659"/>
    <n v="1251"/>
    <n v="507"/>
    <n v="38757"/>
    <n v="31000"/>
    <n v="25023"/>
    <n v="21038"/>
    <n v="17207"/>
    <n v="14229"/>
    <n v="11737"/>
    <n v="9200"/>
    <n v="7818"/>
    <n v="5624"/>
    <n v="4828"/>
    <n v="3563"/>
    <n v="2955"/>
    <n v="2044"/>
    <n v="1938"/>
    <n v="992"/>
    <n v="688"/>
    <n v="80899"/>
    <n v="66258"/>
    <n v="55106"/>
    <n v="47003"/>
    <n v="35202"/>
    <n v="28444"/>
    <n v="24573"/>
    <n v="20065"/>
    <n v="16608"/>
    <n v="12148"/>
    <n v="9973"/>
    <n v="7617"/>
    <n v="6042"/>
    <n v="4300"/>
    <n v="3597"/>
    <n v="2243"/>
    <n v="1195"/>
  </r>
  <r>
    <s v="NGA"/>
    <x v="0"/>
    <m/>
    <x v="15"/>
    <m/>
    <s v="BALANGA"/>
    <m/>
    <n v="155192"/>
    <n v="146693"/>
    <n v="301885"/>
    <n v="31127"/>
    <n v="25081"/>
    <n v="19731"/>
    <n v="16521"/>
    <n v="12525"/>
    <n v="10290"/>
    <n v="9016"/>
    <n v="7631"/>
    <n v="6226"/>
    <n v="4785"/>
    <n v="3747"/>
    <n v="2655"/>
    <n v="2019"/>
    <n v="1283"/>
    <n v="1203"/>
    <n v="819"/>
    <n v="533"/>
    <n v="28622"/>
    <n v="22181"/>
    <n v="17848"/>
    <n v="15512"/>
    <n v="12602"/>
    <n v="10776"/>
    <n v="8777"/>
    <n v="6873"/>
    <n v="5969"/>
    <n v="4322"/>
    <n v="3772"/>
    <n v="2662"/>
    <n v="2377"/>
    <n v="1570"/>
    <n v="1455"/>
    <n v="852"/>
    <n v="523"/>
    <n v="59749"/>
    <n v="47262"/>
    <n v="37579"/>
    <n v="32033"/>
    <n v="25127"/>
    <n v="21066"/>
    <n v="17793"/>
    <n v="14504"/>
    <n v="12195"/>
    <n v="9107"/>
    <n v="7519"/>
    <n v="5317"/>
    <n v="4396"/>
    <n v="2853"/>
    <n v="2658"/>
    <n v="1671"/>
    <n v="1056"/>
  </r>
  <r>
    <s v="NGA"/>
    <x v="0"/>
    <m/>
    <x v="15"/>
    <m/>
    <s v="BILLIRI"/>
    <m/>
    <n v="210786"/>
    <n v="202218"/>
    <n v="413004"/>
    <n v="41465"/>
    <n v="31843"/>
    <n v="27428"/>
    <n v="23889"/>
    <n v="16599"/>
    <n v="13979"/>
    <n v="12543"/>
    <n v="10691"/>
    <n v="8661"/>
    <n v="6706"/>
    <n v="5019"/>
    <n v="3818"/>
    <n v="2830"/>
    <n v="1947"/>
    <n v="1462"/>
    <n v="1284"/>
    <n v="622"/>
    <n v="39302"/>
    <n v="29719"/>
    <n v="25130"/>
    <n v="21683"/>
    <n v="17229"/>
    <n v="14892"/>
    <n v="12136"/>
    <n v="9735"/>
    <n v="8048"/>
    <n v="6023"/>
    <n v="4635"/>
    <n v="4296"/>
    <n v="3408"/>
    <n v="2581"/>
    <n v="1681"/>
    <n v="1071"/>
    <n v="649"/>
    <n v="80767"/>
    <n v="61562"/>
    <n v="52558"/>
    <n v="45572"/>
    <n v="33828"/>
    <n v="28871"/>
    <n v="24679"/>
    <n v="20426"/>
    <n v="16709"/>
    <n v="12729"/>
    <n v="9654"/>
    <n v="8114"/>
    <n v="6238"/>
    <n v="4528"/>
    <n v="3143"/>
    <n v="2355"/>
    <n v="1271"/>
  </r>
  <r>
    <s v="NGA"/>
    <x v="0"/>
    <m/>
    <x v="15"/>
    <m/>
    <s v="DUKKU"/>
    <m/>
    <n v="124669"/>
    <n v="115059"/>
    <n v="239728"/>
    <n v="24221"/>
    <n v="19891"/>
    <n v="17311"/>
    <n v="13418"/>
    <n v="9638"/>
    <n v="8172"/>
    <n v="7310"/>
    <n v="6039"/>
    <n v="5030"/>
    <n v="3674"/>
    <n v="3144"/>
    <n v="1927"/>
    <n v="1844"/>
    <n v="1196"/>
    <n v="1006"/>
    <n v="521"/>
    <n v="327"/>
    <n v="22754"/>
    <n v="17304"/>
    <n v="14052"/>
    <n v="12562"/>
    <n v="9946"/>
    <n v="8325"/>
    <n v="6856"/>
    <n v="5485"/>
    <n v="4613"/>
    <n v="3333"/>
    <n v="3053"/>
    <n v="1788"/>
    <n v="1849"/>
    <n v="1136"/>
    <n v="1032"/>
    <n v="581"/>
    <n v="390"/>
    <n v="46975"/>
    <n v="37195"/>
    <n v="31363"/>
    <n v="25980"/>
    <n v="19584"/>
    <n v="16497"/>
    <n v="14166"/>
    <n v="11524"/>
    <n v="9643"/>
    <n v="7007"/>
    <n v="6197"/>
    <n v="3715"/>
    <n v="3693"/>
    <n v="2332"/>
    <n v="2038"/>
    <n v="1102"/>
    <n v="717"/>
  </r>
  <r>
    <s v="NGA"/>
    <x v="0"/>
    <m/>
    <x v="15"/>
    <m/>
    <s v="FUNAKAYE"/>
    <m/>
    <n v="223390"/>
    <n v="176642"/>
    <n v="400032"/>
    <n v="38175"/>
    <n v="34985"/>
    <n v="36051"/>
    <n v="29780"/>
    <n v="19264"/>
    <n v="14121"/>
    <n v="12048"/>
    <n v="9653"/>
    <n v="8046"/>
    <n v="5895"/>
    <n v="4588"/>
    <n v="3307"/>
    <n v="2581"/>
    <n v="2013"/>
    <n v="1490"/>
    <n v="878"/>
    <n v="515"/>
    <n v="34694"/>
    <n v="26642"/>
    <n v="22426"/>
    <n v="19971"/>
    <n v="14747"/>
    <n v="12611"/>
    <n v="10378"/>
    <n v="8437"/>
    <n v="7001"/>
    <n v="4917"/>
    <n v="4553"/>
    <n v="2693"/>
    <n v="2718"/>
    <n v="1768"/>
    <n v="1573"/>
    <n v="890"/>
    <n v="623"/>
    <n v="72869"/>
    <n v="61627"/>
    <n v="58477"/>
    <n v="49751"/>
    <n v="34011"/>
    <n v="26732"/>
    <n v="22426"/>
    <n v="18090"/>
    <n v="15047"/>
    <n v="10812"/>
    <n v="9141"/>
    <n v="6000"/>
    <n v="5299"/>
    <n v="3781"/>
    <n v="3063"/>
    <n v="1768"/>
    <n v="1138"/>
  </r>
  <r>
    <s v="NGA"/>
    <x v="0"/>
    <m/>
    <x v="15"/>
    <m/>
    <s v="GOMBE"/>
    <m/>
    <n v="205686"/>
    <n v="165664"/>
    <n v="371350"/>
    <n v="34092"/>
    <n v="28330"/>
    <n v="29441"/>
    <n v="25161"/>
    <n v="20420"/>
    <n v="16073"/>
    <n v="12673"/>
    <n v="10349"/>
    <n v="7974"/>
    <n v="6244"/>
    <n v="4151"/>
    <n v="4000"/>
    <n v="2284"/>
    <n v="2012"/>
    <n v="1219"/>
    <n v="850"/>
    <n v="413"/>
    <n v="32015"/>
    <n v="24862"/>
    <n v="21056"/>
    <n v="17622"/>
    <n v="14917"/>
    <n v="12506"/>
    <n v="9785"/>
    <n v="8003"/>
    <n v="6543"/>
    <n v="4660"/>
    <n v="3688"/>
    <n v="3174"/>
    <n v="2170"/>
    <n v="1660"/>
    <n v="1580"/>
    <n v="777"/>
    <n v="646"/>
    <n v="66107"/>
    <n v="53192"/>
    <n v="50497"/>
    <n v="42783"/>
    <n v="35337"/>
    <n v="28579"/>
    <n v="22458"/>
    <n v="18352"/>
    <n v="14517"/>
    <n v="10904"/>
    <n v="7839"/>
    <n v="7174"/>
    <n v="4454"/>
    <n v="3672"/>
    <n v="2799"/>
    <n v="1627"/>
    <n v="1059"/>
  </r>
  <r>
    <s v="NGA"/>
    <x v="0"/>
    <m/>
    <x v="15"/>
    <m/>
    <s v="KALTUNGO"/>
    <m/>
    <n v="124517"/>
    <n v="123882"/>
    <n v="248399"/>
    <n v="24530"/>
    <n v="19141"/>
    <n v="15570"/>
    <n v="12963"/>
    <n v="9696"/>
    <n v="8448"/>
    <n v="7600"/>
    <n v="6586"/>
    <n v="5326"/>
    <n v="4089"/>
    <n v="3141"/>
    <n v="2286"/>
    <n v="1766"/>
    <n v="1449"/>
    <n v="995"/>
    <n v="556"/>
    <n v="375"/>
    <n v="23081"/>
    <n v="17888"/>
    <n v="14977"/>
    <n v="15360"/>
    <n v="11054"/>
    <n v="8998"/>
    <n v="7342"/>
    <n v="5875"/>
    <n v="4814"/>
    <n v="3560"/>
    <n v="2959"/>
    <n v="2357"/>
    <n v="1944"/>
    <n v="1539"/>
    <n v="993"/>
    <n v="721"/>
    <n v="420"/>
    <n v="47611"/>
    <n v="37029"/>
    <n v="30547"/>
    <n v="28323"/>
    <n v="20750"/>
    <n v="17446"/>
    <n v="14942"/>
    <n v="12461"/>
    <n v="10140"/>
    <n v="7649"/>
    <n v="6100"/>
    <n v="4643"/>
    <n v="3710"/>
    <n v="2988"/>
    <n v="1988"/>
    <n v="1277"/>
    <n v="795"/>
  </r>
  <r>
    <s v="NGA"/>
    <x v="0"/>
    <m/>
    <x v="15"/>
    <m/>
    <s v="KWAMI"/>
    <m/>
    <n v="139341"/>
    <n v="130631"/>
    <n v="269972"/>
    <n v="27809"/>
    <n v="22271"/>
    <n v="18816"/>
    <n v="14955"/>
    <n v="10675"/>
    <n v="9021"/>
    <n v="8052"/>
    <n v="6803"/>
    <n v="5584"/>
    <n v="4131"/>
    <n v="3425"/>
    <n v="2265"/>
    <n v="2044"/>
    <n v="1278"/>
    <n v="1160"/>
    <n v="666"/>
    <n v="386"/>
    <n v="25724"/>
    <n v="20057"/>
    <n v="16039"/>
    <n v="13865"/>
    <n v="11255"/>
    <n v="9427"/>
    <n v="7842"/>
    <n v="6204"/>
    <n v="5312"/>
    <n v="3628"/>
    <n v="3360"/>
    <n v="2236"/>
    <n v="2082"/>
    <n v="1269"/>
    <n v="1200"/>
    <n v="663"/>
    <n v="468"/>
    <n v="53533"/>
    <n v="42328"/>
    <n v="34855"/>
    <n v="28820"/>
    <n v="21930"/>
    <n v="18448"/>
    <n v="15894"/>
    <n v="13007"/>
    <n v="10896"/>
    <n v="7759"/>
    <n v="6785"/>
    <n v="4501"/>
    <n v="4126"/>
    <n v="2547"/>
    <n v="2360"/>
    <n v="1329"/>
    <n v="854"/>
  </r>
  <r>
    <s v="NGA"/>
    <x v="0"/>
    <m/>
    <x v="15"/>
    <m/>
    <s v="NAFADA"/>
    <m/>
    <n v="133645"/>
    <n v="102299"/>
    <n v="235944"/>
    <n v="21658"/>
    <n v="20985"/>
    <n v="20348"/>
    <n v="19421"/>
    <n v="12846"/>
    <n v="8578"/>
    <n v="7062"/>
    <n v="5651"/>
    <n v="4685"/>
    <n v="3460"/>
    <n v="2900"/>
    <n v="1728"/>
    <n v="1526"/>
    <n v="886"/>
    <n v="960"/>
    <n v="545"/>
    <n v="406"/>
    <n v="20179"/>
    <n v="15448"/>
    <n v="12701"/>
    <n v="11112"/>
    <n v="8629"/>
    <n v="7458"/>
    <n v="6225"/>
    <n v="4962"/>
    <n v="4228"/>
    <n v="3046"/>
    <n v="2584"/>
    <n v="1571"/>
    <n v="1545"/>
    <n v="829"/>
    <n v="968"/>
    <n v="408"/>
    <n v="406"/>
    <n v="41837"/>
    <n v="36433"/>
    <n v="33049"/>
    <n v="30533"/>
    <n v="21475"/>
    <n v="16036"/>
    <n v="13287"/>
    <n v="10613"/>
    <n v="8913"/>
    <n v="6506"/>
    <n v="5484"/>
    <n v="3299"/>
    <n v="3071"/>
    <n v="1715"/>
    <n v="1928"/>
    <n v="953"/>
    <n v="812"/>
  </r>
  <r>
    <s v="NGA"/>
    <x v="0"/>
    <m/>
    <x v="15"/>
    <m/>
    <s v="SHONGOM"/>
    <m/>
    <n v="118571"/>
    <n v="115204"/>
    <n v="233775"/>
    <n v="23462"/>
    <n v="17960"/>
    <n v="15094"/>
    <n v="12873"/>
    <n v="9289"/>
    <n v="7851"/>
    <n v="7048"/>
    <n v="6147"/>
    <n v="5056"/>
    <n v="3874"/>
    <n v="3008"/>
    <n v="2192"/>
    <n v="1596"/>
    <n v="1057"/>
    <n v="939"/>
    <n v="747"/>
    <n v="378"/>
    <n v="22620"/>
    <n v="17185"/>
    <n v="13962"/>
    <n v="12038"/>
    <n v="9708"/>
    <n v="8490"/>
    <n v="6930"/>
    <n v="5502"/>
    <n v="4608"/>
    <n v="3556"/>
    <n v="2818"/>
    <n v="2181"/>
    <n v="1950"/>
    <n v="1748"/>
    <n v="1072"/>
    <n v="524"/>
    <n v="312"/>
    <n v="46082"/>
    <n v="35145"/>
    <n v="29056"/>
    <n v="24911"/>
    <n v="18997"/>
    <n v="16341"/>
    <n v="13978"/>
    <n v="11649"/>
    <n v="9664"/>
    <n v="7430"/>
    <n v="5826"/>
    <n v="4373"/>
    <n v="3546"/>
    <n v="2805"/>
    <n v="2011"/>
    <n v="1271"/>
    <n v="690"/>
  </r>
  <r>
    <s v="NGA"/>
    <x v="0"/>
    <m/>
    <x v="15"/>
    <m/>
    <s v="YAMALTU/DEBA"/>
    <m/>
    <n v="134456"/>
    <n v="122627"/>
    <n v="257083"/>
    <n v="25830"/>
    <n v="21536"/>
    <n v="18290"/>
    <n v="14713"/>
    <n v="10445"/>
    <n v="8946"/>
    <n v="8004"/>
    <n v="6659"/>
    <n v="5304"/>
    <n v="3875"/>
    <n v="3371"/>
    <n v="2121"/>
    <n v="1784"/>
    <n v="1295"/>
    <n v="1193"/>
    <n v="645"/>
    <n v="445"/>
    <n v="23848"/>
    <n v="18719"/>
    <n v="14846"/>
    <n v="13485"/>
    <n v="10999"/>
    <n v="8996"/>
    <n v="7224"/>
    <n v="5554"/>
    <n v="4894"/>
    <n v="3314"/>
    <n v="3215"/>
    <n v="2005"/>
    <n v="1979"/>
    <n v="1204"/>
    <n v="1249"/>
    <n v="609"/>
    <n v="487"/>
    <n v="49678"/>
    <n v="40255"/>
    <n v="33136"/>
    <n v="28198"/>
    <n v="21444"/>
    <n v="17942"/>
    <n v="15228"/>
    <n v="12213"/>
    <n v="10198"/>
    <n v="7189"/>
    <n v="6586"/>
    <n v="4126"/>
    <n v="3763"/>
    <n v="2499"/>
    <n v="2442"/>
    <n v="1254"/>
    <n v="932"/>
  </r>
  <r>
    <s v="NGA"/>
    <x v="0"/>
    <m/>
    <x v="16"/>
    <m/>
    <s v="ABOH MBAISE"/>
    <m/>
    <n v="144108"/>
    <n v="142425"/>
    <n v="286533"/>
    <n v="16731"/>
    <n v="17439"/>
    <n v="18540"/>
    <n v="17709"/>
    <n v="14319"/>
    <n v="10548"/>
    <n v="8578"/>
    <n v="7619"/>
    <n v="7228"/>
    <n v="6576"/>
    <n v="5256"/>
    <n v="4275"/>
    <n v="3024"/>
    <n v="2602"/>
    <n v="1739"/>
    <n v="1320"/>
    <n v="605"/>
    <n v="15748"/>
    <n v="16330"/>
    <n v="17708"/>
    <n v="16377"/>
    <n v="12432"/>
    <n v="10414"/>
    <n v="9477"/>
    <n v="9202"/>
    <n v="7472"/>
    <n v="6909"/>
    <n v="5031"/>
    <n v="5060"/>
    <n v="3309"/>
    <n v="3053"/>
    <n v="1925"/>
    <n v="1280"/>
    <n v="698"/>
    <n v="32479"/>
    <n v="33769"/>
    <n v="36248"/>
    <n v="34086"/>
    <n v="26751"/>
    <n v="20962"/>
    <n v="18055"/>
    <n v="16821"/>
    <n v="14700"/>
    <n v="13485"/>
    <n v="10287"/>
    <n v="9335"/>
    <n v="6333"/>
    <n v="5655"/>
    <n v="3664"/>
    <n v="2600"/>
    <n v="1303"/>
  </r>
  <r>
    <s v="NGA"/>
    <x v="0"/>
    <m/>
    <x v="16"/>
    <m/>
    <s v="AHIAZU MBAISE"/>
    <m/>
    <n v="132855"/>
    <n v="131466"/>
    <n v="264321"/>
    <n v="15774"/>
    <n v="15840"/>
    <n v="16953"/>
    <n v="16430"/>
    <n v="12906"/>
    <n v="9636"/>
    <n v="7885"/>
    <n v="7260"/>
    <n v="6797"/>
    <n v="6043"/>
    <n v="4769"/>
    <n v="3913"/>
    <n v="2705"/>
    <n v="2660"/>
    <n v="1650"/>
    <n v="1099"/>
    <n v="535"/>
    <n v="14909"/>
    <n v="14748"/>
    <n v="15868"/>
    <n v="15127"/>
    <n v="11572"/>
    <n v="9826"/>
    <n v="8573"/>
    <n v="8514"/>
    <n v="6817"/>
    <n v="6548"/>
    <n v="4658"/>
    <n v="4618"/>
    <n v="2998"/>
    <n v="3286"/>
    <n v="1733"/>
    <n v="1097"/>
    <n v="574"/>
    <n v="30683"/>
    <n v="30588"/>
    <n v="32821"/>
    <n v="31557"/>
    <n v="24478"/>
    <n v="19462"/>
    <n v="16458"/>
    <n v="15774"/>
    <n v="13614"/>
    <n v="12591"/>
    <n v="9427"/>
    <n v="8531"/>
    <n v="5703"/>
    <n v="5946"/>
    <n v="3383"/>
    <n v="2196"/>
    <n v="1109"/>
  </r>
  <r>
    <s v="NGA"/>
    <x v="0"/>
    <m/>
    <x v="16"/>
    <m/>
    <s v="EHIME MBANO"/>
    <m/>
    <n v="75967"/>
    <n v="77045"/>
    <n v="153012"/>
    <n v="9100"/>
    <n v="9575"/>
    <n v="10201"/>
    <n v="9613"/>
    <n v="7327"/>
    <n v="5343"/>
    <n v="4368"/>
    <n v="3998"/>
    <n v="3733"/>
    <n v="3320"/>
    <n v="2728"/>
    <n v="2006"/>
    <n v="1531"/>
    <n v="1339"/>
    <n v="992"/>
    <n v="545"/>
    <n v="248"/>
    <n v="8665"/>
    <n v="9058"/>
    <n v="10088"/>
    <n v="9555"/>
    <n v="6634"/>
    <n v="5433"/>
    <n v="4873"/>
    <n v="4795"/>
    <n v="3852"/>
    <n v="3602"/>
    <n v="2596"/>
    <n v="2485"/>
    <n v="1918"/>
    <n v="1726"/>
    <n v="936"/>
    <n v="621"/>
    <n v="208"/>
    <n v="17765"/>
    <n v="18633"/>
    <n v="20289"/>
    <n v="19168"/>
    <n v="13961"/>
    <n v="10776"/>
    <n v="9241"/>
    <n v="8793"/>
    <n v="7585"/>
    <n v="6922"/>
    <n v="5324"/>
    <n v="4491"/>
    <n v="3449"/>
    <n v="3065"/>
    <n v="1928"/>
    <n v="1166"/>
    <n v="456"/>
  </r>
  <r>
    <s v="NGA"/>
    <x v="0"/>
    <m/>
    <x v="16"/>
    <m/>
    <s v="EZINIHITTE"/>
    <m/>
    <n v="134043"/>
    <n v="134278"/>
    <n v="268321"/>
    <n v="15004"/>
    <n v="15690"/>
    <n v="17220"/>
    <n v="16834"/>
    <n v="13581"/>
    <n v="9936"/>
    <n v="7958"/>
    <n v="7136"/>
    <n v="6764"/>
    <n v="6079"/>
    <n v="4665"/>
    <n v="4281"/>
    <n v="2520"/>
    <n v="2843"/>
    <n v="1617"/>
    <n v="1320"/>
    <n v="595"/>
    <n v="14360"/>
    <n v="15046"/>
    <n v="16854"/>
    <n v="16232"/>
    <n v="11775"/>
    <n v="9842"/>
    <n v="8814"/>
    <n v="8607"/>
    <n v="6820"/>
    <n v="6613"/>
    <n v="4666"/>
    <n v="4910"/>
    <n v="2988"/>
    <n v="2995"/>
    <n v="1876"/>
    <n v="1212"/>
    <n v="668"/>
    <n v="29364"/>
    <n v="30736"/>
    <n v="34074"/>
    <n v="33066"/>
    <n v="25356"/>
    <n v="19778"/>
    <n v="16772"/>
    <n v="15743"/>
    <n v="13584"/>
    <n v="12692"/>
    <n v="9331"/>
    <n v="9191"/>
    <n v="5508"/>
    <n v="5838"/>
    <n v="3493"/>
    <n v="2532"/>
    <n v="1263"/>
  </r>
  <r>
    <s v="NGA"/>
    <x v="0"/>
    <m/>
    <x v="16"/>
    <m/>
    <s v="IDEATO NORTH"/>
    <m/>
    <n v="90104"/>
    <n v="89287"/>
    <n v="179391"/>
    <n v="10619"/>
    <n v="11382"/>
    <n v="12137"/>
    <n v="11433"/>
    <n v="8704"/>
    <n v="6553"/>
    <n v="5256"/>
    <n v="4716"/>
    <n v="4359"/>
    <n v="3952"/>
    <n v="3129"/>
    <n v="2518"/>
    <n v="1850"/>
    <n v="1483"/>
    <n v="969"/>
    <n v="706"/>
    <n v="338"/>
    <n v="10106"/>
    <n v="10717"/>
    <n v="11343"/>
    <n v="10660"/>
    <n v="7651"/>
    <n v="6447"/>
    <n v="5790"/>
    <n v="5744"/>
    <n v="4622"/>
    <n v="4263"/>
    <n v="2940"/>
    <n v="2988"/>
    <n v="1718"/>
    <n v="1923"/>
    <n v="1119"/>
    <n v="774"/>
    <n v="482"/>
    <n v="20725"/>
    <n v="22099"/>
    <n v="23480"/>
    <n v="22093"/>
    <n v="16355"/>
    <n v="13000"/>
    <n v="11046"/>
    <n v="10460"/>
    <n v="8981"/>
    <n v="8215"/>
    <n v="6069"/>
    <n v="5506"/>
    <n v="3568"/>
    <n v="3406"/>
    <n v="2088"/>
    <n v="1480"/>
    <n v="820"/>
  </r>
  <r>
    <s v="NGA"/>
    <x v="0"/>
    <m/>
    <x v="16"/>
    <m/>
    <s v="IDEATO SOUTH"/>
    <m/>
    <n v="141384"/>
    <n v="138727"/>
    <n v="280111"/>
    <n v="17627"/>
    <n v="18386"/>
    <n v="18946"/>
    <n v="17418"/>
    <n v="13338"/>
    <n v="10015"/>
    <n v="8066"/>
    <n v="7488"/>
    <n v="6922"/>
    <n v="6091"/>
    <n v="4929"/>
    <n v="3624"/>
    <n v="3298"/>
    <n v="2378"/>
    <n v="1482"/>
    <n v="913"/>
    <n v="463"/>
    <n v="16740"/>
    <n v="17044"/>
    <n v="17379"/>
    <n v="15248"/>
    <n v="11565"/>
    <n v="9950"/>
    <n v="8802"/>
    <n v="8867"/>
    <n v="7230"/>
    <n v="6650"/>
    <n v="4820"/>
    <n v="4420"/>
    <n v="3679"/>
    <n v="3633"/>
    <n v="1411"/>
    <n v="916"/>
    <n v="373"/>
    <n v="34367"/>
    <n v="35430"/>
    <n v="36325"/>
    <n v="32666"/>
    <n v="24903"/>
    <n v="19965"/>
    <n v="16868"/>
    <n v="16355"/>
    <n v="14152"/>
    <n v="12741"/>
    <n v="9749"/>
    <n v="8044"/>
    <n v="6977"/>
    <n v="6011"/>
    <n v="2893"/>
    <n v="1829"/>
    <n v="836"/>
  </r>
  <r>
    <s v="NGA"/>
    <x v="0"/>
    <m/>
    <x v="16"/>
    <m/>
    <s v="IHITTE/UBOMA"/>
    <m/>
    <n v="90871"/>
    <n v="89163"/>
    <n v="180034"/>
    <n v="10664"/>
    <n v="11308"/>
    <n v="12017"/>
    <n v="11537"/>
    <n v="9098"/>
    <n v="6505"/>
    <n v="5231"/>
    <n v="4781"/>
    <n v="4463"/>
    <n v="3981"/>
    <n v="2978"/>
    <n v="2898"/>
    <n v="1747"/>
    <n v="1650"/>
    <n v="906"/>
    <n v="753"/>
    <n v="354"/>
    <n v="10119"/>
    <n v="10520"/>
    <n v="11254"/>
    <n v="10778"/>
    <n v="7757"/>
    <n v="6471"/>
    <n v="5825"/>
    <n v="5782"/>
    <n v="4757"/>
    <n v="4357"/>
    <n v="3041"/>
    <n v="2880"/>
    <n v="1806"/>
    <n v="1669"/>
    <n v="1179"/>
    <n v="697"/>
    <n v="271"/>
    <n v="20783"/>
    <n v="21828"/>
    <n v="23271"/>
    <n v="22315"/>
    <n v="16855"/>
    <n v="12976"/>
    <n v="11056"/>
    <n v="10563"/>
    <n v="9220"/>
    <n v="8338"/>
    <n v="6019"/>
    <n v="5778"/>
    <n v="3553"/>
    <n v="3319"/>
    <n v="2085"/>
    <n v="1450"/>
    <n v="625"/>
  </r>
  <r>
    <s v="NGA"/>
    <x v="0"/>
    <m/>
    <x v="16"/>
    <m/>
    <s v="IKEDURU"/>
    <m/>
    <n v="89496"/>
    <n v="90869"/>
    <n v="180365"/>
    <n v="9902"/>
    <n v="10071"/>
    <n v="10915"/>
    <n v="10997"/>
    <n v="8908"/>
    <n v="6652"/>
    <n v="5252"/>
    <n v="4772"/>
    <n v="4599"/>
    <n v="4192"/>
    <n v="3364"/>
    <n v="2904"/>
    <n v="2089"/>
    <n v="2063"/>
    <n v="1354"/>
    <n v="1013"/>
    <n v="449"/>
    <n v="9423"/>
    <n v="9453"/>
    <n v="10807"/>
    <n v="10516"/>
    <n v="7836"/>
    <n v="6634"/>
    <n v="5730"/>
    <n v="5520"/>
    <n v="4704"/>
    <n v="4520"/>
    <n v="3646"/>
    <n v="3491"/>
    <n v="2750"/>
    <n v="2613"/>
    <n v="1700"/>
    <n v="1042"/>
    <n v="484"/>
    <n v="19325"/>
    <n v="19524"/>
    <n v="21722"/>
    <n v="21513"/>
    <n v="16744"/>
    <n v="13286"/>
    <n v="10982"/>
    <n v="10292"/>
    <n v="9303"/>
    <n v="8712"/>
    <n v="7010"/>
    <n v="6395"/>
    <n v="4839"/>
    <n v="4676"/>
    <n v="3054"/>
    <n v="2055"/>
    <n v="933"/>
  </r>
  <r>
    <s v="NGA"/>
    <x v="0"/>
    <m/>
    <x v="16"/>
    <m/>
    <s v="ISIALA MBANO"/>
    <m/>
    <n v="162824"/>
    <n v="158534"/>
    <n v="321358"/>
    <n v="19074"/>
    <n v="20365"/>
    <n v="21891"/>
    <n v="21455"/>
    <n v="15860"/>
    <n v="11502"/>
    <n v="9365"/>
    <n v="8553"/>
    <n v="8048"/>
    <n v="7062"/>
    <n v="5562"/>
    <n v="4619"/>
    <n v="3642"/>
    <n v="2572"/>
    <n v="1694"/>
    <n v="965"/>
    <n v="595"/>
    <n v="18131"/>
    <n v="18998"/>
    <n v="20103"/>
    <n v="18165"/>
    <n v="13368"/>
    <n v="11502"/>
    <n v="10279"/>
    <n v="10321"/>
    <n v="8315"/>
    <n v="7641"/>
    <n v="5324"/>
    <n v="5490"/>
    <n v="3362"/>
    <n v="3900"/>
    <n v="1855"/>
    <n v="1119"/>
    <n v="661"/>
    <n v="37205"/>
    <n v="39363"/>
    <n v="41994"/>
    <n v="39620"/>
    <n v="29228"/>
    <n v="23004"/>
    <n v="19644"/>
    <n v="18874"/>
    <n v="16363"/>
    <n v="14703"/>
    <n v="10886"/>
    <n v="10109"/>
    <n v="7004"/>
    <n v="6472"/>
    <n v="3549"/>
    <n v="2084"/>
    <n v="1256"/>
  </r>
  <r>
    <s v="NGA"/>
    <x v="0"/>
    <m/>
    <x v="16"/>
    <m/>
    <s v="ISU"/>
    <m/>
    <n v="156931"/>
    <n v="149599"/>
    <n v="306530"/>
    <n v="19977"/>
    <n v="20916"/>
    <n v="21266"/>
    <n v="19351"/>
    <n v="13874"/>
    <n v="10239"/>
    <n v="9030"/>
    <n v="8622"/>
    <n v="8142"/>
    <n v="7162"/>
    <n v="5596"/>
    <n v="4315"/>
    <n v="3449"/>
    <n v="2213"/>
    <n v="1377"/>
    <n v="877"/>
    <n v="525"/>
    <n v="18322"/>
    <n v="18625"/>
    <n v="19613"/>
    <n v="17157"/>
    <n v="12361"/>
    <n v="11349"/>
    <n v="10321"/>
    <n v="10159"/>
    <n v="7711"/>
    <n v="6898"/>
    <n v="4708"/>
    <n v="4147"/>
    <n v="3131"/>
    <n v="2483"/>
    <n v="1255"/>
    <n v="932"/>
    <n v="427"/>
    <n v="38299"/>
    <n v="39541"/>
    <n v="40879"/>
    <n v="36508"/>
    <n v="26235"/>
    <n v="21588"/>
    <n v="19351"/>
    <n v="18781"/>
    <n v="15853"/>
    <n v="14060"/>
    <n v="10304"/>
    <n v="8462"/>
    <n v="6580"/>
    <n v="4696"/>
    <n v="2632"/>
    <n v="1809"/>
    <n v="952"/>
  </r>
  <r>
    <s v="NGA"/>
    <x v="0"/>
    <m/>
    <x v="16"/>
    <m/>
    <s v="MBAITOLI"/>
    <m/>
    <n v="164909"/>
    <n v="165940"/>
    <n v="330849"/>
    <n v="19575"/>
    <n v="19983"/>
    <n v="20983"/>
    <n v="20284"/>
    <n v="16387"/>
    <n v="11954"/>
    <n v="9437"/>
    <n v="8775"/>
    <n v="8384"/>
    <n v="7481"/>
    <n v="5839"/>
    <n v="4985"/>
    <n v="3546"/>
    <n v="3261"/>
    <n v="1948"/>
    <n v="1422"/>
    <n v="665"/>
    <n v="18691"/>
    <n v="18978"/>
    <n v="20699"/>
    <n v="19055"/>
    <n v="14542"/>
    <n v="11907"/>
    <n v="10745"/>
    <n v="10548"/>
    <n v="8686"/>
    <n v="7951"/>
    <n v="6139"/>
    <n v="5457"/>
    <n v="4109"/>
    <n v="3725"/>
    <n v="2313"/>
    <n v="1584"/>
    <n v="811"/>
    <n v="38266"/>
    <n v="38961"/>
    <n v="41682"/>
    <n v="39339"/>
    <n v="30929"/>
    <n v="23861"/>
    <n v="20182"/>
    <n v="19323"/>
    <n v="17070"/>
    <n v="15432"/>
    <n v="11978"/>
    <n v="10442"/>
    <n v="7655"/>
    <n v="6986"/>
    <n v="4261"/>
    <n v="3006"/>
    <n v="1476"/>
  </r>
  <r>
    <s v="NGA"/>
    <x v="0"/>
    <m/>
    <x v="16"/>
    <m/>
    <s v="NGOR-OKPALA"/>
    <m/>
    <n v="79244"/>
    <n v="80893"/>
    <n v="160137"/>
    <n v="8996"/>
    <n v="9304"/>
    <n v="10226"/>
    <n v="10256"/>
    <n v="7915"/>
    <n v="5575"/>
    <n v="4410"/>
    <n v="3971"/>
    <n v="3846"/>
    <n v="3479"/>
    <n v="2945"/>
    <n v="2511"/>
    <n v="1754"/>
    <n v="1659"/>
    <n v="1150"/>
    <n v="849"/>
    <n v="398"/>
    <n v="8808"/>
    <n v="8709"/>
    <n v="9834"/>
    <n v="9561"/>
    <n v="6800"/>
    <n v="5561"/>
    <n v="5042"/>
    <n v="4867"/>
    <n v="4306"/>
    <n v="4041"/>
    <n v="3277"/>
    <n v="2983"/>
    <n v="2295"/>
    <n v="2069"/>
    <n v="1456"/>
    <n v="821"/>
    <n v="463"/>
    <n v="17804"/>
    <n v="18013"/>
    <n v="20060"/>
    <n v="19817"/>
    <n v="14715"/>
    <n v="11136"/>
    <n v="9452"/>
    <n v="8838"/>
    <n v="8152"/>
    <n v="7520"/>
    <n v="6222"/>
    <n v="5494"/>
    <n v="4049"/>
    <n v="3728"/>
    <n v="2606"/>
    <n v="1670"/>
    <n v="861"/>
  </r>
  <r>
    <s v="NGA"/>
    <x v="0"/>
    <m/>
    <x v="16"/>
    <m/>
    <s v="NJABA"/>
    <m/>
    <n v="134255"/>
    <n v="133402"/>
    <n v="267657"/>
    <n v="15337"/>
    <n v="16802"/>
    <n v="18480"/>
    <n v="17752"/>
    <n v="12939"/>
    <n v="9336"/>
    <n v="7535"/>
    <n v="7009"/>
    <n v="6706"/>
    <n v="5918"/>
    <n v="4633"/>
    <n v="3901"/>
    <n v="2782"/>
    <n v="2185"/>
    <n v="1428"/>
    <n v="978"/>
    <n v="534"/>
    <n v="14727"/>
    <n v="15696"/>
    <n v="17885"/>
    <n v="16576"/>
    <n v="11207"/>
    <n v="9428"/>
    <n v="8568"/>
    <n v="8452"/>
    <n v="6833"/>
    <n v="6271"/>
    <n v="4349"/>
    <n v="4465"/>
    <n v="2751"/>
    <n v="2798"/>
    <n v="1565"/>
    <n v="1332"/>
    <n v="499"/>
    <n v="30064"/>
    <n v="32498"/>
    <n v="36365"/>
    <n v="34328"/>
    <n v="24146"/>
    <n v="18764"/>
    <n v="16103"/>
    <n v="15461"/>
    <n v="13539"/>
    <n v="12189"/>
    <n v="8982"/>
    <n v="8366"/>
    <n v="5533"/>
    <n v="4983"/>
    <n v="2993"/>
    <n v="2310"/>
    <n v="1033"/>
  </r>
  <r>
    <s v="NGA"/>
    <x v="0"/>
    <m/>
    <x v="16"/>
    <m/>
    <s v="NKWERRE"/>
    <m/>
    <n v="58505"/>
    <n v="56904"/>
    <n v="115409"/>
    <n v="6412"/>
    <n v="6478"/>
    <n v="7355"/>
    <n v="7972"/>
    <n v="6001"/>
    <n v="4315"/>
    <n v="3671"/>
    <n v="3092"/>
    <n v="2884"/>
    <n v="2560"/>
    <n v="2101"/>
    <n v="1671"/>
    <n v="1319"/>
    <n v="1239"/>
    <n v="685"/>
    <n v="500"/>
    <n v="250"/>
    <n v="5961"/>
    <n v="6134"/>
    <n v="6997"/>
    <n v="7161"/>
    <n v="5147"/>
    <n v="4225"/>
    <n v="3771"/>
    <n v="3642"/>
    <n v="3005"/>
    <n v="2723"/>
    <n v="2107"/>
    <n v="1883"/>
    <n v="1207"/>
    <n v="1370"/>
    <n v="646"/>
    <n v="603"/>
    <n v="322"/>
    <n v="12373"/>
    <n v="12612"/>
    <n v="14352"/>
    <n v="15133"/>
    <n v="11148"/>
    <n v="8540"/>
    <n v="7442"/>
    <n v="6734"/>
    <n v="5889"/>
    <n v="5283"/>
    <n v="4208"/>
    <n v="3554"/>
    <n v="2526"/>
    <n v="2609"/>
    <n v="1331"/>
    <n v="1103"/>
    <n v="572"/>
  </r>
  <r>
    <s v="NGA"/>
    <x v="0"/>
    <m/>
    <x v="16"/>
    <m/>
    <s v="NWANGELE"/>
    <m/>
    <n v="93120"/>
    <n v="90470"/>
    <n v="183590"/>
    <n v="11408"/>
    <n v="11917"/>
    <n v="12224"/>
    <n v="11399"/>
    <n v="9150"/>
    <n v="6713"/>
    <n v="5263"/>
    <n v="4805"/>
    <n v="4599"/>
    <n v="4209"/>
    <n v="3034"/>
    <n v="3027"/>
    <n v="2001"/>
    <n v="1322"/>
    <n v="992"/>
    <n v="673"/>
    <n v="384"/>
    <n v="10387"/>
    <n v="11053"/>
    <n v="11341"/>
    <n v="10209"/>
    <n v="7891"/>
    <n v="6596"/>
    <n v="5928"/>
    <n v="6049"/>
    <n v="4749"/>
    <n v="4304"/>
    <n v="3012"/>
    <n v="3121"/>
    <n v="1901"/>
    <n v="1943"/>
    <n v="896"/>
    <n v="625"/>
    <n v="465"/>
    <n v="21795"/>
    <n v="22970"/>
    <n v="23565"/>
    <n v="21608"/>
    <n v="17041"/>
    <n v="13309"/>
    <n v="11191"/>
    <n v="10854"/>
    <n v="9348"/>
    <n v="8513"/>
    <n v="6046"/>
    <n v="6148"/>
    <n v="3902"/>
    <n v="3265"/>
    <n v="1888"/>
    <n v="1298"/>
    <n v="849"/>
  </r>
  <r>
    <s v="NGA"/>
    <x v="0"/>
    <m/>
    <x v="16"/>
    <m/>
    <s v="OBOWO"/>
    <m/>
    <n v="92157"/>
    <n v="94718"/>
    <n v="186875"/>
    <n v="11399"/>
    <n v="12112"/>
    <n v="12248"/>
    <n v="11557"/>
    <n v="8609"/>
    <n v="5941"/>
    <n v="5640"/>
    <n v="4625"/>
    <n v="4420"/>
    <n v="4228"/>
    <n v="2895"/>
    <n v="2868"/>
    <n v="1809"/>
    <n v="1476"/>
    <n v="1003"/>
    <n v="936"/>
    <n v="391"/>
    <n v="10892"/>
    <n v="11327"/>
    <n v="11696"/>
    <n v="11526"/>
    <n v="8440"/>
    <n v="6910"/>
    <n v="6075"/>
    <n v="5926"/>
    <n v="4868"/>
    <n v="4543"/>
    <n v="3199"/>
    <n v="3201"/>
    <n v="1680"/>
    <n v="2054"/>
    <n v="1177"/>
    <n v="869"/>
    <n v="335"/>
    <n v="22291"/>
    <n v="23439"/>
    <n v="23944"/>
    <n v="23083"/>
    <n v="17049"/>
    <n v="12851"/>
    <n v="11715"/>
    <n v="10551"/>
    <n v="9288"/>
    <n v="8771"/>
    <n v="6094"/>
    <n v="6069"/>
    <n v="3489"/>
    <n v="3530"/>
    <n v="2180"/>
    <n v="1805"/>
    <n v="726"/>
  </r>
  <r>
    <s v="NGA"/>
    <x v="0"/>
    <m/>
    <x v="16"/>
    <m/>
    <s v="OGUTA"/>
    <m/>
    <n v="102537"/>
    <n v="99423"/>
    <n v="201960"/>
    <n v="11913"/>
    <n v="12343"/>
    <n v="13169"/>
    <n v="12686"/>
    <n v="10816"/>
    <n v="7756"/>
    <n v="6087"/>
    <n v="5356"/>
    <n v="5027"/>
    <n v="4332"/>
    <n v="3566"/>
    <n v="3040"/>
    <n v="2017"/>
    <n v="2006"/>
    <n v="1160"/>
    <n v="841"/>
    <n v="422"/>
    <n v="11244"/>
    <n v="11571"/>
    <n v="12267"/>
    <n v="11293"/>
    <n v="9050"/>
    <n v="7152"/>
    <n v="6494"/>
    <n v="6427"/>
    <n v="5255"/>
    <n v="4832"/>
    <n v="3513"/>
    <n v="3399"/>
    <n v="2276"/>
    <n v="2089"/>
    <n v="1210"/>
    <n v="868"/>
    <n v="483"/>
    <n v="23157"/>
    <n v="23914"/>
    <n v="25436"/>
    <n v="23979"/>
    <n v="19866"/>
    <n v="14908"/>
    <n v="12581"/>
    <n v="11783"/>
    <n v="10282"/>
    <n v="9164"/>
    <n v="7079"/>
    <n v="6439"/>
    <n v="4293"/>
    <n v="4095"/>
    <n v="2370"/>
    <n v="1709"/>
    <n v="905"/>
  </r>
  <r>
    <s v="NGA"/>
    <x v="0"/>
    <m/>
    <x v="16"/>
    <m/>
    <s v="OHAJI/EGBEMA"/>
    <m/>
    <n v="123418"/>
    <n v="121309"/>
    <n v="244727"/>
    <n v="15352"/>
    <n v="15323"/>
    <n v="16364"/>
    <n v="15662"/>
    <n v="11958"/>
    <n v="8772"/>
    <n v="7296"/>
    <n v="6466"/>
    <n v="6195"/>
    <n v="5365"/>
    <n v="4286"/>
    <n v="3187"/>
    <n v="2455"/>
    <n v="2002"/>
    <n v="1347"/>
    <n v="859"/>
    <n v="529"/>
    <n v="14306"/>
    <n v="14419"/>
    <n v="15505"/>
    <n v="14117"/>
    <n v="10602"/>
    <n v="8719"/>
    <n v="7783"/>
    <n v="7702"/>
    <n v="6366"/>
    <n v="5641"/>
    <n v="4325"/>
    <n v="3806"/>
    <n v="2682"/>
    <n v="2194"/>
    <n v="1506"/>
    <n v="1018"/>
    <n v="618"/>
    <n v="29658"/>
    <n v="29742"/>
    <n v="31869"/>
    <n v="29779"/>
    <n v="22560"/>
    <n v="17491"/>
    <n v="15079"/>
    <n v="14168"/>
    <n v="12561"/>
    <n v="11006"/>
    <n v="8611"/>
    <n v="6993"/>
    <n v="5137"/>
    <n v="4196"/>
    <n v="2853"/>
    <n v="1877"/>
    <n v="1147"/>
  </r>
  <r>
    <s v="NGA"/>
    <x v="0"/>
    <m/>
    <x v="16"/>
    <m/>
    <s v="OKIGWE"/>
    <m/>
    <n v="102039"/>
    <n v="98626"/>
    <n v="200665"/>
    <n v="11143"/>
    <n v="11661"/>
    <n v="13463"/>
    <n v="13494"/>
    <n v="11094"/>
    <n v="7902"/>
    <n v="5887"/>
    <n v="5222"/>
    <n v="5015"/>
    <n v="4558"/>
    <n v="3563"/>
    <n v="3086"/>
    <n v="1996"/>
    <n v="1722"/>
    <n v="1163"/>
    <n v="664"/>
    <n v="406"/>
    <n v="10626"/>
    <n v="10971"/>
    <n v="12815"/>
    <n v="12335"/>
    <n v="9340"/>
    <n v="7291"/>
    <n v="6508"/>
    <n v="6310"/>
    <n v="5126"/>
    <n v="4718"/>
    <n v="3314"/>
    <n v="3003"/>
    <n v="1840"/>
    <n v="1979"/>
    <n v="1110"/>
    <n v="948"/>
    <n v="392"/>
    <n v="21769"/>
    <n v="22632"/>
    <n v="26278"/>
    <n v="25829"/>
    <n v="20434"/>
    <n v="15193"/>
    <n v="12395"/>
    <n v="11532"/>
    <n v="10141"/>
    <n v="9276"/>
    <n v="6877"/>
    <n v="6089"/>
    <n v="3836"/>
    <n v="3701"/>
    <n v="2273"/>
    <n v="1612"/>
    <n v="798"/>
  </r>
  <r>
    <s v="NGA"/>
    <x v="0"/>
    <m/>
    <x v="16"/>
    <m/>
    <s v="ONUIMO"/>
    <m/>
    <n v="76384"/>
    <n v="73877"/>
    <n v="150261"/>
    <n v="8527"/>
    <n v="9469"/>
    <n v="10196"/>
    <n v="9854"/>
    <n v="7659"/>
    <n v="5584"/>
    <n v="4406"/>
    <n v="4000"/>
    <n v="3691"/>
    <n v="3371"/>
    <n v="2548"/>
    <n v="2396"/>
    <n v="1527"/>
    <n v="1525"/>
    <n v="907"/>
    <n v="406"/>
    <n v="318"/>
    <n v="8062"/>
    <n v="8815"/>
    <n v="9453"/>
    <n v="8761"/>
    <n v="6327"/>
    <n v="5394"/>
    <n v="4738"/>
    <n v="4605"/>
    <n v="3822"/>
    <n v="3624"/>
    <n v="2510"/>
    <n v="2769"/>
    <n v="1337"/>
    <n v="1879"/>
    <n v="989"/>
    <n v="436"/>
    <n v="356"/>
    <n v="16589"/>
    <n v="18284"/>
    <n v="19649"/>
    <n v="18615"/>
    <n v="13986"/>
    <n v="10978"/>
    <n v="9144"/>
    <n v="8605"/>
    <n v="7513"/>
    <n v="6995"/>
    <n v="5058"/>
    <n v="5165"/>
    <n v="2864"/>
    <n v="3404"/>
    <n v="1896"/>
    <n v="842"/>
    <n v="674"/>
  </r>
  <r>
    <s v="NGA"/>
    <x v="0"/>
    <m/>
    <x v="16"/>
    <m/>
    <s v="ORLU"/>
    <m/>
    <n v="73362"/>
    <n v="78163"/>
    <n v="151525"/>
    <n v="8515"/>
    <n v="8570"/>
    <n v="9607"/>
    <n v="9558"/>
    <n v="7108"/>
    <n v="5161"/>
    <n v="4219"/>
    <n v="3866"/>
    <n v="3510"/>
    <n v="3326"/>
    <n v="2473"/>
    <n v="2446"/>
    <n v="1588"/>
    <n v="1531"/>
    <n v="874"/>
    <n v="711"/>
    <n v="299"/>
    <n v="8161"/>
    <n v="8138"/>
    <n v="11490"/>
    <n v="10486"/>
    <n v="6617"/>
    <n v="5338"/>
    <n v="4736"/>
    <n v="4570"/>
    <n v="3707"/>
    <n v="3685"/>
    <n v="2553"/>
    <n v="2830"/>
    <n v="1822"/>
    <n v="1809"/>
    <n v="1023"/>
    <n v="815"/>
    <n v="383"/>
    <n v="16676"/>
    <n v="16708"/>
    <n v="21097"/>
    <n v="20044"/>
    <n v="13725"/>
    <n v="10499"/>
    <n v="8955"/>
    <n v="8436"/>
    <n v="7217"/>
    <n v="7011"/>
    <n v="5026"/>
    <n v="5276"/>
    <n v="3410"/>
    <n v="3340"/>
    <n v="1897"/>
    <n v="1526"/>
    <n v="682"/>
  </r>
  <r>
    <s v="NGA"/>
    <x v="0"/>
    <m/>
    <x v="16"/>
    <m/>
    <s v="ORSU"/>
    <m/>
    <n v="72047"/>
    <n v="71923"/>
    <n v="143970"/>
    <n v="8492"/>
    <n v="8934"/>
    <n v="9414"/>
    <n v="8987"/>
    <n v="6950"/>
    <n v="5304"/>
    <n v="4263"/>
    <n v="3839"/>
    <n v="3601"/>
    <n v="3176"/>
    <n v="2550"/>
    <n v="2102"/>
    <n v="1456"/>
    <n v="1230"/>
    <n v="865"/>
    <n v="597"/>
    <n v="287"/>
    <n v="7986"/>
    <n v="8434"/>
    <n v="9113"/>
    <n v="8542"/>
    <n v="6268"/>
    <n v="5324"/>
    <n v="4584"/>
    <n v="4638"/>
    <n v="3713"/>
    <n v="3451"/>
    <n v="2310"/>
    <n v="2577"/>
    <n v="1669"/>
    <n v="1586"/>
    <n v="788"/>
    <n v="618"/>
    <n v="322"/>
    <n v="16478"/>
    <n v="17368"/>
    <n v="18527"/>
    <n v="17529"/>
    <n v="13218"/>
    <n v="10628"/>
    <n v="8847"/>
    <n v="8477"/>
    <n v="7314"/>
    <n v="6627"/>
    <n v="4860"/>
    <n v="4679"/>
    <n v="3125"/>
    <n v="2816"/>
    <n v="1653"/>
    <n v="1215"/>
    <n v="609"/>
  </r>
  <r>
    <s v="NGA"/>
    <x v="0"/>
    <m/>
    <x v="16"/>
    <m/>
    <s v="ORU EAST"/>
    <m/>
    <n v="73480"/>
    <n v="74015"/>
    <n v="147495"/>
    <n v="7864"/>
    <n v="8758"/>
    <n v="9986"/>
    <n v="9594"/>
    <n v="7154"/>
    <n v="5236"/>
    <n v="4182"/>
    <n v="3820"/>
    <n v="3565"/>
    <n v="3246"/>
    <n v="2488"/>
    <n v="2366"/>
    <n v="1539"/>
    <n v="1603"/>
    <n v="999"/>
    <n v="731"/>
    <n v="349"/>
    <n v="7494"/>
    <n v="8201"/>
    <n v="9789"/>
    <n v="8927"/>
    <n v="6415"/>
    <n v="5187"/>
    <n v="4593"/>
    <n v="4480"/>
    <n v="3827"/>
    <n v="3642"/>
    <n v="2630"/>
    <n v="2736"/>
    <n v="1889"/>
    <n v="2020"/>
    <n v="1069"/>
    <n v="779"/>
    <n v="337"/>
    <n v="15358"/>
    <n v="16959"/>
    <n v="19775"/>
    <n v="18521"/>
    <n v="13569"/>
    <n v="10423"/>
    <n v="8775"/>
    <n v="8300"/>
    <n v="7392"/>
    <n v="6888"/>
    <n v="5118"/>
    <n v="5102"/>
    <n v="3428"/>
    <n v="3623"/>
    <n v="2068"/>
    <n v="1510"/>
    <n v="686"/>
  </r>
  <r>
    <s v="NGA"/>
    <x v="0"/>
    <m/>
    <x v="16"/>
    <m/>
    <s v="ORU WEST"/>
    <m/>
    <n v="77706"/>
    <n v="75019"/>
    <n v="152725"/>
    <n v="8955"/>
    <n v="10424"/>
    <n v="11371"/>
    <n v="10375"/>
    <n v="7429"/>
    <n v="5299"/>
    <n v="4212"/>
    <n v="3871"/>
    <n v="3650"/>
    <n v="3225"/>
    <n v="2461"/>
    <n v="2226"/>
    <n v="1379"/>
    <n v="1287"/>
    <n v="756"/>
    <n v="489"/>
    <n v="297"/>
    <n v="8579"/>
    <n v="10241"/>
    <n v="10272"/>
    <n v="8372"/>
    <n v="6169"/>
    <n v="5218"/>
    <n v="4663"/>
    <n v="4633"/>
    <n v="3787"/>
    <n v="3540"/>
    <n v="2591"/>
    <n v="2195"/>
    <n v="1508"/>
    <n v="1391"/>
    <n v="938"/>
    <n v="657"/>
    <n v="265"/>
    <n v="17534"/>
    <n v="20665"/>
    <n v="21643"/>
    <n v="18747"/>
    <n v="13598"/>
    <n v="10517"/>
    <n v="8875"/>
    <n v="8504"/>
    <n v="7437"/>
    <n v="6765"/>
    <n v="5052"/>
    <n v="4421"/>
    <n v="2887"/>
    <n v="2678"/>
    <n v="1694"/>
    <n v="1146"/>
    <n v="562"/>
  </r>
  <r>
    <s v="NGA"/>
    <x v="0"/>
    <m/>
    <x v="16"/>
    <m/>
    <s v="OWERRI MUNICIPAL"/>
    <m/>
    <n v="74651"/>
    <n v="77496"/>
    <n v="152147"/>
    <n v="7601"/>
    <n v="6404"/>
    <n v="7679"/>
    <n v="7914"/>
    <n v="9451"/>
    <n v="7573"/>
    <n v="5713"/>
    <n v="5013"/>
    <n v="4320"/>
    <n v="4175"/>
    <n v="2841"/>
    <n v="2571"/>
    <n v="1273"/>
    <n v="1169"/>
    <n v="525"/>
    <n v="322"/>
    <n v="107"/>
    <n v="7223"/>
    <n v="6701"/>
    <n v="10466"/>
    <n v="10690"/>
    <n v="10429"/>
    <n v="7085"/>
    <n v="5176"/>
    <n v="4757"/>
    <n v="3699"/>
    <n v="3368"/>
    <n v="2364"/>
    <n v="2231"/>
    <n v="1088"/>
    <n v="1073"/>
    <n v="583"/>
    <n v="375"/>
    <n v="188"/>
    <n v="14824"/>
    <n v="13105"/>
    <n v="18145"/>
    <n v="18604"/>
    <n v="19880"/>
    <n v="14658"/>
    <n v="10889"/>
    <n v="9770"/>
    <n v="8019"/>
    <n v="7543"/>
    <n v="5205"/>
    <n v="4802"/>
    <n v="2361"/>
    <n v="2242"/>
    <n v="1108"/>
    <n v="697"/>
    <n v="295"/>
  </r>
  <r>
    <s v="NGA"/>
    <x v="0"/>
    <m/>
    <x v="16"/>
    <m/>
    <s v="OWERRI NORTH"/>
    <m/>
    <n v="105476"/>
    <n v="108568"/>
    <n v="214044"/>
    <n v="12049"/>
    <n v="10510"/>
    <n v="12884"/>
    <n v="12551"/>
    <n v="11922"/>
    <n v="8456"/>
    <n v="6544"/>
    <n v="5619"/>
    <n v="5405"/>
    <n v="5241"/>
    <n v="3808"/>
    <n v="3724"/>
    <n v="2007"/>
    <n v="2162"/>
    <n v="1213"/>
    <n v="1002"/>
    <n v="379"/>
    <n v="11511"/>
    <n v="10537"/>
    <n v="13511"/>
    <n v="12928"/>
    <n v="11317"/>
    <n v="8296"/>
    <n v="6671"/>
    <n v="6404"/>
    <n v="5291"/>
    <n v="5184"/>
    <n v="3901"/>
    <n v="3997"/>
    <n v="2626"/>
    <n v="2626"/>
    <n v="1809"/>
    <n v="1288"/>
    <n v="671"/>
    <n v="23560"/>
    <n v="21047"/>
    <n v="26395"/>
    <n v="25479"/>
    <n v="23239"/>
    <n v="16752"/>
    <n v="13215"/>
    <n v="12023"/>
    <n v="10696"/>
    <n v="10425"/>
    <n v="7709"/>
    <n v="7721"/>
    <n v="4633"/>
    <n v="4788"/>
    <n v="3022"/>
    <n v="2290"/>
    <n v="1050"/>
  </r>
  <r>
    <s v="NGA"/>
    <x v="0"/>
    <m/>
    <x v="16"/>
    <m/>
    <s v="OWERRI WEST"/>
    <m/>
    <n v="60273"/>
    <n v="63242"/>
    <n v="123515"/>
    <n v="7092"/>
    <n v="5377"/>
    <n v="6133"/>
    <n v="6486"/>
    <n v="8990"/>
    <n v="5683"/>
    <n v="3789"/>
    <n v="2929"/>
    <n v="2505"/>
    <n v="2605"/>
    <n v="2187"/>
    <n v="2088"/>
    <n v="1670"/>
    <n v="1099"/>
    <n v="675"/>
    <n v="632"/>
    <n v="333"/>
    <n v="8061"/>
    <n v="4950"/>
    <n v="6154"/>
    <n v="6871"/>
    <n v="7321"/>
    <n v="4354"/>
    <n v="4367"/>
    <n v="3195"/>
    <n v="3517"/>
    <n v="2773"/>
    <n v="2306"/>
    <n v="2065"/>
    <n v="2454"/>
    <n v="1883"/>
    <n v="1042"/>
    <n v="1436"/>
    <n v="493"/>
    <n v="15153"/>
    <n v="10327"/>
    <n v="12287"/>
    <n v="13357"/>
    <n v="16311"/>
    <n v="10037"/>
    <n v="8156"/>
    <n v="6124"/>
    <n v="6022"/>
    <n v="5378"/>
    <n v="4493"/>
    <n v="4153"/>
    <n v="4124"/>
    <n v="2982"/>
    <n v="1717"/>
    <n v="2068"/>
    <n v="826"/>
  </r>
  <r>
    <s v="NGA"/>
    <x v="0"/>
    <m/>
    <x v="17"/>
    <m/>
    <s v="AUYO"/>
    <m/>
    <n v="94903"/>
    <n v="90634"/>
    <n v="185537"/>
    <n v="19744"/>
    <n v="15462"/>
    <n v="11623"/>
    <n v="9498"/>
    <n v="6718"/>
    <n v="5952"/>
    <n v="5933"/>
    <n v="5028"/>
    <n v="4340"/>
    <n v="2723"/>
    <n v="2778"/>
    <n v="1242"/>
    <n v="1404"/>
    <n v="716"/>
    <n v="1032"/>
    <n v="335"/>
    <n v="375"/>
    <n v="17828"/>
    <n v="14382"/>
    <n v="10670"/>
    <n v="9294"/>
    <n v="8051"/>
    <n v="6766"/>
    <n v="5921"/>
    <n v="4300"/>
    <n v="3857"/>
    <n v="2358"/>
    <n v="2521"/>
    <n v="1054"/>
    <n v="1387"/>
    <n v="677"/>
    <n v="930"/>
    <n v="297"/>
    <n v="341"/>
    <n v="37572"/>
    <n v="29844"/>
    <n v="22293"/>
    <n v="18792"/>
    <n v="14769"/>
    <n v="12718"/>
    <n v="11854"/>
    <n v="9328"/>
    <n v="8197"/>
    <n v="5081"/>
    <n v="5299"/>
    <n v="2296"/>
    <n v="2791"/>
    <n v="1393"/>
    <n v="1962"/>
    <n v="632"/>
    <n v="716"/>
  </r>
  <r>
    <s v="NGA"/>
    <x v="0"/>
    <m/>
    <x v="17"/>
    <m/>
    <s v="BABURA"/>
    <m/>
    <n v="140911"/>
    <n v="141035"/>
    <n v="281946"/>
    <n v="28763"/>
    <n v="22972"/>
    <n v="16842"/>
    <n v="13799"/>
    <n v="9746"/>
    <n v="8726"/>
    <n v="8975"/>
    <n v="6911"/>
    <n v="6781"/>
    <n v="4183"/>
    <n v="4494"/>
    <n v="1903"/>
    <n v="2728"/>
    <n v="1117"/>
    <n v="1762"/>
    <n v="528"/>
    <n v="681"/>
    <n v="26912"/>
    <n v="21988"/>
    <n v="16455"/>
    <n v="14374"/>
    <n v="12336"/>
    <n v="10170"/>
    <n v="9204"/>
    <n v="6632"/>
    <n v="6486"/>
    <n v="3872"/>
    <n v="4253"/>
    <n v="2023"/>
    <n v="2568"/>
    <n v="1095"/>
    <n v="1548"/>
    <n v="488"/>
    <n v="631"/>
    <n v="55675"/>
    <n v="44960"/>
    <n v="33297"/>
    <n v="28173"/>
    <n v="22082"/>
    <n v="18896"/>
    <n v="18179"/>
    <n v="13543"/>
    <n v="13267"/>
    <n v="8055"/>
    <n v="8747"/>
    <n v="3926"/>
    <n v="5296"/>
    <n v="2212"/>
    <n v="3310"/>
    <n v="1016"/>
    <n v="1312"/>
  </r>
  <r>
    <s v="NGA"/>
    <x v="0"/>
    <m/>
    <x v="17"/>
    <m/>
    <s v="BIRNIN KUDU"/>
    <m/>
    <n v="187798"/>
    <n v="194690"/>
    <n v="382488"/>
    <n v="39151"/>
    <n v="30642"/>
    <n v="20705"/>
    <n v="16171"/>
    <n v="11726"/>
    <n v="11877"/>
    <n v="13066"/>
    <n v="9647"/>
    <n v="9819"/>
    <n v="5250"/>
    <n v="6394"/>
    <n v="3137"/>
    <n v="4131"/>
    <n v="1734"/>
    <n v="2579"/>
    <n v="867"/>
    <n v="902"/>
    <n v="36936"/>
    <n v="31985"/>
    <n v="21658"/>
    <n v="19579"/>
    <n v="18118"/>
    <n v="13887"/>
    <n v="13097"/>
    <n v="8415"/>
    <n v="8953"/>
    <n v="4234"/>
    <n v="5563"/>
    <n v="2783"/>
    <n v="3689"/>
    <n v="1547"/>
    <n v="2497"/>
    <n v="810"/>
    <n v="939"/>
    <n v="76087"/>
    <n v="62627"/>
    <n v="42363"/>
    <n v="35750"/>
    <n v="29844"/>
    <n v="25764"/>
    <n v="26163"/>
    <n v="18062"/>
    <n v="18772"/>
    <n v="9484"/>
    <n v="11957"/>
    <n v="5920"/>
    <n v="7820"/>
    <n v="3281"/>
    <n v="5076"/>
    <n v="1677"/>
    <n v="1841"/>
  </r>
  <r>
    <s v="NGA"/>
    <x v="0"/>
    <m/>
    <x v="17"/>
    <m/>
    <s v="BIRNIWA"/>
    <m/>
    <n v="74590"/>
    <n v="68461"/>
    <n v="143051"/>
    <n v="15615"/>
    <n v="12457"/>
    <n v="8704"/>
    <n v="7059"/>
    <n v="5133"/>
    <n v="4365"/>
    <n v="5065"/>
    <n v="3801"/>
    <n v="3618"/>
    <n v="2161"/>
    <n v="2300"/>
    <n v="991"/>
    <n v="1375"/>
    <n v="578"/>
    <n v="764"/>
    <n v="271"/>
    <n v="333"/>
    <n v="13269"/>
    <n v="10506"/>
    <n v="7681"/>
    <n v="7436"/>
    <n v="6387"/>
    <n v="5199"/>
    <n v="4596"/>
    <n v="3097"/>
    <n v="2963"/>
    <n v="1588"/>
    <n v="1763"/>
    <n v="1019"/>
    <n v="1113"/>
    <n v="614"/>
    <n v="677"/>
    <n v="263"/>
    <n v="290"/>
    <n v="28884"/>
    <n v="22963"/>
    <n v="16385"/>
    <n v="14495"/>
    <n v="11520"/>
    <n v="9564"/>
    <n v="9661"/>
    <n v="6898"/>
    <n v="6581"/>
    <n v="3749"/>
    <n v="4063"/>
    <n v="2010"/>
    <n v="2488"/>
    <n v="1192"/>
    <n v="1441"/>
    <n v="534"/>
    <n v="623"/>
  </r>
  <r>
    <s v="NGA"/>
    <x v="0"/>
    <m/>
    <x v="17"/>
    <m/>
    <s v="BUJI"/>
    <m/>
    <n v="59741"/>
    <n v="58723"/>
    <n v="118464"/>
    <n v="12574"/>
    <n v="10032"/>
    <n v="7539"/>
    <n v="5728"/>
    <n v="3678"/>
    <n v="3128"/>
    <n v="3762"/>
    <n v="3081"/>
    <n v="2815"/>
    <n v="1779"/>
    <n v="1851"/>
    <n v="959"/>
    <n v="1135"/>
    <n v="435"/>
    <n v="739"/>
    <n v="244"/>
    <n v="262"/>
    <n v="11467"/>
    <n v="9486"/>
    <n v="7067"/>
    <n v="5788"/>
    <n v="5064"/>
    <n v="4209"/>
    <n v="3899"/>
    <n v="2718"/>
    <n v="2551"/>
    <n v="1491"/>
    <n v="1594"/>
    <n v="800"/>
    <n v="1103"/>
    <n v="451"/>
    <n v="618"/>
    <n v="183"/>
    <n v="234"/>
    <n v="24041"/>
    <n v="19518"/>
    <n v="14606"/>
    <n v="11516"/>
    <n v="8742"/>
    <n v="7337"/>
    <n v="7661"/>
    <n v="5799"/>
    <n v="5366"/>
    <n v="3270"/>
    <n v="3445"/>
    <n v="1759"/>
    <n v="2238"/>
    <n v="886"/>
    <n v="1357"/>
    <n v="427"/>
    <n v="496"/>
  </r>
  <r>
    <s v="NGA"/>
    <x v="0"/>
    <m/>
    <x v="17"/>
    <m/>
    <s v="DUTSE"/>
    <m/>
    <n v="199305"/>
    <n v="197482"/>
    <n v="396787"/>
    <n v="39462"/>
    <n v="32580"/>
    <n v="23798"/>
    <n v="19033"/>
    <n v="12944"/>
    <n v="12462"/>
    <n v="13010"/>
    <n v="10413"/>
    <n v="10009"/>
    <n v="5853"/>
    <n v="6757"/>
    <n v="3216"/>
    <n v="3976"/>
    <n v="1666"/>
    <n v="2495"/>
    <n v="800"/>
    <n v="831"/>
    <n v="37246"/>
    <n v="32414"/>
    <n v="22853"/>
    <n v="19452"/>
    <n v="17562"/>
    <n v="14513"/>
    <n v="13587"/>
    <n v="9016"/>
    <n v="9206"/>
    <n v="4576"/>
    <n v="5514"/>
    <n v="2702"/>
    <n v="3500"/>
    <n v="1446"/>
    <n v="2227"/>
    <n v="774"/>
    <n v="894"/>
    <n v="76708"/>
    <n v="64994"/>
    <n v="46651"/>
    <n v="38485"/>
    <n v="30506"/>
    <n v="26975"/>
    <n v="26597"/>
    <n v="19429"/>
    <n v="19215"/>
    <n v="10429"/>
    <n v="12271"/>
    <n v="5918"/>
    <n v="7476"/>
    <n v="3112"/>
    <n v="4722"/>
    <n v="1574"/>
    <n v="1725"/>
  </r>
  <r>
    <s v="NGA"/>
    <x v="0"/>
    <m/>
    <x v="17"/>
    <m/>
    <s v="GAGARAWA"/>
    <m/>
    <n v="73617"/>
    <n v="71565"/>
    <n v="145182"/>
    <n v="15050"/>
    <n v="11921"/>
    <n v="8989"/>
    <n v="7304"/>
    <n v="5315"/>
    <n v="4815"/>
    <n v="4647"/>
    <n v="3803"/>
    <n v="3369"/>
    <n v="2146"/>
    <n v="2165"/>
    <n v="1064"/>
    <n v="1178"/>
    <n v="531"/>
    <n v="722"/>
    <n v="259"/>
    <n v="339"/>
    <n v="13870"/>
    <n v="11226"/>
    <n v="8365"/>
    <n v="7531"/>
    <n v="6391"/>
    <n v="5339"/>
    <n v="4604"/>
    <n v="3420"/>
    <n v="3049"/>
    <n v="2016"/>
    <n v="1908"/>
    <n v="944"/>
    <n v="1102"/>
    <n v="540"/>
    <n v="633"/>
    <n v="284"/>
    <n v="343"/>
    <n v="28920"/>
    <n v="23147"/>
    <n v="17354"/>
    <n v="14835"/>
    <n v="11706"/>
    <n v="10154"/>
    <n v="9251"/>
    <n v="7223"/>
    <n v="6418"/>
    <n v="4162"/>
    <n v="4073"/>
    <n v="2008"/>
    <n v="2280"/>
    <n v="1071"/>
    <n v="1355"/>
    <n v="543"/>
    <n v="682"/>
  </r>
  <r>
    <s v="NGA"/>
    <x v="0"/>
    <m/>
    <x v="17"/>
    <m/>
    <s v="GARKI"/>
    <m/>
    <n v="91315"/>
    <n v="92054"/>
    <n v="183369"/>
    <n v="19718"/>
    <n v="14437"/>
    <n v="10292"/>
    <n v="8035"/>
    <n v="5821"/>
    <n v="5226"/>
    <n v="6281"/>
    <n v="4532"/>
    <n v="4831"/>
    <n v="2771"/>
    <n v="3247"/>
    <n v="1361"/>
    <n v="2064"/>
    <n v="616"/>
    <n v="1342"/>
    <n v="302"/>
    <n v="439"/>
    <n v="17825"/>
    <n v="14109"/>
    <n v="9924"/>
    <n v="8848"/>
    <n v="8175"/>
    <n v="6924"/>
    <n v="6596"/>
    <n v="4378"/>
    <n v="4510"/>
    <n v="2377"/>
    <n v="2722"/>
    <n v="1307"/>
    <n v="1699"/>
    <n v="729"/>
    <n v="1099"/>
    <n v="347"/>
    <n v="485"/>
    <n v="37543"/>
    <n v="28546"/>
    <n v="20216"/>
    <n v="16883"/>
    <n v="13996"/>
    <n v="12150"/>
    <n v="12877"/>
    <n v="8910"/>
    <n v="9341"/>
    <n v="5148"/>
    <n v="5969"/>
    <n v="2668"/>
    <n v="3763"/>
    <n v="1345"/>
    <n v="2441"/>
    <n v="649"/>
    <n v="924"/>
  </r>
  <r>
    <s v="NGA"/>
    <x v="0"/>
    <m/>
    <x v="17"/>
    <m/>
    <s v="GUMEL"/>
    <m/>
    <n v="97354"/>
    <n v="90631"/>
    <n v="187985"/>
    <n v="19010"/>
    <n v="14801"/>
    <n v="11967"/>
    <n v="10043"/>
    <n v="8438"/>
    <n v="7220"/>
    <n v="6261"/>
    <n v="4993"/>
    <n v="4073"/>
    <n v="2932"/>
    <n v="2624"/>
    <n v="1292"/>
    <n v="1464"/>
    <n v="730"/>
    <n v="774"/>
    <n v="410"/>
    <n v="322"/>
    <n v="18120"/>
    <n v="13925"/>
    <n v="11017"/>
    <n v="9560"/>
    <n v="7840"/>
    <n v="6651"/>
    <n v="5525"/>
    <n v="4304"/>
    <n v="3647"/>
    <n v="2575"/>
    <n v="2429"/>
    <n v="1199"/>
    <n v="1487"/>
    <n v="635"/>
    <n v="896"/>
    <n v="469"/>
    <n v="352"/>
    <n v="37130"/>
    <n v="28726"/>
    <n v="22984"/>
    <n v="19603"/>
    <n v="16278"/>
    <n v="13871"/>
    <n v="11786"/>
    <n v="9297"/>
    <n v="7720"/>
    <n v="5507"/>
    <n v="5053"/>
    <n v="2491"/>
    <n v="2951"/>
    <n v="1365"/>
    <n v="1670"/>
    <n v="879"/>
    <n v="674"/>
  </r>
  <r>
    <s v="NGA"/>
    <x v="0"/>
    <m/>
    <x v="17"/>
    <m/>
    <s v="GURI"/>
    <m/>
    <n v="82246"/>
    <n v="77003"/>
    <n v="159249"/>
    <n v="16281"/>
    <n v="13235"/>
    <n v="9888"/>
    <n v="8512"/>
    <n v="6025"/>
    <n v="5055"/>
    <n v="5330"/>
    <n v="3955"/>
    <n v="3900"/>
    <n v="2321"/>
    <n v="2675"/>
    <n v="1176"/>
    <n v="1547"/>
    <n v="669"/>
    <n v="999"/>
    <n v="303"/>
    <n v="375"/>
    <n v="14653"/>
    <n v="12224"/>
    <n v="9179"/>
    <n v="7964"/>
    <n v="6828"/>
    <n v="5572"/>
    <n v="4945"/>
    <n v="3450"/>
    <n v="3466"/>
    <n v="1982"/>
    <n v="2238"/>
    <n v="995"/>
    <n v="1421"/>
    <n v="582"/>
    <n v="863"/>
    <n v="266"/>
    <n v="375"/>
    <n v="30934"/>
    <n v="25459"/>
    <n v="19067"/>
    <n v="16476"/>
    <n v="12853"/>
    <n v="10627"/>
    <n v="10275"/>
    <n v="7405"/>
    <n v="7366"/>
    <n v="4303"/>
    <n v="4913"/>
    <n v="2171"/>
    <n v="2968"/>
    <n v="1251"/>
    <n v="1862"/>
    <n v="569"/>
    <n v="750"/>
  </r>
  <r>
    <s v="NGA"/>
    <x v="0"/>
    <m/>
    <x v="17"/>
    <m/>
    <s v="GWARAM"/>
    <m/>
    <n v="166360"/>
    <n v="160370"/>
    <n v="326730"/>
    <n v="34852"/>
    <n v="26367"/>
    <n v="20706"/>
    <n v="16725"/>
    <n v="11864"/>
    <n v="10552"/>
    <n v="10132"/>
    <n v="8275"/>
    <n v="7136"/>
    <n v="5097"/>
    <n v="4529"/>
    <n v="2888"/>
    <n v="2611"/>
    <n v="1547"/>
    <n v="1641"/>
    <n v="794"/>
    <n v="644"/>
    <n v="31485"/>
    <n v="24795"/>
    <n v="18839"/>
    <n v="17218"/>
    <n v="14208"/>
    <n v="11422"/>
    <n v="10143"/>
    <n v="7361"/>
    <n v="6918"/>
    <n v="4415"/>
    <n v="4177"/>
    <n v="2487"/>
    <n v="2449"/>
    <n v="1514"/>
    <n v="1519"/>
    <n v="762"/>
    <n v="658"/>
    <n v="66337"/>
    <n v="51162"/>
    <n v="39545"/>
    <n v="33943"/>
    <n v="26072"/>
    <n v="21974"/>
    <n v="20275"/>
    <n v="15636"/>
    <n v="14054"/>
    <n v="9512"/>
    <n v="8706"/>
    <n v="5375"/>
    <n v="5060"/>
    <n v="3061"/>
    <n v="3160"/>
    <n v="1556"/>
    <n v="1302"/>
  </r>
  <r>
    <s v="NGA"/>
    <x v="0"/>
    <m/>
    <x v="17"/>
    <m/>
    <s v="GWIWA"/>
    <m/>
    <n v="124933"/>
    <n v="122990"/>
    <n v="247923"/>
    <n v="24962"/>
    <n v="20394"/>
    <n v="15452"/>
    <n v="12394"/>
    <n v="9012"/>
    <n v="7075"/>
    <n v="7715"/>
    <n v="6481"/>
    <n v="6057"/>
    <n v="4089"/>
    <n v="3707"/>
    <n v="1999"/>
    <n v="2074"/>
    <n v="989"/>
    <n v="1448"/>
    <n v="556"/>
    <n v="529"/>
    <n v="23418"/>
    <n v="18830"/>
    <n v="15098"/>
    <n v="12390"/>
    <n v="10779"/>
    <n v="9092"/>
    <n v="7945"/>
    <n v="5950"/>
    <n v="5380"/>
    <n v="3390"/>
    <n v="3293"/>
    <n v="1935"/>
    <n v="2052"/>
    <n v="1240"/>
    <n v="1216"/>
    <n v="456"/>
    <n v="526"/>
    <n v="48380"/>
    <n v="39224"/>
    <n v="30550"/>
    <n v="24784"/>
    <n v="19791"/>
    <n v="16167"/>
    <n v="15660"/>
    <n v="12431"/>
    <n v="11437"/>
    <n v="7479"/>
    <n v="7000"/>
    <n v="3934"/>
    <n v="4126"/>
    <n v="2229"/>
    <n v="2664"/>
    <n v="1012"/>
    <n v="1055"/>
  </r>
  <r>
    <s v="NGA"/>
    <x v="0"/>
    <m/>
    <x v="17"/>
    <m/>
    <s v="HADEJIA"/>
    <m/>
    <n v="76340"/>
    <n v="69944"/>
    <n v="146284"/>
    <n v="15016"/>
    <n v="11613"/>
    <n v="9955"/>
    <n v="8419"/>
    <n v="6254"/>
    <n v="5227"/>
    <n v="4579"/>
    <n v="3823"/>
    <n v="3141"/>
    <n v="2344"/>
    <n v="1955"/>
    <n v="1117"/>
    <n v="1073"/>
    <n v="641"/>
    <n v="714"/>
    <n v="219"/>
    <n v="250"/>
    <n v="14044"/>
    <n v="10554"/>
    <n v="8583"/>
    <n v="7451"/>
    <n v="6049"/>
    <n v="5037"/>
    <n v="4224"/>
    <n v="3275"/>
    <n v="2823"/>
    <n v="1926"/>
    <n v="1962"/>
    <n v="1039"/>
    <n v="1129"/>
    <n v="525"/>
    <n v="693"/>
    <n v="279"/>
    <n v="351"/>
    <n v="29060"/>
    <n v="22167"/>
    <n v="18538"/>
    <n v="15870"/>
    <n v="12303"/>
    <n v="10264"/>
    <n v="8803"/>
    <n v="7098"/>
    <n v="5964"/>
    <n v="4270"/>
    <n v="3917"/>
    <n v="2156"/>
    <n v="2202"/>
    <n v="1166"/>
    <n v="1407"/>
    <n v="498"/>
    <n v="601"/>
  </r>
  <r>
    <s v="NGA"/>
    <x v="0"/>
    <m/>
    <x v="17"/>
    <m/>
    <s v="JAHUN"/>
    <m/>
    <n v="135360"/>
    <n v="137998"/>
    <n v="273358"/>
    <n v="29276"/>
    <n v="22568"/>
    <n v="14526"/>
    <n v="11509"/>
    <n v="8004"/>
    <n v="7821"/>
    <n v="9519"/>
    <n v="7099"/>
    <n v="7403"/>
    <n v="3786"/>
    <n v="4696"/>
    <n v="1980"/>
    <n v="3060"/>
    <n v="974"/>
    <n v="1895"/>
    <n v="525"/>
    <n v="719"/>
    <n v="26393"/>
    <n v="21828"/>
    <n v="14840"/>
    <n v="14615"/>
    <n v="12776"/>
    <n v="10310"/>
    <n v="9768"/>
    <n v="6134"/>
    <n v="6436"/>
    <n v="3039"/>
    <n v="3894"/>
    <n v="1787"/>
    <n v="2574"/>
    <n v="1017"/>
    <n v="1500"/>
    <n v="455"/>
    <n v="632"/>
    <n v="55669"/>
    <n v="44396"/>
    <n v="29366"/>
    <n v="26124"/>
    <n v="20780"/>
    <n v="18131"/>
    <n v="19287"/>
    <n v="13233"/>
    <n v="13839"/>
    <n v="6825"/>
    <n v="8590"/>
    <n v="3767"/>
    <n v="5634"/>
    <n v="1991"/>
    <n v="3395"/>
    <n v="980"/>
    <n v="1351"/>
  </r>
  <r>
    <s v="NGA"/>
    <x v="0"/>
    <m/>
    <x v="17"/>
    <m/>
    <s v="KAFIN HAUSA"/>
    <m/>
    <n v="203255"/>
    <n v="198941"/>
    <n v="402196"/>
    <n v="40847"/>
    <n v="32300"/>
    <n v="25111"/>
    <n v="20320"/>
    <n v="14717"/>
    <n v="12522"/>
    <n v="12992"/>
    <n v="10142"/>
    <n v="9597"/>
    <n v="6111"/>
    <n v="6364"/>
    <n v="2813"/>
    <n v="3501"/>
    <n v="1488"/>
    <n v="2534"/>
    <n v="898"/>
    <n v="998"/>
    <n v="37636"/>
    <n v="29657"/>
    <n v="23551"/>
    <n v="20847"/>
    <n v="17557"/>
    <n v="14494"/>
    <n v="13127"/>
    <n v="9749"/>
    <n v="9188"/>
    <n v="5670"/>
    <n v="5709"/>
    <n v="2977"/>
    <n v="3700"/>
    <n v="1605"/>
    <n v="1875"/>
    <n v="793"/>
    <n v="806"/>
    <n v="78483"/>
    <n v="61957"/>
    <n v="48662"/>
    <n v="41167"/>
    <n v="32274"/>
    <n v="27016"/>
    <n v="26119"/>
    <n v="19891"/>
    <n v="18785"/>
    <n v="11781"/>
    <n v="12073"/>
    <n v="5790"/>
    <n v="7201"/>
    <n v="3093"/>
    <n v="4409"/>
    <n v="1691"/>
    <n v="1804"/>
  </r>
  <r>
    <s v="NGA"/>
    <x v="0"/>
    <m/>
    <x v="17"/>
    <m/>
    <s v="KAUGAMA"/>
    <m/>
    <n v="75315"/>
    <n v="74737"/>
    <n v="150052"/>
    <n v="15350"/>
    <n v="12785"/>
    <n v="9008"/>
    <n v="7057"/>
    <n v="4898"/>
    <n v="4515"/>
    <n v="4809"/>
    <n v="3748"/>
    <n v="3714"/>
    <n v="2131"/>
    <n v="2435"/>
    <n v="1140"/>
    <n v="1481"/>
    <n v="656"/>
    <n v="934"/>
    <n v="320"/>
    <n v="334"/>
    <n v="14187"/>
    <n v="12515"/>
    <n v="8702"/>
    <n v="7133"/>
    <n v="6656"/>
    <n v="5421"/>
    <n v="5067"/>
    <n v="3410"/>
    <n v="3462"/>
    <n v="1776"/>
    <n v="2020"/>
    <n v="968"/>
    <n v="1378"/>
    <n v="574"/>
    <n v="880"/>
    <n v="248"/>
    <n v="340"/>
    <n v="29537"/>
    <n v="25300"/>
    <n v="17710"/>
    <n v="14190"/>
    <n v="11554"/>
    <n v="9936"/>
    <n v="9876"/>
    <n v="7158"/>
    <n v="7176"/>
    <n v="3907"/>
    <n v="4455"/>
    <n v="2108"/>
    <n v="2859"/>
    <n v="1230"/>
    <n v="1814"/>
    <n v="568"/>
    <n v="674"/>
  </r>
  <r>
    <s v="NGA"/>
    <x v="0"/>
    <m/>
    <x v="17"/>
    <m/>
    <s v="KAZAURE"/>
    <m/>
    <n v="143737"/>
    <n v="136204"/>
    <n v="279941"/>
    <n v="28600"/>
    <n v="22686"/>
    <n v="18069"/>
    <n v="15100"/>
    <n v="11371"/>
    <n v="9701"/>
    <n v="8588"/>
    <n v="7301"/>
    <n v="6251"/>
    <n v="4484"/>
    <n v="4011"/>
    <n v="2132"/>
    <n v="2128"/>
    <n v="970"/>
    <n v="1286"/>
    <n v="531"/>
    <n v="528"/>
    <n v="26694"/>
    <n v="20324"/>
    <n v="16617"/>
    <n v="15285"/>
    <n v="11881"/>
    <n v="9843"/>
    <n v="8180"/>
    <n v="6453"/>
    <n v="5625"/>
    <n v="3935"/>
    <n v="3744"/>
    <n v="1913"/>
    <n v="2163"/>
    <n v="1147"/>
    <n v="1330"/>
    <n v="511"/>
    <n v="559"/>
    <n v="55294"/>
    <n v="43010"/>
    <n v="34686"/>
    <n v="30385"/>
    <n v="23252"/>
    <n v="19544"/>
    <n v="16768"/>
    <n v="13754"/>
    <n v="11876"/>
    <n v="8419"/>
    <n v="7755"/>
    <n v="4045"/>
    <n v="4291"/>
    <n v="2117"/>
    <n v="2616"/>
    <n v="1042"/>
    <n v="1087"/>
  </r>
  <r>
    <s v="NGA"/>
    <x v="0"/>
    <m/>
    <x v="17"/>
    <m/>
    <s v="KIRI KASAMMA"/>
    <m/>
    <n v="138570"/>
    <n v="131963"/>
    <n v="270533"/>
    <n v="27861"/>
    <n v="22456"/>
    <n v="16844"/>
    <n v="13983"/>
    <n v="9997"/>
    <n v="8719"/>
    <n v="9002"/>
    <n v="7008"/>
    <n v="6531"/>
    <n v="4308"/>
    <n v="4194"/>
    <n v="1883"/>
    <n v="2417"/>
    <n v="919"/>
    <n v="1404"/>
    <n v="460"/>
    <n v="584"/>
    <n v="25011"/>
    <n v="20299"/>
    <n v="15468"/>
    <n v="14368"/>
    <n v="12188"/>
    <n v="9708"/>
    <n v="8607"/>
    <n v="6250"/>
    <n v="5540"/>
    <n v="3525"/>
    <n v="3487"/>
    <n v="2110"/>
    <n v="2246"/>
    <n v="991"/>
    <n v="1205"/>
    <n v="446"/>
    <n v="514"/>
    <n v="52872"/>
    <n v="42755"/>
    <n v="32312"/>
    <n v="28351"/>
    <n v="22185"/>
    <n v="18427"/>
    <n v="17609"/>
    <n v="13258"/>
    <n v="12071"/>
    <n v="7833"/>
    <n v="7681"/>
    <n v="3993"/>
    <n v="4663"/>
    <n v="1910"/>
    <n v="2609"/>
    <n v="906"/>
    <n v="1098"/>
  </r>
  <r>
    <s v="NGA"/>
    <x v="0"/>
    <m/>
    <x v="17"/>
    <m/>
    <s v="KIYAWA"/>
    <m/>
    <n v="123205"/>
    <n v="119342"/>
    <n v="242547"/>
    <n v="28255"/>
    <n v="19387"/>
    <n v="14161"/>
    <n v="10981"/>
    <n v="6726"/>
    <n v="6853"/>
    <n v="8072"/>
    <n v="6123"/>
    <n v="6446"/>
    <n v="3305"/>
    <n v="4235"/>
    <n v="1923"/>
    <n v="2854"/>
    <n v="1047"/>
    <n v="1703"/>
    <n v="506"/>
    <n v="628"/>
    <n v="22934"/>
    <n v="19032"/>
    <n v="13002"/>
    <n v="11250"/>
    <n v="10502"/>
    <n v="8705"/>
    <n v="8389"/>
    <n v="5524"/>
    <n v="5838"/>
    <n v="2917"/>
    <n v="3500"/>
    <n v="1796"/>
    <n v="2369"/>
    <n v="1108"/>
    <n v="1438"/>
    <n v="468"/>
    <n v="570"/>
    <n v="51189"/>
    <n v="38419"/>
    <n v="27163"/>
    <n v="22231"/>
    <n v="17228"/>
    <n v="15558"/>
    <n v="16461"/>
    <n v="11647"/>
    <n v="12284"/>
    <n v="6222"/>
    <n v="7735"/>
    <n v="3719"/>
    <n v="5223"/>
    <n v="2155"/>
    <n v="3141"/>
    <n v="974"/>
    <n v="1198"/>
  </r>
  <r>
    <s v="NGA"/>
    <x v="0"/>
    <m/>
    <x v="17"/>
    <m/>
    <s v="MAIGATARI"/>
    <m/>
    <n v="129977"/>
    <n v="125753"/>
    <n v="255730"/>
    <n v="26056"/>
    <n v="21279"/>
    <n v="16104"/>
    <n v="13252"/>
    <n v="9365"/>
    <n v="8113"/>
    <n v="8078"/>
    <n v="6498"/>
    <n v="6039"/>
    <n v="3994"/>
    <n v="3869"/>
    <n v="1828"/>
    <n v="2264"/>
    <n v="925"/>
    <n v="1347"/>
    <n v="423"/>
    <n v="543"/>
    <n v="23926"/>
    <n v="19961"/>
    <n v="14968"/>
    <n v="12875"/>
    <n v="11148"/>
    <n v="9352"/>
    <n v="8315"/>
    <n v="5976"/>
    <n v="5530"/>
    <n v="3323"/>
    <n v="3443"/>
    <n v="1561"/>
    <n v="2212"/>
    <n v="976"/>
    <n v="1113"/>
    <n v="540"/>
    <n v="534"/>
    <n v="49982"/>
    <n v="41240"/>
    <n v="31072"/>
    <n v="26127"/>
    <n v="20513"/>
    <n v="17465"/>
    <n v="16393"/>
    <n v="12474"/>
    <n v="11569"/>
    <n v="7317"/>
    <n v="7312"/>
    <n v="3389"/>
    <n v="4476"/>
    <n v="1901"/>
    <n v="2460"/>
    <n v="963"/>
    <n v="1077"/>
  </r>
  <r>
    <s v="NGA"/>
    <x v="0"/>
    <m/>
    <x v="17"/>
    <m/>
    <s v="MALAM MADORI"/>
    <m/>
    <n v="121591"/>
    <n v="112779"/>
    <n v="234370"/>
    <n v="23939"/>
    <n v="19332"/>
    <n v="14900"/>
    <n v="13484"/>
    <n v="9416"/>
    <n v="7697"/>
    <n v="7303"/>
    <n v="6060"/>
    <n v="5510"/>
    <n v="3640"/>
    <n v="3407"/>
    <n v="1936"/>
    <n v="2079"/>
    <n v="826"/>
    <n v="1207"/>
    <n v="414"/>
    <n v="441"/>
    <n v="21958"/>
    <n v="17957"/>
    <n v="13494"/>
    <n v="12573"/>
    <n v="9503"/>
    <n v="8355"/>
    <n v="7279"/>
    <n v="5145"/>
    <n v="4689"/>
    <n v="2711"/>
    <n v="2970"/>
    <n v="1496"/>
    <n v="1761"/>
    <n v="880"/>
    <n v="1124"/>
    <n v="443"/>
    <n v="441"/>
    <n v="45897"/>
    <n v="37289"/>
    <n v="28394"/>
    <n v="26057"/>
    <n v="18919"/>
    <n v="16052"/>
    <n v="14582"/>
    <n v="11205"/>
    <n v="10199"/>
    <n v="6351"/>
    <n v="6377"/>
    <n v="3432"/>
    <n v="3840"/>
    <n v="1706"/>
    <n v="2331"/>
    <n v="857"/>
    <n v="882"/>
  </r>
  <r>
    <s v="NGA"/>
    <x v="0"/>
    <m/>
    <x v="17"/>
    <m/>
    <s v="MIGA"/>
    <m/>
    <n v="75173"/>
    <n v="76886"/>
    <n v="152059"/>
    <n v="15567"/>
    <n v="12444"/>
    <n v="8786"/>
    <n v="7186"/>
    <n v="5199"/>
    <n v="4337"/>
    <n v="5018"/>
    <n v="3760"/>
    <n v="3712"/>
    <n v="2098"/>
    <n v="2534"/>
    <n v="939"/>
    <n v="1505"/>
    <n v="516"/>
    <n v="903"/>
    <n v="265"/>
    <n v="404"/>
    <n v="14885"/>
    <n v="12441"/>
    <n v="8747"/>
    <n v="7685"/>
    <n v="6792"/>
    <n v="5757"/>
    <n v="5280"/>
    <n v="3513"/>
    <n v="3557"/>
    <n v="1891"/>
    <n v="2241"/>
    <n v="932"/>
    <n v="1247"/>
    <n v="502"/>
    <n v="706"/>
    <n v="279"/>
    <n v="431"/>
    <n v="30452"/>
    <n v="24885"/>
    <n v="17533"/>
    <n v="14871"/>
    <n v="11991"/>
    <n v="10094"/>
    <n v="10298"/>
    <n v="7273"/>
    <n v="7269"/>
    <n v="3989"/>
    <n v="4775"/>
    <n v="1871"/>
    <n v="2752"/>
    <n v="1018"/>
    <n v="1609"/>
    <n v="544"/>
    <n v="835"/>
  </r>
  <r>
    <s v="NGA"/>
    <x v="0"/>
    <m/>
    <x v="17"/>
    <m/>
    <s v="RINGIM"/>
    <m/>
    <n v="101327"/>
    <n v="102722"/>
    <n v="204049"/>
    <n v="20352"/>
    <n v="16274"/>
    <n v="11535"/>
    <n v="9339"/>
    <n v="6642"/>
    <n v="6003"/>
    <n v="6614"/>
    <n v="4907"/>
    <n v="5319"/>
    <n v="2997"/>
    <n v="3734"/>
    <n v="1708"/>
    <n v="2464"/>
    <n v="877"/>
    <n v="1521"/>
    <n v="467"/>
    <n v="574"/>
    <n v="19214"/>
    <n v="15905"/>
    <n v="11132"/>
    <n v="9854"/>
    <n v="8949"/>
    <n v="7499"/>
    <n v="7224"/>
    <n v="4773"/>
    <n v="5120"/>
    <n v="2784"/>
    <n v="3213"/>
    <n v="1705"/>
    <n v="2155"/>
    <n v="723"/>
    <n v="1432"/>
    <n v="426"/>
    <n v="614"/>
    <n v="39566"/>
    <n v="32179"/>
    <n v="22667"/>
    <n v="19193"/>
    <n v="15591"/>
    <n v="13502"/>
    <n v="13838"/>
    <n v="9680"/>
    <n v="10439"/>
    <n v="5781"/>
    <n v="6947"/>
    <n v="3413"/>
    <n v="4619"/>
    <n v="1600"/>
    <n v="2953"/>
    <n v="893"/>
    <n v="1188"/>
  </r>
  <r>
    <s v="NGA"/>
    <x v="0"/>
    <m/>
    <x v="17"/>
    <m/>
    <s v="RONI"/>
    <m/>
    <n v="48461"/>
    <n v="46087"/>
    <n v="94548"/>
    <n v="9823"/>
    <n v="7654"/>
    <n v="6091"/>
    <n v="5075"/>
    <n v="3659"/>
    <n v="3177"/>
    <n v="2929"/>
    <n v="2363"/>
    <n v="2131"/>
    <n v="1557"/>
    <n v="1460"/>
    <n v="566"/>
    <n v="720"/>
    <n v="439"/>
    <n v="415"/>
    <n v="202"/>
    <n v="200"/>
    <n v="9004"/>
    <n v="6920"/>
    <n v="5627"/>
    <n v="4731"/>
    <n v="3914"/>
    <n v="3381"/>
    <n v="2897"/>
    <n v="2287"/>
    <n v="2004"/>
    <n v="1289"/>
    <n v="1287"/>
    <n v="629"/>
    <n v="955"/>
    <n v="365"/>
    <n v="368"/>
    <n v="264"/>
    <n v="165"/>
    <n v="18827"/>
    <n v="14574"/>
    <n v="11718"/>
    <n v="9806"/>
    <n v="7573"/>
    <n v="6558"/>
    <n v="5826"/>
    <n v="4650"/>
    <n v="4135"/>
    <n v="2846"/>
    <n v="2747"/>
    <n v="1195"/>
    <n v="1675"/>
    <n v="804"/>
    <n v="783"/>
    <n v="466"/>
    <n v="365"/>
  </r>
  <r>
    <s v="NGA"/>
    <x v="0"/>
    <m/>
    <x v="17"/>
    <m/>
    <s v="SULE TANKARKAR"/>
    <m/>
    <n v="66257"/>
    <n v="69174"/>
    <n v="135431"/>
    <n v="13043"/>
    <n v="11009"/>
    <n v="7481"/>
    <n v="6032"/>
    <n v="4123"/>
    <n v="4092"/>
    <n v="4525"/>
    <n v="3326"/>
    <n v="3527"/>
    <n v="1843"/>
    <n v="2502"/>
    <n v="1017"/>
    <n v="1504"/>
    <n v="558"/>
    <n v="1027"/>
    <n v="262"/>
    <n v="386"/>
    <n v="12605"/>
    <n v="10956"/>
    <n v="7597"/>
    <n v="6935"/>
    <n v="6265"/>
    <n v="5034"/>
    <n v="4948"/>
    <n v="3209"/>
    <n v="3525"/>
    <n v="1665"/>
    <n v="2117"/>
    <n v="943"/>
    <n v="1380"/>
    <n v="570"/>
    <n v="853"/>
    <n v="234"/>
    <n v="338"/>
    <n v="25648"/>
    <n v="21965"/>
    <n v="15078"/>
    <n v="12967"/>
    <n v="10388"/>
    <n v="9126"/>
    <n v="9473"/>
    <n v="6535"/>
    <n v="7052"/>
    <n v="3508"/>
    <n v="4619"/>
    <n v="1960"/>
    <n v="2884"/>
    <n v="1128"/>
    <n v="1880"/>
    <n v="496"/>
    <n v="724"/>
  </r>
  <r>
    <s v="NGA"/>
    <x v="0"/>
    <m/>
    <x v="17"/>
    <m/>
    <s v="TAURA"/>
    <m/>
    <n v="78124"/>
    <n v="77758"/>
    <n v="155882"/>
    <n v="17583"/>
    <n v="12503"/>
    <n v="9057"/>
    <n v="7298"/>
    <n v="5091"/>
    <n v="4475"/>
    <n v="4866"/>
    <n v="3776"/>
    <n v="3806"/>
    <n v="2169"/>
    <n v="2670"/>
    <n v="1031"/>
    <n v="1693"/>
    <n v="550"/>
    <n v="896"/>
    <n v="272"/>
    <n v="388"/>
    <n v="15551"/>
    <n v="12519"/>
    <n v="8642"/>
    <n v="7291"/>
    <n v="6644"/>
    <n v="5451"/>
    <n v="5207"/>
    <n v="3584"/>
    <n v="3633"/>
    <n v="2004"/>
    <n v="2294"/>
    <n v="1096"/>
    <n v="1452"/>
    <n v="597"/>
    <n v="967"/>
    <n v="443"/>
    <n v="383"/>
    <n v="33134"/>
    <n v="25022"/>
    <n v="17699"/>
    <n v="14589"/>
    <n v="11735"/>
    <n v="9926"/>
    <n v="10073"/>
    <n v="7360"/>
    <n v="7439"/>
    <n v="4173"/>
    <n v="4964"/>
    <n v="2127"/>
    <n v="3145"/>
    <n v="1147"/>
    <n v="1863"/>
    <n v="715"/>
    <n v="771"/>
  </r>
  <r>
    <s v="NGA"/>
    <x v="0"/>
    <m/>
    <x v="17"/>
    <m/>
    <s v="YANKWASHI"/>
    <m/>
    <n v="83601"/>
    <n v="82538"/>
    <n v="166139"/>
    <n v="17448"/>
    <n v="13262"/>
    <n v="10589"/>
    <n v="8411"/>
    <n v="6472"/>
    <n v="4939"/>
    <n v="5138"/>
    <n v="4379"/>
    <n v="3604"/>
    <n v="2581"/>
    <n v="2449"/>
    <n v="1121"/>
    <n v="1164"/>
    <n v="431"/>
    <n v="953"/>
    <n v="314"/>
    <n v="346"/>
    <n v="16742"/>
    <n v="12539"/>
    <n v="10054"/>
    <n v="8333"/>
    <n v="6798"/>
    <n v="6112"/>
    <n v="4986"/>
    <n v="4086"/>
    <n v="3341"/>
    <n v="2383"/>
    <n v="2286"/>
    <n v="1309"/>
    <n v="1420"/>
    <n v="698"/>
    <n v="845"/>
    <n v="251"/>
    <n v="355"/>
    <n v="34190"/>
    <n v="25801"/>
    <n v="20643"/>
    <n v="16744"/>
    <n v="13270"/>
    <n v="11051"/>
    <n v="10124"/>
    <n v="8465"/>
    <n v="6945"/>
    <n v="4964"/>
    <n v="4735"/>
    <n v="2430"/>
    <n v="2584"/>
    <n v="1129"/>
    <n v="1798"/>
    <n v="565"/>
    <n v="701"/>
  </r>
  <r>
    <s v="NGA"/>
    <x v="0"/>
    <m/>
    <x v="18"/>
    <m/>
    <s v="BIRNIN GWARI"/>
    <m/>
    <n v="206948"/>
    <n v="200137"/>
    <n v="407085"/>
    <n v="43456"/>
    <n v="33592"/>
    <n v="25840"/>
    <n v="20880"/>
    <n v="15500"/>
    <n v="13344"/>
    <n v="12061"/>
    <n v="10219"/>
    <n v="8856"/>
    <n v="6221"/>
    <n v="5449"/>
    <n v="3420"/>
    <n v="3082"/>
    <n v="1577"/>
    <n v="1784"/>
    <n v="870"/>
    <n v="797"/>
    <n v="41186"/>
    <n v="32018"/>
    <n v="23980"/>
    <n v="20314"/>
    <n v="16903"/>
    <n v="14521"/>
    <n v="12136"/>
    <n v="9357"/>
    <n v="8174"/>
    <n v="5436"/>
    <n v="5299"/>
    <n v="2659"/>
    <n v="2898"/>
    <n v="1506"/>
    <n v="1943"/>
    <n v="834"/>
    <n v="973"/>
    <n v="84642"/>
    <n v="65610"/>
    <n v="49820"/>
    <n v="41194"/>
    <n v="32403"/>
    <n v="27865"/>
    <n v="24197"/>
    <n v="19576"/>
    <n v="17030"/>
    <n v="11657"/>
    <n v="10748"/>
    <n v="6079"/>
    <n v="5980"/>
    <n v="3083"/>
    <n v="3727"/>
    <n v="1704"/>
    <n v="1770"/>
  </r>
  <r>
    <s v="NGA"/>
    <x v="0"/>
    <m/>
    <x v="18"/>
    <m/>
    <s v="CHIKUN"/>
    <m/>
    <n v="250344"/>
    <n v="243738"/>
    <n v="494082"/>
    <n v="40023"/>
    <n v="33478"/>
    <n v="29084"/>
    <n v="25688"/>
    <n v="22814"/>
    <n v="21564"/>
    <n v="18498"/>
    <n v="16300"/>
    <n v="11776"/>
    <n v="10265"/>
    <n v="6253"/>
    <n v="5973"/>
    <n v="2859"/>
    <n v="2398"/>
    <n v="1311"/>
    <n v="1167"/>
    <n v="893"/>
    <n v="40075"/>
    <n v="34782"/>
    <n v="30757"/>
    <n v="26881"/>
    <n v="23074"/>
    <n v="19610"/>
    <n v="15552"/>
    <n v="13376"/>
    <n v="10191"/>
    <n v="8476"/>
    <n v="5708"/>
    <n v="4920"/>
    <n v="3066"/>
    <n v="2717"/>
    <n v="2095"/>
    <n v="1320"/>
    <n v="1138"/>
    <n v="80098"/>
    <n v="68260"/>
    <n v="59841"/>
    <n v="52569"/>
    <n v="45888"/>
    <n v="41174"/>
    <n v="34050"/>
    <n v="29676"/>
    <n v="21967"/>
    <n v="18741"/>
    <n v="11961"/>
    <n v="10893"/>
    <n v="5925"/>
    <n v="5115"/>
    <n v="3406"/>
    <n v="2487"/>
    <n v="2031"/>
  </r>
  <r>
    <s v="NGA"/>
    <x v="0"/>
    <m/>
    <x v="18"/>
    <m/>
    <s v="GIWA"/>
    <m/>
    <n v="217753"/>
    <n v="217639"/>
    <n v="435392"/>
    <n v="45172"/>
    <n v="35579"/>
    <n v="28018"/>
    <n v="22195"/>
    <n v="15838"/>
    <n v="14328"/>
    <n v="12969"/>
    <n v="10450"/>
    <n v="9072"/>
    <n v="6142"/>
    <n v="5481"/>
    <n v="3981"/>
    <n v="3111"/>
    <n v="1838"/>
    <n v="1917"/>
    <n v="888"/>
    <n v="774"/>
    <n v="43790"/>
    <n v="35058"/>
    <n v="26276"/>
    <n v="24227"/>
    <n v="19224"/>
    <n v="15600"/>
    <n v="12841"/>
    <n v="9758"/>
    <n v="8699"/>
    <n v="5446"/>
    <n v="5206"/>
    <n v="3099"/>
    <n v="2965"/>
    <n v="1747"/>
    <n v="1890"/>
    <n v="973"/>
    <n v="840"/>
    <n v="88962"/>
    <n v="70637"/>
    <n v="54294"/>
    <n v="46422"/>
    <n v="35062"/>
    <n v="29928"/>
    <n v="25810"/>
    <n v="20208"/>
    <n v="17771"/>
    <n v="11588"/>
    <n v="10687"/>
    <n v="7080"/>
    <n v="6076"/>
    <n v="3585"/>
    <n v="3807"/>
    <n v="1861"/>
    <n v="1614"/>
  </r>
  <r>
    <s v="NGA"/>
    <x v="0"/>
    <m/>
    <x v="18"/>
    <m/>
    <s v="IGABI"/>
    <m/>
    <n v="266335"/>
    <n v="258397"/>
    <n v="524732"/>
    <n v="52664"/>
    <n v="41184"/>
    <n v="33559"/>
    <n v="27334"/>
    <n v="20551"/>
    <n v="18255"/>
    <n v="16304"/>
    <n v="14230"/>
    <n v="11443"/>
    <n v="8713"/>
    <n v="6502"/>
    <n v="5391"/>
    <n v="3671"/>
    <n v="2535"/>
    <n v="1892"/>
    <n v="1212"/>
    <n v="895"/>
    <n v="51232"/>
    <n v="40602"/>
    <n v="31954"/>
    <n v="27614"/>
    <n v="22969"/>
    <n v="18980"/>
    <n v="15472"/>
    <n v="12097"/>
    <n v="10211"/>
    <n v="7185"/>
    <n v="5957"/>
    <n v="4143"/>
    <n v="3279"/>
    <n v="2207"/>
    <n v="2197"/>
    <n v="1169"/>
    <n v="1129"/>
    <n v="103896"/>
    <n v="81786"/>
    <n v="65513"/>
    <n v="54948"/>
    <n v="43520"/>
    <n v="37235"/>
    <n v="31776"/>
    <n v="26327"/>
    <n v="21654"/>
    <n v="15898"/>
    <n v="12459"/>
    <n v="9534"/>
    <n v="6950"/>
    <n v="4742"/>
    <n v="4089"/>
    <n v="2381"/>
    <n v="2024"/>
  </r>
  <r>
    <s v="NGA"/>
    <x v="0"/>
    <m/>
    <x v="18"/>
    <m/>
    <s v="IKARA"/>
    <m/>
    <n v="125726"/>
    <n v="129420"/>
    <n v="255146"/>
    <n v="25781"/>
    <n v="21022"/>
    <n v="14627"/>
    <n v="12105"/>
    <n v="8733"/>
    <n v="8126"/>
    <n v="8014"/>
    <n v="6479"/>
    <n v="5808"/>
    <n v="3647"/>
    <n v="3685"/>
    <n v="2026"/>
    <n v="2204"/>
    <n v="1112"/>
    <n v="1258"/>
    <n v="544"/>
    <n v="555"/>
    <n v="25878"/>
    <n v="21529"/>
    <n v="14156"/>
    <n v="13402"/>
    <n v="11841"/>
    <n v="9520"/>
    <n v="8345"/>
    <n v="5599"/>
    <n v="5470"/>
    <n v="3026"/>
    <n v="3376"/>
    <n v="1844"/>
    <n v="1977"/>
    <n v="1056"/>
    <n v="1308"/>
    <n v="533"/>
    <n v="560"/>
    <n v="51659"/>
    <n v="42551"/>
    <n v="28783"/>
    <n v="25507"/>
    <n v="20574"/>
    <n v="17646"/>
    <n v="16359"/>
    <n v="12078"/>
    <n v="11278"/>
    <n v="6673"/>
    <n v="7061"/>
    <n v="3870"/>
    <n v="4181"/>
    <n v="2168"/>
    <n v="2566"/>
    <n v="1077"/>
    <n v="1115"/>
  </r>
  <r>
    <s v="NGA"/>
    <x v="0"/>
    <m/>
    <x v="18"/>
    <m/>
    <s v="JABA"/>
    <m/>
    <n v="158609"/>
    <n v="161586"/>
    <n v="320195"/>
    <n v="31504"/>
    <n v="23959"/>
    <n v="19836"/>
    <n v="16828"/>
    <n v="12475"/>
    <n v="10518"/>
    <n v="9687"/>
    <n v="8508"/>
    <n v="6770"/>
    <n v="5283"/>
    <n v="4115"/>
    <n v="2977"/>
    <n v="2253"/>
    <n v="1648"/>
    <n v="1012"/>
    <n v="609"/>
    <n v="627"/>
    <n v="30442"/>
    <n v="22428"/>
    <n v="20780"/>
    <n v="19904"/>
    <n v="13000"/>
    <n v="11421"/>
    <n v="9603"/>
    <n v="7888"/>
    <n v="6278"/>
    <n v="4906"/>
    <n v="3575"/>
    <n v="3719"/>
    <n v="2114"/>
    <n v="2437"/>
    <n v="1405"/>
    <n v="1257"/>
    <n v="429"/>
    <n v="61946"/>
    <n v="46387"/>
    <n v="40616"/>
    <n v="36732"/>
    <n v="25475"/>
    <n v="21939"/>
    <n v="19290"/>
    <n v="16396"/>
    <n v="13048"/>
    <n v="10189"/>
    <n v="7690"/>
    <n v="6696"/>
    <n v="4367"/>
    <n v="4085"/>
    <n v="2417"/>
    <n v="1866"/>
    <n v="1056"/>
  </r>
  <r>
    <s v="NGA"/>
    <x v="0"/>
    <m/>
    <x v="18"/>
    <m/>
    <s v="JEMA'A"/>
    <m/>
    <n v="241395"/>
    <n v="234547"/>
    <n v="475942"/>
    <n v="47074"/>
    <n v="35683"/>
    <n v="30320"/>
    <n v="26078"/>
    <n v="19790"/>
    <n v="16633"/>
    <n v="14372"/>
    <n v="12766"/>
    <n v="10131"/>
    <n v="8107"/>
    <n v="5646"/>
    <n v="5114"/>
    <n v="2962"/>
    <n v="2923"/>
    <n v="1544"/>
    <n v="1379"/>
    <n v="873"/>
    <n v="44732"/>
    <n v="34227"/>
    <n v="28365"/>
    <n v="24826"/>
    <n v="20116"/>
    <n v="17399"/>
    <n v="14230"/>
    <n v="11700"/>
    <n v="9607"/>
    <n v="7451"/>
    <n v="5668"/>
    <n v="5217"/>
    <n v="3303"/>
    <n v="3231"/>
    <n v="2230"/>
    <n v="1284"/>
    <n v="961"/>
    <n v="91806"/>
    <n v="69910"/>
    <n v="58685"/>
    <n v="50904"/>
    <n v="39906"/>
    <n v="34032"/>
    <n v="28602"/>
    <n v="24466"/>
    <n v="19738"/>
    <n v="15558"/>
    <n v="11314"/>
    <n v="10331"/>
    <n v="6265"/>
    <n v="6154"/>
    <n v="3774"/>
    <n v="2663"/>
    <n v="1834"/>
  </r>
  <r>
    <s v="NGA"/>
    <x v="0"/>
    <m/>
    <x v="18"/>
    <m/>
    <s v="KACHIA"/>
    <m/>
    <n v="264452"/>
    <n v="258223"/>
    <n v="522675"/>
    <n v="50657"/>
    <n v="40156"/>
    <n v="33030"/>
    <n v="28165"/>
    <n v="21266"/>
    <n v="18290"/>
    <n v="16472"/>
    <n v="14227"/>
    <n v="11190"/>
    <n v="8729"/>
    <n v="6495"/>
    <n v="5055"/>
    <n v="3458"/>
    <n v="2670"/>
    <n v="1882"/>
    <n v="1642"/>
    <n v="1068"/>
    <n v="49159"/>
    <n v="37903"/>
    <n v="31158"/>
    <n v="27384"/>
    <n v="22291"/>
    <n v="19086"/>
    <n v="15649"/>
    <n v="12708"/>
    <n v="10468"/>
    <n v="7961"/>
    <n v="6272"/>
    <n v="5476"/>
    <n v="4013"/>
    <n v="3623"/>
    <n v="2070"/>
    <n v="1937"/>
    <n v="1065"/>
    <n v="99816"/>
    <n v="78059"/>
    <n v="64188"/>
    <n v="55549"/>
    <n v="43557"/>
    <n v="37376"/>
    <n v="32121"/>
    <n v="26935"/>
    <n v="21658"/>
    <n v="16690"/>
    <n v="12767"/>
    <n v="10531"/>
    <n v="7471"/>
    <n v="6293"/>
    <n v="3952"/>
    <n v="3579"/>
    <n v="2133"/>
  </r>
  <r>
    <s v="NGA"/>
    <x v="0"/>
    <m/>
    <x v="18"/>
    <m/>
    <s v="KADUNA NORTH"/>
    <m/>
    <n v="172331"/>
    <n v="160758"/>
    <n v="333089"/>
    <n v="25697"/>
    <n v="21023"/>
    <n v="19608"/>
    <n v="18342"/>
    <n v="18670"/>
    <n v="16331"/>
    <n v="12123"/>
    <n v="10764"/>
    <n v="7659"/>
    <n v="7190"/>
    <n v="4377"/>
    <n v="4969"/>
    <n v="2084"/>
    <n v="1873"/>
    <n v="752"/>
    <n v="598"/>
    <n v="271"/>
    <n v="26066"/>
    <n v="22120"/>
    <n v="22110"/>
    <n v="18233"/>
    <n v="15058"/>
    <n v="12319"/>
    <n v="9568"/>
    <n v="8684"/>
    <n v="7035"/>
    <n v="5563"/>
    <n v="4135"/>
    <n v="3575"/>
    <n v="2089"/>
    <n v="1557"/>
    <n v="1238"/>
    <n v="738"/>
    <n v="670"/>
    <n v="51763"/>
    <n v="43143"/>
    <n v="41718"/>
    <n v="36575"/>
    <n v="33728"/>
    <n v="28650"/>
    <n v="21691"/>
    <n v="19448"/>
    <n v="14694"/>
    <n v="12753"/>
    <n v="8512"/>
    <n v="8544"/>
    <n v="4173"/>
    <n v="3430"/>
    <n v="1990"/>
    <n v="1336"/>
    <n v="941"/>
  </r>
  <r>
    <s v="NGA"/>
    <x v="0"/>
    <m/>
    <x v="18"/>
    <m/>
    <s v="KADUNA SOUTH"/>
    <m/>
    <n v="185503"/>
    <n v="175705"/>
    <n v="361208"/>
    <n v="28479"/>
    <n v="23462"/>
    <n v="21370"/>
    <n v="19644"/>
    <n v="18819"/>
    <n v="16968"/>
    <n v="13027"/>
    <n v="12090"/>
    <n v="8545"/>
    <n v="7460"/>
    <n v="4683"/>
    <n v="4993"/>
    <n v="2237"/>
    <n v="1912"/>
    <n v="869"/>
    <n v="604"/>
    <n v="341"/>
    <n v="28734"/>
    <n v="24373"/>
    <n v="23366"/>
    <n v="20182"/>
    <n v="17049"/>
    <n v="13868"/>
    <n v="10960"/>
    <n v="9578"/>
    <n v="7460"/>
    <n v="5861"/>
    <n v="4344"/>
    <n v="3594"/>
    <n v="2115"/>
    <n v="1583"/>
    <n v="1219"/>
    <n v="758"/>
    <n v="661"/>
    <n v="57213"/>
    <n v="47835"/>
    <n v="44736"/>
    <n v="39826"/>
    <n v="35868"/>
    <n v="30836"/>
    <n v="23987"/>
    <n v="21668"/>
    <n v="16005"/>
    <n v="13321"/>
    <n v="9027"/>
    <n v="8587"/>
    <n v="4352"/>
    <n v="3495"/>
    <n v="2088"/>
    <n v="1362"/>
    <n v="1002"/>
  </r>
  <r>
    <s v="NGA"/>
    <x v="0"/>
    <m/>
    <x v="18"/>
    <m/>
    <s v="KAGARKO"/>
    <m/>
    <n v="251092"/>
    <n v="243637"/>
    <n v="494729"/>
    <n v="49293"/>
    <n v="38507"/>
    <n v="31429"/>
    <n v="26933"/>
    <n v="19571"/>
    <n v="17246"/>
    <n v="15703"/>
    <n v="13408"/>
    <n v="10591"/>
    <n v="8212"/>
    <n v="6135"/>
    <n v="4682"/>
    <n v="3344"/>
    <n v="2099"/>
    <n v="1820"/>
    <n v="1143"/>
    <n v="976"/>
    <n v="47505"/>
    <n v="36262"/>
    <n v="29646"/>
    <n v="25779"/>
    <n v="20982"/>
    <n v="18116"/>
    <n v="14748"/>
    <n v="12096"/>
    <n v="9757"/>
    <n v="7223"/>
    <n v="5519"/>
    <n v="5004"/>
    <n v="3749"/>
    <n v="2704"/>
    <n v="2092"/>
    <n v="1407"/>
    <n v="1048"/>
    <n v="96798"/>
    <n v="74769"/>
    <n v="61075"/>
    <n v="52712"/>
    <n v="40553"/>
    <n v="35362"/>
    <n v="30451"/>
    <n v="25504"/>
    <n v="20348"/>
    <n v="15435"/>
    <n v="11654"/>
    <n v="9686"/>
    <n v="7093"/>
    <n v="4803"/>
    <n v="3912"/>
    <n v="2550"/>
    <n v="2024"/>
  </r>
  <r>
    <s v="NGA"/>
    <x v="0"/>
    <m/>
    <x v="18"/>
    <m/>
    <s v="KAJURU"/>
    <m/>
    <n v="72485"/>
    <n v="73256"/>
    <n v="145741"/>
    <n v="12961"/>
    <n v="11415"/>
    <n v="9514"/>
    <n v="8179"/>
    <n v="5819"/>
    <n v="5227"/>
    <n v="4401"/>
    <n v="4021"/>
    <n v="2725"/>
    <n v="2265"/>
    <n v="1365"/>
    <n v="1448"/>
    <n v="766"/>
    <n v="946"/>
    <n v="548"/>
    <n v="537"/>
    <n v="348"/>
    <n v="13149"/>
    <n v="11469"/>
    <n v="9337"/>
    <n v="7846"/>
    <n v="6108"/>
    <n v="5537"/>
    <n v="4162"/>
    <n v="3446"/>
    <n v="2646"/>
    <n v="2213"/>
    <n v="1747"/>
    <n v="1581"/>
    <n v="1103"/>
    <n v="1070"/>
    <n v="770"/>
    <n v="629"/>
    <n v="443"/>
    <n v="26110"/>
    <n v="22884"/>
    <n v="18851"/>
    <n v="16025"/>
    <n v="11927"/>
    <n v="10764"/>
    <n v="8563"/>
    <n v="7467"/>
    <n v="5371"/>
    <n v="4478"/>
    <n v="3112"/>
    <n v="3029"/>
    <n v="1869"/>
    <n v="2016"/>
    <n v="1318"/>
    <n v="1166"/>
    <n v="791"/>
  </r>
  <r>
    <s v="NGA"/>
    <x v="0"/>
    <m/>
    <x v="18"/>
    <m/>
    <s v="KAURA"/>
    <m/>
    <n v="133029"/>
    <n v="128829"/>
    <n v="261858"/>
    <n v="25573"/>
    <n v="19671"/>
    <n v="16732"/>
    <n v="14843"/>
    <n v="10783"/>
    <n v="9296"/>
    <n v="8104"/>
    <n v="6790"/>
    <n v="5620"/>
    <n v="4438"/>
    <n v="3291"/>
    <n v="2548"/>
    <n v="1633"/>
    <n v="1628"/>
    <n v="850"/>
    <n v="751"/>
    <n v="478"/>
    <n v="24596"/>
    <n v="19004"/>
    <n v="15609"/>
    <n v="13210"/>
    <n v="10901"/>
    <n v="9509"/>
    <n v="7847"/>
    <n v="6499"/>
    <n v="5318"/>
    <n v="4088"/>
    <n v="2975"/>
    <n v="3006"/>
    <n v="1659"/>
    <n v="1867"/>
    <n v="1172"/>
    <n v="1021"/>
    <n v="548"/>
    <n v="50169"/>
    <n v="38675"/>
    <n v="32341"/>
    <n v="28053"/>
    <n v="21684"/>
    <n v="18805"/>
    <n v="15951"/>
    <n v="13289"/>
    <n v="10938"/>
    <n v="8526"/>
    <n v="6266"/>
    <n v="5554"/>
    <n v="3292"/>
    <n v="3495"/>
    <n v="2022"/>
    <n v="1772"/>
    <n v="1026"/>
  </r>
  <r>
    <s v="NGA"/>
    <x v="0"/>
    <m/>
    <x v="18"/>
    <m/>
    <s v="KAURU"/>
    <m/>
    <n v="184597"/>
    <n v="182112"/>
    <n v="366709"/>
    <n v="37477"/>
    <n v="29288"/>
    <n v="23909"/>
    <n v="19137"/>
    <n v="13867"/>
    <n v="12131"/>
    <n v="11063"/>
    <n v="9252"/>
    <n v="7594"/>
    <n v="5612"/>
    <n v="4715"/>
    <n v="3203"/>
    <n v="2516"/>
    <n v="1641"/>
    <n v="1459"/>
    <n v="1000"/>
    <n v="733"/>
    <n v="36705"/>
    <n v="28255"/>
    <n v="21991"/>
    <n v="19160"/>
    <n v="15788"/>
    <n v="13114"/>
    <n v="10895"/>
    <n v="8402"/>
    <n v="7174"/>
    <n v="5002"/>
    <n v="4418"/>
    <n v="3064"/>
    <n v="2729"/>
    <n v="1813"/>
    <n v="1801"/>
    <n v="1106"/>
    <n v="695"/>
    <n v="74182"/>
    <n v="57543"/>
    <n v="45900"/>
    <n v="38297"/>
    <n v="29655"/>
    <n v="25245"/>
    <n v="21958"/>
    <n v="17654"/>
    <n v="14768"/>
    <n v="10614"/>
    <n v="9133"/>
    <n v="6267"/>
    <n v="5245"/>
    <n v="3454"/>
    <n v="3260"/>
    <n v="2106"/>
    <n v="1428"/>
  </r>
  <r>
    <s v="NGA"/>
    <x v="0"/>
    <m/>
    <x v="18"/>
    <m/>
    <s v="KUBAU"/>
    <m/>
    <n v="185859"/>
    <n v="181944"/>
    <n v="367803"/>
    <n v="38374"/>
    <n v="29075"/>
    <n v="23373"/>
    <n v="19427"/>
    <n v="14200"/>
    <n v="12091"/>
    <n v="11321"/>
    <n v="9357"/>
    <n v="7820"/>
    <n v="5669"/>
    <n v="4978"/>
    <n v="2872"/>
    <n v="2710"/>
    <n v="1454"/>
    <n v="1678"/>
    <n v="694"/>
    <n v="766"/>
    <n v="36564"/>
    <n v="27643"/>
    <n v="21872"/>
    <n v="19357"/>
    <n v="15586"/>
    <n v="13196"/>
    <n v="11090"/>
    <n v="8607"/>
    <n v="7386"/>
    <n v="5102"/>
    <n v="4822"/>
    <n v="2795"/>
    <n v="2828"/>
    <n v="1770"/>
    <n v="1942"/>
    <n v="646"/>
    <n v="738"/>
    <n v="74938"/>
    <n v="56718"/>
    <n v="45245"/>
    <n v="38784"/>
    <n v="29786"/>
    <n v="25287"/>
    <n v="22411"/>
    <n v="17964"/>
    <n v="15206"/>
    <n v="10771"/>
    <n v="9800"/>
    <n v="5667"/>
    <n v="5538"/>
    <n v="3224"/>
    <n v="3620"/>
    <n v="1340"/>
    <n v="1504"/>
  </r>
  <r>
    <s v="NGA"/>
    <x v="0"/>
    <m/>
    <x v="18"/>
    <m/>
    <s v="KUDAN"/>
    <m/>
    <n v="88263"/>
    <n v="82075"/>
    <n v="170338"/>
    <n v="18130"/>
    <n v="14156"/>
    <n v="11568"/>
    <n v="9620"/>
    <n v="6792"/>
    <n v="5688"/>
    <n v="5264"/>
    <n v="4276"/>
    <n v="3577"/>
    <n v="2557"/>
    <n v="2239"/>
    <n v="1176"/>
    <n v="1148"/>
    <n v="680"/>
    <n v="781"/>
    <n v="307"/>
    <n v="304"/>
    <n v="16806"/>
    <n v="12955"/>
    <n v="9724"/>
    <n v="8663"/>
    <n v="7303"/>
    <n v="6012"/>
    <n v="4931"/>
    <n v="3774"/>
    <n v="3194"/>
    <n v="2141"/>
    <n v="2084"/>
    <n v="1182"/>
    <n v="1246"/>
    <n v="618"/>
    <n v="744"/>
    <n v="390"/>
    <n v="308"/>
    <n v="34936"/>
    <n v="27111"/>
    <n v="21292"/>
    <n v="18283"/>
    <n v="14095"/>
    <n v="11700"/>
    <n v="10195"/>
    <n v="8050"/>
    <n v="6771"/>
    <n v="4698"/>
    <n v="4323"/>
    <n v="2358"/>
    <n v="2394"/>
    <n v="1298"/>
    <n v="1525"/>
    <n v="697"/>
    <n v="612"/>
  </r>
  <r>
    <s v="NGA"/>
    <x v="0"/>
    <m/>
    <x v="18"/>
    <m/>
    <s v="LERE"/>
    <m/>
    <n v="246074"/>
    <n v="242774"/>
    <n v="488848"/>
    <n v="48947"/>
    <n v="39041"/>
    <n v="31365"/>
    <n v="26054"/>
    <n v="18657"/>
    <n v="16832"/>
    <n v="14819"/>
    <n v="12431"/>
    <n v="9976"/>
    <n v="7513"/>
    <n v="5987"/>
    <n v="4396"/>
    <n v="3287"/>
    <n v="2557"/>
    <n v="2059"/>
    <n v="1200"/>
    <n v="953"/>
    <n v="48121"/>
    <n v="38546"/>
    <n v="29077"/>
    <n v="25181"/>
    <n v="21070"/>
    <n v="17569"/>
    <n v="14643"/>
    <n v="11237"/>
    <n v="9645"/>
    <n v="6674"/>
    <n v="5883"/>
    <n v="4165"/>
    <n v="3595"/>
    <n v="2485"/>
    <n v="2358"/>
    <n v="1361"/>
    <n v="1164"/>
    <n v="97068"/>
    <n v="77587"/>
    <n v="60442"/>
    <n v="51235"/>
    <n v="39727"/>
    <n v="34401"/>
    <n v="29462"/>
    <n v="23668"/>
    <n v="19621"/>
    <n v="14187"/>
    <n v="11870"/>
    <n v="8561"/>
    <n v="6882"/>
    <n v="5042"/>
    <n v="4417"/>
    <n v="2561"/>
    <n v="2117"/>
  </r>
  <r>
    <s v="NGA"/>
    <x v="0"/>
    <m/>
    <x v="18"/>
    <m/>
    <s v="MAKARFI"/>
    <m/>
    <n v="90320"/>
    <n v="89357"/>
    <n v="179677"/>
    <n v="18115"/>
    <n v="14523"/>
    <n v="10741"/>
    <n v="8933"/>
    <n v="6397"/>
    <n v="6272"/>
    <n v="6045"/>
    <n v="4719"/>
    <n v="4130"/>
    <n v="2642"/>
    <n v="2452"/>
    <n v="1491"/>
    <n v="1485"/>
    <n v="817"/>
    <n v="835"/>
    <n v="353"/>
    <n v="370"/>
    <n v="17751"/>
    <n v="14295"/>
    <n v="9967"/>
    <n v="10113"/>
    <n v="8630"/>
    <n v="6594"/>
    <n v="5629"/>
    <n v="3788"/>
    <n v="3527"/>
    <n v="2082"/>
    <n v="2254"/>
    <n v="1230"/>
    <n v="1347"/>
    <n v="615"/>
    <n v="844"/>
    <n v="333"/>
    <n v="358"/>
    <n v="35866"/>
    <n v="28818"/>
    <n v="20708"/>
    <n v="19046"/>
    <n v="15027"/>
    <n v="12866"/>
    <n v="11674"/>
    <n v="8507"/>
    <n v="7657"/>
    <n v="4724"/>
    <n v="4706"/>
    <n v="2721"/>
    <n v="2832"/>
    <n v="1432"/>
    <n v="1679"/>
    <n v="686"/>
    <n v="728"/>
  </r>
  <r>
    <s v="NGA"/>
    <x v="0"/>
    <m/>
    <x v="18"/>
    <m/>
    <s v="SABON GARI"/>
    <m/>
    <n v="170215"/>
    <n v="160099"/>
    <n v="330314"/>
    <n v="27910"/>
    <n v="23216"/>
    <n v="21380"/>
    <n v="18968"/>
    <n v="18145"/>
    <n v="14125"/>
    <n v="9773"/>
    <n v="8771"/>
    <n v="6823"/>
    <n v="6064"/>
    <n v="4239"/>
    <n v="4698"/>
    <n v="2140"/>
    <n v="1949"/>
    <n v="980"/>
    <n v="650"/>
    <n v="384"/>
    <n v="27703"/>
    <n v="23300"/>
    <n v="21591"/>
    <n v="17662"/>
    <n v="15184"/>
    <n v="11692"/>
    <n v="9221"/>
    <n v="7881"/>
    <n v="6743"/>
    <n v="5399"/>
    <n v="4267"/>
    <n v="3402"/>
    <n v="2146"/>
    <n v="1460"/>
    <n v="1222"/>
    <n v="583"/>
    <n v="643"/>
    <n v="55613"/>
    <n v="46516"/>
    <n v="42971"/>
    <n v="36630"/>
    <n v="33329"/>
    <n v="25817"/>
    <n v="18994"/>
    <n v="16652"/>
    <n v="13566"/>
    <n v="11463"/>
    <n v="8506"/>
    <n v="8100"/>
    <n v="4286"/>
    <n v="3409"/>
    <n v="2202"/>
    <n v="1233"/>
    <n v="1027"/>
  </r>
  <r>
    <s v="NGA"/>
    <x v="0"/>
    <m/>
    <x v="18"/>
    <m/>
    <s v="SANGA"/>
    <m/>
    <n v="131028"/>
    <n v="128137"/>
    <n v="259165"/>
    <n v="24366"/>
    <n v="19415"/>
    <n v="16510"/>
    <n v="14418"/>
    <n v="10987"/>
    <n v="9414"/>
    <n v="8063"/>
    <n v="6943"/>
    <n v="5484"/>
    <n v="4387"/>
    <n v="3062"/>
    <n v="2543"/>
    <n v="1602"/>
    <n v="1496"/>
    <n v="990"/>
    <n v="773"/>
    <n v="575"/>
    <n v="23488"/>
    <n v="18948"/>
    <n v="15706"/>
    <n v="13588"/>
    <n v="11106"/>
    <n v="9530"/>
    <n v="7572"/>
    <n v="6493"/>
    <n v="5137"/>
    <n v="3943"/>
    <n v="3164"/>
    <n v="2770"/>
    <n v="2367"/>
    <n v="1593"/>
    <n v="1374"/>
    <n v="808"/>
    <n v="550"/>
    <n v="47854"/>
    <n v="38363"/>
    <n v="32216"/>
    <n v="28006"/>
    <n v="22093"/>
    <n v="18944"/>
    <n v="15635"/>
    <n v="13436"/>
    <n v="10621"/>
    <n v="8330"/>
    <n v="6226"/>
    <n v="5313"/>
    <n v="3969"/>
    <n v="3089"/>
    <n v="2364"/>
    <n v="1581"/>
    <n v="1125"/>
  </r>
  <r>
    <s v="NGA"/>
    <x v="0"/>
    <m/>
    <x v="18"/>
    <m/>
    <s v="SOBA"/>
    <m/>
    <n v="212287"/>
    <n v="211715"/>
    <n v="424002"/>
    <n v="42508"/>
    <n v="34940"/>
    <n v="27110"/>
    <n v="21661"/>
    <n v="15206"/>
    <n v="13945"/>
    <n v="13203"/>
    <n v="10627"/>
    <n v="9140"/>
    <n v="6088"/>
    <n v="5662"/>
    <n v="3441"/>
    <n v="3322"/>
    <n v="1793"/>
    <n v="1918"/>
    <n v="932"/>
    <n v="791"/>
    <n v="41796"/>
    <n v="34057"/>
    <n v="25048"/>
    <n v="24091"/>
    <n v="19206"/>
    <n v="15448"/>
    <n v="12898"/>
    <n v="9554"/>
    <n v="8184"/>
    <n v="5106"/>
    <n v="5095"/>
    <n v="2830"/>
    <n v="3087"/>
    <n v="1726"/>
    <n v="1893"/>
    <n v="895"/>
    <n v="801"/>
    <n v="84304"/>
    <n v="68997"/>
    <n v="52158"/>
    <n v="45752"/>
    <n v="34412"/>
    <n v="29393"/>
    <n v="26101"/>
    <n v="20181"/>
    <n v="17324"/>
    <n v="11194"/>
    <n v="10757"/>
    <n v="6271"/>
    <n v="6409"/>
    <n v="3519"/>
    <n v="3811"/>
    <n v="1827"/>
    <n v="1592"/>
  </r>
  <r>
    <s v="NGA"/>
    <x v="0"/>
    <m/>
    <x v="18"/>
    <m/>
    <s v="ZANGON KATAF"/>
    <m/>
    <n v="320748"/>
    <n v="310752"/>
    <n v="631500"/>
    <n v="63520"/>
    <n v="48147"/>
    <n v="40568"/>
    <n v="35373"/>
    <n v="26177"/>
    <n v="21365"/>
    <n v="18785"/>
    <n v="16345"/>
    <n v="13004"/>
    <n v="10387"/>
    <n v="7274"/>
    <n v="6816"/>
    <n v="3653"/>
    <n v="4064"/>
    <n v="2247"/>
    <n v="1717"/>
    <n v="1306"/>
    <n v="59821"/>
    <n v="45310"/>
    <n v="37696"/>
    <n v="32709"/>
    <n v="26314"/>
    <n v="22652"/>
    <n v="18556"/>
    <n v="15426"/>
    <n v="12626"/>
    <n v="9489"/>
    <n v="6911"/>
    <n v="7746"/>
    <n v="4467"/>
    <n v="4641"/>
    <n v="2892"/>
    <n v="2170"/>
    <n v="1326"/>
    <n v="123341"/>
    <n v="93457"/>
    <n v="78264"/>
    <n v="68082"/>
    <n v="52491"/>
    <n v="44017"/>
    <n v="37341"/>
    <n v="31771"/>
    <n v="25630"/>
    <n v="19876"/>
    <n v="14185"/>
    <n v="14562"/>
    <n v="8120"/>
    <n v="8705"/>
    <n v="5139"/>
    <n v="3887"/>
    <n v="2632"/>
  </r>
  <r>
    <s v="NGA"/>
    <x v="0"/>
    <m/>
    <x v="18"/>
    <m/>
    <s v="ZARIA"/>
    <m/>
    <n v="264658"/>
    <n v="243159"/>
    <n v="507817"/>
    <n v="47296"/>
    <n v="37857"/>
    <n v="36125"/>
    <n v="31163"/>
    <n v="24491"/>
    <n v="19891"/>
    <n v="15212"/>
    <n v="13270"/>
    <n v="10217"/>
    <n v="7948"/>
    <n v="5551"/>
    <n v="5824"/>
    <n v="3266"/>
    <n v="2627"/>
    <n v="1837"/>
    <n v="1321"/>
    <n v="762"/>
    <n v="45830"/>
    <n v="36222"/>
    <n v="31233"/>
    <n v="26424"/>
    <n v="21842"/>
    <n v="17740"/>
    <n v="14189"/>
    <n v="11669"/>
    <n v="9660"/>
    <n v="7044"/>
    <n v="5964"/>
    <n v="4689"/>
    <n v="3297"/>
    <n v="2656"/>
    <n v="2244"/>
    <n v="1314"/>
    <n v="1142"/>
    <n v="93126"/>
    <n v="74079"/>
    <n v="67358"/>
    <n v="57587"/>
    <n v="46333"/>
    <n v="37631"/>
    <n v="29401"/>
    <n v="24939"/>
    <n v="19877"/>
    <n v="14992"/>
    <n v="11515"/>
    <n v="10513"/>
    <n v="6563"/>
    <n v="5283"/>
    <n v="4081"/>
    <n v="2635"/>
    <n v="1904"/>
  </r>
  <r>
    <s v="NGA"/>
    <x v="0"/>
    <m/>
    <x v="19"/>
    <m/>
    <s v=""/>
    <m/>
    <n v="7187521"/>
    <n v="6424609"/>
    <n v="13612130"/>
    <n v="1342927"/>
    <n v="1107956"/>
    <n v="949996"/>
    <n v="811896"/>
    <n v="572752"/>
    <n v="481403"/>
    <n v="436874"/>
    <n v="355042"/>
    <n v="313063"/>
    <n v="208951"/>
    <n v="195036"/>
    <n v="120240"/>
    <n v="112472"/>
    <n v="58784"/>
    <n v="65980"/>
    <n v="27544"/>
    <n v="26605"/>
    <n v="1256406"/>
    <n v="1011215"/>
    <n v="766886"/>
    <n v="665509"/>
    <n v="565371"/>
    <n v="471469"/>
    <n v="403281"/>
    <n v="297232"/>
    <n v="275925"/>
    <n v="166310"/>
    <n v="170736"/>
    <n v="94671"/>
    <n v="102851"/>
    <n v="52016"/>
    <n v="67473"/>
    <n v="26539"/>
    <n v="30719"/>
    <n v="2599333"/>
    <n v="2119171"/>
    <n v="1716882"/>
    <n v="1477405"/>
    <n v="1138123"/>
    <n v="952872"/>
    <n v="840155"/>
    <n v="652274"/>
    <n v="588988"/>
    <n v="375261"/>
    <n v="365772"/>
    <n v="214911"/>
    <n v="215323"/>
    <n v="110800"/>
    <n v="133453"/>
    <n v="54083"/>
    <n v="57324"/>
  </r>
  <r>
    <s v="NGA"/>
    <x v="0"/>
    <m/>
    <x v="19"/>
    <m/>
    <s v="AJINGI"/>
    <m/>
    <n v="119683"/>
    <n v="118591"/>
    <n v="238274"/>
    <n v="24431"/>
    <n v="20073"/>
    <n v="14303"/>
    <n v="11617"/>
    <n v="7990"/>
    <n v="7200"/>
    <n v="7447"/>
    <n v="5923"/>
    <n v="5709"/>
    <n v="3482"/>
    <n v="3751"/>
    <n v="1842"/>
    <n v="2438"/>
    <n v="1041"/>
    <n v="1443"/>
    <n v="476"/>
    <n v="517"/>
    <n v="22490"/>
    <n v="18863"/>
    <n v="13483"/>
    <n v="11626"/>
    <n v="10328"/>
    <n v="8725"/>
    <n v="7860"/>
    <n v="5593"/>
    <n v="5485"/>
    <n v="3426"/>
    <n v="3486"/>
    <n v="1843"/>
    <n v="2086"/>
    <n v="1059"/>
    <n v="1255"/>
    <n v="464"/>
    <n v="519"/>
    <n v="46921"/>
    <n v="38936"/>
    <n v="27786"/>
    <n v="23243"/>
    <n v="18318"/>
    <n v="15925"/>
    <n v="15307"/>
    <n v="11516"/>
    <n v="11194"/>
    <n v="6908"/>
    <n v="7237"/>
    <n v="3685"/>
    <n v="4524"/>
    <n v="2100"/>
    <n v="2698"/>
    <n v="940"/>
    <n v="1036"/>
  </r>
  <r>
    <s v="NGA"/>
    <x v="0"/>
    <m/>
    <x v="19"/>
    <m/>
    <s v="ALBASU"/>
    <m/>
    <n v="133356"/>
    <n v="129762"/>
    <n v="263118"/>
    <n v="26395"/>
    <n v="21550"/>
    <n v="17289"/>
    <n v="13851"/>
    <n v="9704"/>
    <n v="8505"/>
    <n v="8008"/>
    <n v="6481"/>
    <n v="5929"/>
    <n v="3981"/>
    <n v="3977"/>
    <n v="2071"/>
    <n v="2189"/>
    <n v="945"/>
    <n v="1390"/>
    <n v="530"/>
    <n v="561"/>
    <n v="24575"/>
    <n v="20145"/>
    <n v="15724"/>
    <n v="13663"/>
    <n v="11297"/>
    <n v="9491"/>
    <n v="8338"/>
    <n v="6228"/>
    <n v="5573"/>
    <n v="3545"/>
    <n v="3584"/>
    <n v="1826"/>
    <n v="2298"/>
    <n v="1072"/>
    <n v="1304"/>
    <n v="490"/>
    <n v="609"/>
    <n v="50970"/>
    <n v="41695"/>
    <n v="33013"/>
    <n v="27514"/>
    <n v="21001"/>
    <n v="17996"/>
    <n v="16346"/>
    <n v="12709"/>
    <n v="11502"/>
    <n v="7526"/>
    <n v="7561"/>
    <n v="3897"/>
    <n v="4487"/>
    <n v="2017"/>
    <n v="2694"/>
    <n v="1020"/>
    <n v="1170"/>
  </r>
  <r>
    <s v="NGA"/>
    <x v="0"/>
    <m/>
    <x v="19"/>
    <m/>
    <s v="BAGWAI"/>
    <m/>
    <n v="110328"/>
    <n v="102912"/>
    <n v="213240"/>
    <n v="23312"/>
    <n v="18145"/>
    <n v="14002"/>
    <n v="11695"/>
    <n v="8136"/>
    <n v="6441"/>
    <n v="6368"/>
    <n v="5111"/>
    <n v="4688"/>
    <n v="2985"/>
    <n v="3222"/>
    <n v="1455"/>
    <n v="1946"/>
    <n v="728"/>
    <n v="1185"/>
    <n v="397"/>
    <n v="512"/>
    <n v="20233"/>
    <n v="16063"/>
    <n v="11763"/>
    <n v="10471"/>
    <n v="8916"/>
    <n v="7380"/>
    <n v="6722"/>
    <n v="4766"/>
    <n v="4520"/>
    <n v="2796"/>
    <n v="2936"/>
    <n v="1601"/>
    <n v="1778"/>
    <n v="949"/>
    <n v="1139"/>
    <n v="408"/>
    <n v="471"/>
    <n v="43545"/>
    <n v="34208"/>
    <n v="25765"/>
    <n v="22166"/>
    <n v="17052"/>
    <n v="13821"/>
    <n v="13090"/>
    <n v="9877"/>
    <n v="9208"/>
    <n v="5781"/>
    <n v="6158"/>
    <n v="3056"/>
    <n v="3724"/>
    <n v="1677"/>
    <n v="2324"/>
    <n v="805"/>
    <n v="983"/>
  </r>
  <r>
    <s v="NGA"/>
    <x v="0"/>
    <m/>
    <x v="19"/>
    <m/>
    <s v="BEBEJI"/>
    <m/>
    <n v="137522"/>
    <n v="132556"/>
    <n v="270078"/>
    <n v="27379"/>
    <n v="22441"/>
    <n v="17330"/>
    <n v="14087"/>
    <n v="9570"/>
    <n v="8707"/>
    <n v="8473"/>
    <n v="6808"/>
    <n v="6224"/>
    <n v="3874"/>
    <n v="4153"/>
    <n v="2193"/>
    <n v="2466"/>
    <n v="1144"/>
    <n v="1474"/>
    <n v="569"/>
    <n v="630"/>
    <n v="26048"/>
    <n v="21678"/>
    <n v="15103"/>
    <n v="13410"/>
    <n v="11842"/>
    <n v="9685"/>
    <n v="8632"/>
    <n v="6001"/>
    <n v="5747"/>
    <n v="3240"/>
    <n v="3620"/>
    <n v="1650"/>
    <n v="2203"/>
    <n v="1014"/>
    <n v="1425"/>
    <n v="560"/>
    <n v="698"/>
    <n v="53427"/>
    <n v="44119"/>
    <n v="32433"/>
    <n v="27497"/>
    <n v="21412"/>
    <n v="18392"/>
    <n v="17105"/>
    <n v="12809"/>
    <n v="11971"/>
    <n v="7114"/>
    <n v="7773"/>
    <n v="3843"/>
    <n v="4669"/>
    <n v="2158"/>
    <n v="2899"/>
    <n v="1129"/>
    <n v="1328"/>
  </r>
  <r>
    <s v="NGA"/>
    <x v="0"/>
    <m/>
    <x v="19"/>
    <m/>
    <s v="BICHI"/>
    <m/>
    <n v="185278"/>
    <n v="184260"/>
    <n v="369538"/>
    <n v="37910"/>
    <n v="29832"/>
    <n v="23274"/>
    <n v="18768"/>
    <n v="13157"/>
    <n v="11474"/>
    <n v="11143"/>
    <n v="8864"/>
    <n v="8282"/>
    <n v="5430"/>
    <n v="5733"/>
    <n v="3002"/>
    <n v="3219"/>
    <n v="1517"/>
    <n v="2147"/>
    <n v="729"/>
    <n v="797"/>
    <n v="35779"/>
    <n v="29360"/>
    <n v="21685"/>
    <n v="18408"/>
    <n v="15737"/>
    <n v="13004"/>
    <n v="11471"/>
    <n v="8642"/>
    <n v="8105"/>
    <n v="4879"/>
    <n v="5278"/>
    <n v="2982"/>
    <n v="3310"/>
    <n v="1574"/>
    <n v="2184"/>
    <n v="887"/>
    <n v="975"/>
    <n v="73689"/>
    <n v="59192"/>
    <n v="44959"/>
    <n v="37176"/>
    <n v="28894"/>
    <n v="24478"/>
    <n v="22614"/>
    <n v="17506"/>
    <n v="16387"/>
    <n v="10309"/>
    <n v="11011"/>
    <n v="5984"/>
    <n v="6529"/>
    <n v="3091"/>
    <n v="4331"/>
    <n v="1616"/>
    <n v="1772"/>
  </r>
  <r>
    <s v="NGA"/>
    <x v="0"/>
    <m/>
    <x v="19"/>
    <m/>
    <s v="BUNKURE"/>
    <m/>
    <n v="108227"/>
    <n v="107740"/>
    <n v="215967"/>
    <n v="22767"/>
    <n v="17989"/>
    <n v="13148"/>
    <n v="10696"/>
    <n v="7143"/>
    <n v="6189"/>
    <n v="6755"/>
    <n v="5203"/>
    <n v="5283"/>
    <n v="3104"/>
    <n v="3434"/>
    <n v="1547"/>
    <n v="2077"/>
    <n v="784"/>
    <n v="1226"/>
    <n v="391"/>
    <n v="491"/>
    <n v="21372"/>
    <n v="17739"/>
    <n v="11697"/>
    <n v="10128"/>
    <n v="9798"/>
    <n v="7971"/>
    <n v="7382"/>
    <n v="4841"/>
    <n v="4884"/>
    <n v="2545"/>
    <n v="2982"/>
    <n v="1373"/>
    <n v="2010"/>
    <n v="890"/>
    <n v="1212"/>
    <n v="430"/>
    <n v="486"/>
    <n v="44139"/>
    <n v="35728"/>
    <n v="24845"/>
    <n v="20824"/>
    <n v="16941"/>
    <n v="14160"/>
    <n v="14137"/>
    <n v="10044"/>
    <n v="10167"/>
    <n v="5649"/>
    <n v="6416"/>
    <n v="2920"/>
    <n v="4087"/>
    <n v="1674"/>
    <n v="2438"/>
    <n v="821"/>
    <n v="977"/>
  </r>
  <r>
    <s v="NGA"/>
    <x v="0"/>
    <m/>
    <x v="19"/>
    <m/>
    <s v="DALA"/>
    <m/>
    <n v="328499"/>
    <n v="245673"/>
    <n v="574172"/>
    <n v="52497"/>
    <n v="43499"/>
    <n v="49100"/>
    <n v="46408"/>
    <n v="32802"/>
    <n v="24598"/>
    <n v="18876"/>
    <n v="15731"/>
    <n v="12271"/>
    <n v="9081"/>
    <n v="6551"/>
    <n v="6236"/>
    <n v="3584"/>
    <n v="2995"/>
    <n v="2063"/>
    <n v="1351"/>
    <n v="856"/>
    <n v="48414"/>
    <n v="37712"/>
    <n v="32953"/>
    <n v="27200"/>
    <n v="20653"/>
    <n v="17164"/>
    <n v="13603"/>
    <n v="11255"/>
    <n v="9851"/>
    <n v="6452"/>
    <n v="5892"/>
    <n v="3936"/>
    <n v="3412"/>
    <n v="2420"/>
    <n v="2462"/>
    <n v="990"/>
    <n v="1304"/>
    <n v="100911"/>
    <n v="81211"/>
    <n v="82053"/>
    <n v="73608"/>
    <n v="53455"/>
    <n v="41762"/>
    <n v="32479"/>
    <n v="26986"/>
    <n v="22122"/>
    <n v="15533"/>
    <n v="12443"/>
    <n v="10172"/>
    <n v="6996"/>
    <n v="5415"/>
    <n v="4525"/>
    <n v="2341"/>
    <n v="2160"/>
  </r>
  <r>
    <s v="NGA"/>
    <x v="0"/>
    <m/>
    <x v="19"/>
    <m/>
    <s v="DAMBATTA"/>
    <m/>
    <n v="184937"/>
    <n v="183416"/>
    <n v="368353"/>
    <n v="37186"/>
    <n v="30388"/>
    <n v="22469"/>
    <n v="17757"/>
    <n v="11987"/>
    <n v="11079"/>
    <n v="11080"/>
    <n v="9267"/>
    <n v="8993"/>
    <n v="5699"/>
    <n v="6125"/>
    <n v="3120"/>
    <n v="4009"/>
    <n v="1778"/>
    <n v="2343"/>
    <n v="833"/>
    <n v="824"/>
    <n v="35333"/>
    <n v="29441"/>
    <n v="20588"/>
    <n v="17521"/>
    <n v="15415"/>
    <n v="13096"/>
    <n v="12344"/>
    <n v="8487"/>
    <n v="8665"/>
    <n v="4850"/>
    <n v="5626"/>
    <n v="2863"/>
    <n v="3507"/>
    <n v="1569"/>
    <n v="2369"/>
    <n v="764"/>
    <n v="978"/>
    <n v="72519"/>
    <n v="59829"/>
    <n v="43057"/>
    <n v="35278"/>
    <n v="27402"/>
    <n v="24175"/>
    <n v="23424"/>
    <n v="17754"/>
    <n v="17658"/>
    <n v="10549"/>
    <n v="11751"/>
    <n v="5983"/>
    <n v="7516"/>
    <n v="3347"/>
    <n v="4712"/>
    <n v="1597"/>
    <n v="1802"/>
  </r>
  <r>
    <s v="NGA"/>
    <x v="0"/>
    <m/>
    <x v="19"/>
    <m/>
    <s v="DAWAKIN KUDU"/>
    <m/>
    <n v="140067"/>
    <n v="130775"/>
    <n v="270842"/>
    <n v="26669"/>
    <n v="21663"/>
    <n v="17268"/>
    <n v="14994"/>
    <n v="10140"/>
    <n v="9160"/>
    <n v="9274"/>
    <n v="7136"/>
    <n v="6711"/>
    <n v="3902"/>
    <n v="4383"/>
    <n v="2262"/>
    <n v="2662"/>
    <n v="1162"/>
    <n v="1587"/>
    <n v="530"/>
    <n v="564"/>
    <n v="25262"/>
    <n v="20784"/>
    <n v="14325"/>
    <n v="13517"/>
    <n v="12124"/>
    <n v="9537"/>
    <n v="8572"/>
    <n v="5794"/>
    <n v="6155"/>
    <n v="3065"/>
    <n v="3850"/>
    <n v="1859"/>
    <n v="2393"/>
    <n v="990"/>
    <n v="1497"/>
    <n v="422"/>
    <n v="629"/>
    <n v="51931"/>
    <n v="42447"/>
    <n v="31593"/>
    <n v="28511"/>
    <n v="22264"/>
    <n v="18697"/>
    <n v="17846"/>
    <n v="12930"/>
    <n v="12866"/>
    <n v="6967"/>
    <n v="8233"/>
    <n v="4121"/>
    <n v="5055"/>
    <n v="2152"/>
    <n v="3084"/>
    <n v="952"/>
    <n v="1193"/>
  </r>
  <r>
    <s v="NGA"/>
    <x v="0"/>
    <m/>
    <x v="19"/>
    <m/>
    <s v="DAWAKIN TOFA"/>
    <m/>
    <n v="173783"/>
    <n v="163855"/>
    <n v="337638"/>
    <n v="35002"/>
    <n v="28164"/>
    <n v="22798"/>
    <n v="19718"/>
    <n v="12933"/>
    <n v="10702"/>
    <n v="9722"/>
    <n v="8218"/>
    <n v="7235"/>
    <n v="4944"/>
    <n v="4597"/>
    <n v="2691"/>
    <n v="2774"/>
    <n v="1237"/>
    <n v="1739"/>
    <n v="642"/>
    <n v="667"/>
    <n v="32777"/>
    <n v="25312"/>
    <n v="19429"/>
    <n v="18065"/>
    <n v="13816"/>
    <n v="11622"/>
    <n v="9911"/>
    <n v="7475"/>
    <n v="6983"/>
    <n v="4364"/>
    <n v="4345"/>
    <n v="2541"/>
    <n v="2677"/>
    <n v="1313"/>
    <n v="1819"/>
    <n v="653"/>
    <n v="753"/>
    <n v="67779"/>
    <n v="53476"/>
    <n v="42227"/>
    <n v="37783"/>
    <n v="26749"/>
    <n v="22324"/>
    <n v="19633"/>
    <n v="15693"/>
    <n v="14218"/>
    <n v="9308"/>
    <n v="8942"/>
    <n v="5232"/>
    <n v="5451"/>
    <n v="2550"/>
    <n v="3558"/>
    <n v="1295"/>
    <n v="1420"/>
  </r>
  <r>
    <s v="NGA"/>
    <x v="0"/>
    <m/>
    <x v="19"/>
    <m/>
    <s v="DOGUWA"/>
    <m/>
    <n v="123100"/>
    <n v="114026"/>
    <n v="237126"/>
    <n v="24584"/>
    <n v="19924"/>
    <n v="16179"/>
    <n v="13340"/>
    <n v="9182"/>
    <n v="7830"/>
    <n v="7236"/>
    <n v="6048"/>
    <n v="5236"/>
    <n v="3470"/>
    <n v="3223"/>
    <n v="1892"/>
    <n v="1877"/>
    <n v="921"/>
    <n v="1180"/>
    <n v="525"/>
    <n v="453"/>
    <n v="22197"/>
    <n v="18429"/>
    <n v="13370"/>
    <n v="12035"/>
    <n v="10158"/>
    <n v="8654"/>
    <n v="7225"/>
    <n v="5193"/>
    <n v="4654"/>
    <n v="2869"/>
    <n v="2797"/>
    <n v="1752"/>
    <n v="1619"/>
    <n v="930"/>
    <n v="1064"/>
    <n v="560"/>
    <n v="520"/>
    <n v="46781"/>
    <n v="38353"/>
    <n v="29549"/>
    <n v="25375"/>
    <n v="19340"/>
    <n v="16484"/>
    <n v="14461"/>
    <n v="11241"/>
    <n v="9890"/>
    <n v="6339"/>
    <n v="6020"/>
    <n v="3644"/>
    <n v="3496"/>
    <n v="1851"/>
    <n v="2244"/>
    <n v="1085"/>
    <n v="973"/>
  </r>
  <r>
    <s v="NGA"/>
    <x v="0"/>
    <m/>
    <x v="19"/>
    <m/>
    <s v="FAGGE"/>
    <m/>
    <n v="195680"/>
    <n v="150823"/>
    <n v="346503"/>
    <n v="28398"/>
    <n v="23073"/>
    <n v="24110"/>
    <n v="23104"/>
    <n v="19267"/>
    <n v="17267"/>
    <n v="14657"/>
    <n v="12422"/>
    <n v="9789"/>
    <n v="7599"/>
    <n v="5062"/>
    <n v="4410"/>
    <n v="2464"/>
    <n v="1925"/>
    <n v="1105"/>
    <n v="583"/>
    <n v="445"/>
    <n v="26788"/>
    <n v="21144"/>
    <n v="19593"/>
    <n v="16416"/>
    <n v="14571"/>
    <n v="12458"/>
    <n v="9707"/>
    <n v="7954"/>
    <n v="6398"/>
    <n v="4439"/>
    <n v="3513"/>
    <n v="2435"/>
    <n v="1906"/>
    <n v="1080"/>
    <n v="1240"/>
    <n v="553"/>
    <n v="628"/>
    <n v="55186"/>
    <n v="44217"/>
    <n v="43703"/>
    <n v="39520"/>
    <n v="33838"/>
    <n v="29725"/>
    <n v="24364"/>
    <n v="20376"/>
    <n v="16187"/>
    <n v="12038"/>
    <n v="8575"/>
    <n v="6845"/>
    <n v="4370"/>
    <n v="3005"/>
    <n v="2345"/>
    <n v="1136"/>
    <n v="1073"/>
  </r>
  <r>
    <s v="NGA"/>
    <x v="0"/>
    <m/>
    <x v="19"/>
    <m/>
    <s v="GABASAWA"/>
    <m/>
    <n v="130126"/>
    <n v="124201"/>
    <n v="254327"/>
    <n v="26352"/>
    <n v="20820"/>
    <n v="16291"/>
    <n v="14552"/>
    <n v="9783"/>
    <n v="8015"/>
    <n v="7613"/>
    <n v="6227"/>
    <n v="5619"/>
    <n v="3756"/>
    <n v="3836"/>
    <n v="1728"/>
    <n v="2308"/>
    <n v="886"/>
    <n v="1343"/>
    <n v="420"/>
    <n v="577"/>
    <n v="24640"/>
    <n v="19246"/>
    <n v="14410"/>
    <n v="12369"/>
    <n v="10569"/>
    <n v="9034"/>
    <n v="7821"/>
    <n v="6078"/>
    <n v="5559"/>
    <n v="3564"/>
    <n v="3661"/>
    <n v="1749"/>
    <n v="1984"/>
    <n v="937"/>
    <n v="1506"/>
    <n v="503"/>
    <n v="571"/>
    <n v="50992"/>
    <n v="40066"/>
    <n v="30701"/>
    <n v="26921"/>
    <n v="20352"/>
    <n v="17049"/>
    <n v="15434"/>
    <n v="12305"/>
    <n v="11178"/>
    <n v="7320"/>
    <n v="7497"/>
    <n v="3477"/>
    <n v="4292"/>
    <n v="1823"/>
    <n v="2849"/>
    <n v="923"/>
    <n v="1148"/>
  </r>
  <r>
    <s v="NGA"/>
    <x v="0"/>
    <m/>
    <x v="19"/>
    <m/>
    <s v="GARKO"/>
    <m/>
    <n v="107606"/>
    <n v="104405"/>
    <n v="212011"/>
    <n v="21396"/>
    <n v="17670"/>
    <n v="13757"/>
    <n v="11098"/>
    <n v="7531"/>
    <n v="6442"/>
    <n v="6515"/>
    <n v="5224"/>
    <n v="4905"/>
    <n v="3120"/>
    <n v="3339"/>
    <n v="1595"/>
    <n v="1948"/>
    <n v="832"/>
    <n v="1232"/>
    <n v="533"/>
    <n v="469"/>
    <n v="20299"/>
    <n v="16262"/>
    <n v="12250"/>
    <n v="10176"/>
    <n v="9193"/>
    <n v="7592"/>
    <n v="6887"/>
    <n v="5077"/>
    <n v="4774"/>
    <n v="2805"/>
    <n v="2931"/>
    <n v="1476"/>
    <n v="1766"/>
    <n v="819"/>
    <n v="1113"/>
    <n v="500"/>
    <n v="485"/>
    <n v="41695"/>
    <n v="33932"/>
    <n v="26007"/>
    <n v="21274"/>
    <n v="16724"/>
    <n v="14034"/>
    <n v="13402"/>
    <n v="10301"/>
    <n v="9679"/>
    <n v="5925"/>
    <n v="6270"/>
    <n v="3071"/>
    <n v="3714"/>
    <n v="1651"/>
    <n v="2345"/>
    <n v="1033"/>
    <n v="954"/>
  </r>
  <r>
    <s v="NGA"/>
    <x v="0"/>
    <m/>
    <x v="19"/>
    <m/>
    <s v="GARUN MALAM"/>
    <m/>
    <n v="106667"/>
    <n v="69523"/>
    <n v="176190"/>
    <n v="13906"/>
    <n v="11749"/>
    <n v="10654"/>
    <n v="10861"/>
    <n v="9897"/>
    <n v="9139"/>
    <n v="10517"/>
    <n v="7168"/>
    <n v="6956"/>
    <n v="3578"/>
    <n v="3983"/>
    <n v="2299"/>
    <n v="2483"/>
    <n v="1079"/>
    <n v="1273"/>
    <n v="572"/>
    <n v="553"/>
    <n v="12632"/>
    <n v="10408"/>
    <n v="7739"/>
    <n v="7437"/>
    <n v="6433"/>
    <n v="5217"/>
    <n v="4766"/>
    <n v="3333"/>
    <n v="3228"/>
    <n v="1879"/>
    <n v="2029"/>
    <n v="1067"/>
    <n v="1225"/>
    <n v="591"/>
    <n v="892"/>
    <n v="275"/>
    <n v="372"/>
    <n v="26538"/>
    <n v="22157"/>
    <n v="18393"/>
    <n v="18298"/>
    <n v="16330"/>
    <n v="14356"/>
    <n v="15283"/>
    <n v="10501"/>
    <n v="10184"/>
    <n v="5457"/>
    <n v="6012"/>
    <n v="3366"/>
    <n v="3708"/>
    <n v="1670"/>
    <n v="2165"/>
    <n v="847"/>
    <n v="925"/>
  </r>
  <r>
    <s v="NGA"/>
    <x v="0"/>
    <m/>
    <x v="19"/>
    <m/>
    <s v="GAYA"/>
    <m/>
    <n v="145577"/>
    <n v="140749"/>
    <n v="286326"/>
    <n v="29023"/>
    <n v="24241"/>
    <n v="18644"/>
    <n v="15150"/>
    <n v="9679"/>
    <n v="8612"/>
    <n v="8738"/>
    <n v="7057"/>
    <n v="6775"/>
    <n v="4032"/>
    <n v="4521"/>
    <n v="2303"/>
    <n v="2741"/>
    <n v="1222"/>
    <n v="1653"/>
    <n v="598"/>
    <n v="588"/>
    <n v="27039"/>
    <n v="23012"/>
    <n v="16482"/>
    <n v="13355"/>
    <n v="12014"/>
    <n v="10228"/>
    <n v="9338"/>
    <n v="6526"/>
    <n v="6556"/>
    <n v="3522"/>
    <n v="4119"/>
    <n v="1944"/>
    <n v="2587"/>
    <n v="1169"/>
    <n v="1642"/>
    <n v="577"/>
    <n v="639"/>
    <n v="56062"/>
    <n v="47253"/>
    <n v="35126"/>
    <n v="28505"/>
    <n v="21693"/>
    <n v="18840"/>
    <n v="18076"/>
    <n v="13583"/>
    <n v="13331"/>
    <n v="7554"/>
    <n v="8640"/>
    <n v="4247"/>
    <n v="5328"/>
    <n v="2391"/>
    <n v="3295"/>
    <n v="1175"/>
    <n v="1227"/>
  </r>
  <r>
    <s v="NGA"/>
    <x v="0"/>
    <m/>
    <x v="19"/>
    <m/>
    <s v="GEZAWA"/>
    <m/>
    <n v="228668"/>
    <n v="220332"/>
    <n v="449000"/>
    <n v="45613"/>
    <n v="36682"/>
    <n v="29440"/>
    <n v="24110"/>
    <n v="17468"/>
    <n v="14804"/>
    <n v="13514"/>
    <n v="11433"/>
    <n v="9928"/>
    <n v="7023"/>
    <n v="6419"/>
    <n v="3272"/>
    <n v="3363"/>
    <n v="1639"/>
    <n v="2192"/>
    <n v="891"/>
    <n v="877"/>
    <n v="42970"/>
    <n v="33459"/>
    <n v="26679"/>
    <n v="26179"/>
    <n v="18524"/>
    <n v="15702"/>
    <n v="13259"/>
    <n v="10294"/>
    <n v="8897"/>
    <n v="5982"/>
    <n v="5964"/>
    <n v="3056"/>
    <n v="3389"/>
    <n v="1877"/>
    <n v="2072"/>
    <n v="947"/>
    <n v="1082"/>
    <n v="88583"/>
    <n v="70141"/>
    <n v="56119"/>
    <n v="50289"/>
    <n v="35992"/>
    <n v="30506"/>
    <n v="26773"/>
    <n v="21727"/>
    <n v="18825"/>
    <n v="13005"/>
    <n v="12383"/>
    <n v="6328"/>
    <n v="6752"/>
    <n v="3516"/>
    <n v="4264"/>
    <n v="1838"/>
    <n v="1959"/>
  </r>
  <r>
    <s v="NGA"/>
    <x v="0"/>
    <m/>
    <x v="19"/>
    <m/>
    <s v="GWALE"/>
    <m/>
    <n v="303272"/>
    <n v="187350"/>
    <n v="490622"/>
    <n v="41970"/>
    <n v="43890"/>
    <n v="52578"/>
    <n v="49390"/>
    <n v="32735"/>
    <n v="22451"/>
    <n v="15987"/>
    <n v="12278"/>
    <n v="9271"/>
    <n v="6618"/>
    <n v="4634"/>
    <n v="4060"/>
    <n v="2484"/>
    <n v="2107"/>
    <n v="1357"/>
    <n v="883"/>
    <n v="579"/>
    <n v="37177"/>
    <n v="28304"/>
    <n v="24111"/>
    <n v="21803"/>
    <n v="17739"/>
    <n v="14126"/>
    <n v="10341"/>
    <n v="8058"/>
    <n v="6866"/>
    <n v="4584"/>
    <n v="4123"/>
    <n v="2850"/>
    <n v="2480"/>
    <n v="1376"/>
    <n v="1791"/>
    <n v="736"/>
    <n v="885"/>
    <n v="79147"/>
    <n v="72194"/>
    <n v="76689"/>
    <n v="71193"/>
    <n v="50474"/>
    <n v="36577"/>
    <n v="26328"/>
    <n v="20336"/>
    <n v="16137"/>
    <n v="11202"/>
    <n v="8757"/>
    <n v="6910"/>
    <n v="4964"/>
    <n v="3483"/>
    <n v="3148"/>
    <n v="1619"/>
    <n v="1464"/>
  </r>
  <r>
    <s v="NGA"/>
    <x v="0"/>
    <m/>
    <x v="19"/>
    <m/>
    <s v="GWARZO"/>
    <m/>
    <n v="128021"/>
    <n v="119369"/>
    <n v="247390"/>
    <n v="26522"/>
    <n v="20053"/>
    <n v="15780"/>
    <n v="13466"/>
    <n v="9718"/>
    <n v="8678"/>
    <n v="7677"/>
    <n v="6370"/>
    <n v="5475"/>
    <n v="3755"/>
    <n v="3372"/>
    <n v="2109"/>
    <n v="1956"/>
    <n v="923"/>
    <n v="1194"/>
    <n v="454"/>
    <n v="519"/>
    <n v="24380"/>
    <n v="18571"/>
    <n v="13821"/>
    <n v="12442"/>
    <n v="10410"/>
    <n v="8800"/>
    <n v="7217"/>
    <n v="5661"/>
    <n v="4927"/>
    <n v="3192"/>
    <n v="3218"/>
    <n v="1698"/>
    <n v="1994"/>
    <n v="819"/>
    <n v="1205"/>
    <n v="487"/>
    <n v="527"/>
    <n v="50902"/>
    <n v="38624"/>
    <n v="29601"/>
    <n v="25908"/>
    <n v="20128"/>
    <n v="17478"/>
    <n v="14894"/>
    <n v="12031"/>
    <n v="10402"/>
    <n v="6947"/>
    <n v="6590"/>
    <n v="3807"/>
    <n v="3950"/>
    <n v="1742"/>
    <n v="2399"/>
    <n v="941"/>
    <n v="1046"/>
  </r>
  <r>
    <s v="NGA"/>
    <x v="0"/>
    <m/>
    <x v="19"/>
    <m/>
    <s v="KABO"/>
    <m/>
    <n v="123698"/>
    <n v="102977"/>
    <n v="226675"/>
    <n v="22242"/>
    <n v="20392"/>
    <n v="18006"/>
    <n v="15781"/>
    <n v="10305"/>
    <n v="7742"/>
    <n v="6675"/>
    <n v="5369"/>
    <n v="4835"/>
    <n v="2975"/>
    <n v="3041"/>
    <n v="1621"/>
    <n v="1803"/>
    <n v="920"/>
    <n v="1105"/>
    <n v="417"/>
    <n v="469"/>
    <n v="20136"/>
    <n v="16617"/>
    <n v="11325"/>
    <n v="10393"/>
    <n v="9125"/>
    <n v="7818"/>
    <n v="6688"/>
    <n v="4665"/>
    <n v="4497"/>
    <n v="2621"/>
    <n v="2847"/>
    <n v="1311"/>
    <n v="1926"/>
    <n v="896"/>
    <n v="1183"/>
    <n v="451"/>
    <n v="478"/>
    <n v="42378"/>
    <n v="37009"/>
    <n v="29331"/>
    <n v="26174"/>
    <n v="19430"/>
    <n v="15560"/>
    <n v="13363"/>
    <n v="10034"/>
    <n v="9332"/>
    <n v="5596"/>
    <n v="5888"/>
    <n v="2932"/>
    <n v="3729"/>
    <n v="1816"/>
    <n v="2288"/>
    <n v="868"/>
    <n v="947"/>
  </r>
  <r>
    <s v="NGA"/>
    <x v="0"/>
    <m/>
    <x v="19"/>
    <m/>
    <s v="KANO MUNICIPAL"/>
    <m/>
    <n v="175583"/>
    <n v="120022"/>
    <n v="295605"/>
    <n v="23480"/>
    <n v="22844"/>
    <n v="27054"/>
    <n v="27441"/>
    <n v="20101"/>
    <n v="14013"/>
    <n v="9683"/>
    <n v="7393"/>
    <n v="6218"/>
    <n v="4605"/>
    <n v="3380"/>
    <n v="3297"/>
    <n v="1935"/>
    <n v="1764"/>
    <n v="1129"/>
    <n v="784"/>
    <n v="462"/>
    <n v="21346"/>
    <n v="17130"/>
    <n v="16353"/>
    <n v="13945"/>
    <n v="9572"/>
    <n v="7911"/>
    <n v="6623"/>
    <n v="5665"/>
    <n v="5307"/>
    <n v="3715"/>
    <n v="3377"/>
    <n v="2644"/>
    <n v="2085"/>
    <n v="1388"/>
    <n v="1464"/>
    <n v="725"/>
    <n v="772"/>
    <n v="44826"/>
    <n v="39974"/>
    <n v="43407"/>
    <n v="41386"/>
    <n v="29673"/>
    <n v="21924"/>
    <n v="16306"/>
    <n v="13058"/>
    <n v="11525"/>
    <n v="8320"/>
    <n v="6757"/>
    <n v="5941"/>
    <n v="4020"/>
    <n v="3152"/>
    <n v="2593"/>
    <n v="1509"/>
    <n v="1234"/>
  </r>
  <r>
    <s v="NGA"/>
    <x v="0"/>
    <m/>
    <x v="19"/>
    <m/>
    <s v="KARAYE"/>
    <m/>
    <n v="101270"/>
    <n v="101408"/>
    <n v="202678"/>
    <n v="20963"/>
    <n v="17206"/>
    <n v="13383"/>
    <n v="10182"/>
    <n v="6699"/>
    <n v="5849"/>
    <n v="5796"/>
    <n v="4770"/>
    <n v="4544"/>
    <n v="2814"/>
    <n v="2952"/>
    <n v="1657"/>
    <n v="1764"/>
    <n v="781"/>
    <n v="1062"/>
    <n v="406"/>
    <n v="442"/>
    <n v="20247"/>
    <n v="16885"/>
    <n v="11580"/>
    <n v="10437"/>
    <n v="8844"/>
    <n v="7318"/>
    <n v="6610"/>
    <n v="4454"/>
    <n v="4285"/>
    <n v="2306"/>
    <n v="2647"/>
    <n v="1316"/>
    <n v="1695"/>
    <n v="798"/>
    <n v="1084"/>
    <n v="413"/>
    <n v="489"/>
    <n v="41210"/>
    <n v="34091"/>
    <n v="24963"/>
    <n v="20619"/>
    <n v="15543"/>
    <n v="13167"/>
    <n v="12406"/>
    <n v="9224"/>
    <n v="8829"/>
    <n v="5120"/>
    <n v="5599"/>
    <n v="2973"/>
    <n v="3459"/>
    <n v="1579"/>
    <n v="2146"/>
    <n v="819"/>
    <n v="931"/>
  </r>
  <r>
    <s v="NGA"/>
    <x v="0"/>
    <m/>
    <x v="19"/>
    <m/>
    <s v="KIBIYA"/>
    <m/>
    <n v="109390"/>
    <n v="103757"/>
    <n v="213147"/>
    <n v="22132"/>
    <n v="18409"/>
    <n v="14261"/>
    <n v="11527"/>
    <n v="8004"/>
    <n v="6658"/>
    <n v="6423"/>
    <n v="5316"/>
    <n v="4643"/>
    <n v="3137"/>
    <n v="2954"/>
    <n v="1507"/>
    <n v="1664"/>
    <n v="735"/>
    <n v="1096"/>
    <n v="380"/>
    <n v="544"/>
    <n v="20573"/>
    <n v="16588"/>
    <n v="11939"/>
    <n v="10672"/>
    <n v="8856"/>
    <n v="7636"/>
    <n v="6533"/>
    <n v="4768"/>
    <n v="4468"/>
    <n v="2964"/>
    <n v="2844"/>
    <n v="1471"/>
    <n v="1646"/>
    <n v="735"/>
    <n v="1060"/>
    <n v="389"/>
    <n v="615"/>
    <n v="42705"/>
    <n v="34997"/>
    <n v="26200"/>
    <n v="22199"/>
    <n v="16860"/>
    <n v="14294"/>
    <n v="12956"/>
    <n v="10084"/>
    <n v="9111"/>
    <n v="6101"/>
    <n v="5798"/>
    <n v="2978"/>
    <n v="3310"/>
    <n v="1470"/>
    <n v="2156"/>
    <n v="769"/>
    <n v="1159"/>
  </r>
  <r>
    <s v="NGA"/>
    <x v="0"/>
    <m/>
    <x v="19"/>
    <m/>
    <s v="KIRU"/>
    <m/>
    <n v="209731"/>
    <n v="187418"/>
    <n v="397149"/>
    <n v="39861"/>
    <n v="34243"/>
    <n v="29441"/>
    <n v="25141"/>
    <n v="16270"/>
    <n v="12591"/>
    <n v="11701"/>
    <n v="9688"/>
    <n v="8379"/>
    <n v="5895"/>
    <n v="5483"/>
    <n v="3123"/>
    <n v="2966"/>
    <n v="1392"/>
    <n v="1875"/>
    <n v="838"/>
    <n v="844"/>
    <n v="37508"/>
    <n v="30066"/>
    <n v="22238"/>
    <n v="18734"/>
    <n v="15818"/>
    <n v="13549"/>
    <n v="11642"/>
    <n v="8843"/>
    <n v="7869"/>
    <n v="5172"/>
    <n v="5122"/>
    <n v="2584"/>
    <n v="3056"/>
    <n v="1497"/>
    <n v="2130"/>
    <n v="696"/>
    <n v="894"/>
    <n v="77369"/>
    <n v="64309"/>
    <n v="51679"/>
    <n v="43875"/>
    <n v="32088"/>
    <n v="26140"/>
    <n v="23343"/>
    <n v="18531"/>
    <n v="16248"/>
    <n v="11067"/>
    <n v="10605"/>
    <n v="5707"/>
    <n v="6022"/>
    <n v="2889"/>
    <n v="4005"/>
    <n v="1534"/>
    <n v="1738"/>
  </r>
  <r>
    <s v="NGA"/>
    <x v="0"/>
    <m/>
    <x v="19"/>
    <m/>
    <s v="KUMBOTSO"/>
    <m/>
    <n v="258147"/>
    <n v="195126"/>
    <n v="453273"/>
    <n v="44266"/>
    <n v="37609"/>
    <n v="36949"/>
    <n v="32508"/>
    <n v="22779"/>
    <n v="19191"/>
    <n v="16594"/>
    <n v="13444"/>
    <n v="10345"/>
    <n v="7212"/>
    <n v="5089"/>
    <n v="4086"/>
    <n v="3152"/>
    <n v="1814"/>
    <n v="1509"/>
    <n v="942"/>
    <n v="658"/>
    <n v="40144"/>
    <n v="29701"/>
    <n v="22871"/>
    <n v="21002"/>
    <n v="19320"/>
    <n v="15524"/>
    <n v="11584"/>
    <n v="8613"/>
    <n v="7357"/>
    <n v="4517"/>
    <n v="4336"/>
    <n v="2995"/>
    <n v="2445"/>
    <n v="1589"/>
    <n v="1697"/>
    <n v="687"/>
    <n v="744"/>
    <n v="84410"/>
    <n v="67310"/>
    <n v="59820"/>
    <n v="53510"/>
    <n v="42099"/>
    <n v="34715"/>
    <n v="28178"/>
    <n v="22057"/>
    <n v="17702"/>
    <n v="11729"/>
    <n v="9425"/>
    <n v="7081"/>
    <n v="5597"/>
    <n v="3403"/>
    <n v="3206"/>
    <n v="1629"/>
    <n v="1402"/>
  </r>
  <r>
    <s v="NGA"/>
    <x v="0"/>
    <m/>
    <x v="19"/>
    <m/>
    <s v="KUNCHI"/>
    <m/>
    <n v="80897"/>
    <n v="80607"/>
    <n v="161504"/>
    <n v="16806"/>
    <n v="13161"/>
    <n v="9943"/>
    <n v="7835"/>
    <n v="5570"/>
    <n v="4865"/>
    <n v="4876"/>
    <n v="3785"/>
    <n v="3846"/>
    <n v="2478"/>
    <n v="2682"/>
    <n v="1170"/>
    <n v="1520"/>
    <n v="631"/>
    <n v="948"/>
    <n v="355"/>
    <n v="426"/>
    <n v="15481"/>
    <n v="12311"/>
    <n v="9448"/>
    <n v="7820"/>
    <n v="6643"/>
    <n v="5699"/>
    <n v="5338"/>
    <n v="3957"/>
    <n v="3815"/>
    <n v="2319"/>
    <n v="2442"/>
    <n v="1210"/>
    <n v="1590"/>
    <n v="669"/>
    <n v="937"/>
    <n v="465"/>
    <n v="463"/>
    <n v="32287"/>
    <n v="25472"/>
    <n v="19391"/>
    <n v="15655"/>
    <n v="12213"/>
    <n v="10564"/>
    <n v="10214"/>
    <n v="7742"/>
    <n v="7661"/>
    <n v="4797"/>
    <n v="5124"/>
    <n v="2380"/>
    <n v="3110"/>
    <n v="1300"/>
    <n v="1885"/>
    <n v="820"/>
    <n v="889"/>
  </r>
  <r>
    <s v="NGA"/>
    <x v="0"/>
    <m/>
    <x v="19"/>
    <m/>
    <s v="KURA"/>
    <m/>
    <n v="114689"/>
    <n v="97847"/>
    <n v="212536"/>
    <n v="20736"/>
    <n v="17827"/>
    <n v="16593"/>
    <n v="14667"/>
    <n v="9469"/>
    <n v="7131"/>
    <n v="6473"/>
    <n v="5080"/>
    <n v="4658"/>
    <n v="3055"/>
    <n v="3102"/>
    <n v="1517"/>
    <n v="1708"/>
    <n v="731"/>
    <n v="1054"/>
    <n v="390"/>
    <n v="498"/>
    <n v="18753"/>
    <n v="15272"/>
    <n v="11790"/>
    <n v="10592"/>
    <n v="8649"/>
    <n v="7029"/>
    <n v="6114"/>
    <n v="4484"/>
    <n v="4263"/>
    <n v="2510"/>
    <n v="2685"/>
    <n v="1346"/>
    <n v="1506"/>
    <n v="784"/>
    <n v="1141"/>
    <n v="397"/>
    <n v="532"/>
    <n v="39489"/>
    <n v="33099"/>
    <n v="28383"/>
    <n v="25259"/>
    <n v="18118"/>
    <n v="14160"/>
    <n v="12587"/>
    <n v="9564"/>
    <n v="8921"/>
    <n v="5565"/>
    <n v="5787"/>
    <n v="2863"/>
    <n v="3214"/>
    <n v="1515"/>
    <n v="2195"/>
    <n v="787"/>
    <n v="1030"/>
  </r>
  <r>
    <s v="NGA"/>
    <x v="0"/>
    <m/>
    <x v="19"/>
    <m/>
    <s v="MADOBI"/>
    <m/>
    <n v="108354"/>
    <n v="100897"/>
    <n v="209251"/>
    <n v="22189"/>
    <n v="17694"/>
    <n v="14000"/>
    <n v="12053"/>
    <n v="8182"/>
    <n v="6688"/>
    <n v="6149"/>
    <n v="5100"/>
    <n v="4463"/>
    <n v="3171"/>
    <n v="2925"/>
    <n v="1520"/>
    <n v="1512"/>
    <n v="816"/>
    <n v="1005"/>
    <n v="385"/>
    <n v="502"/>
    <n v="20483"/>
    <n v="15583"/>
    <n v="11561"/>
    <n v="10289"/>
    <n v="8533"/>
    <n v="7406"/>
    <n v="6285"/>
    <n v="4701"/>
    <n v="4283"/>
    <n v="2768"/>
    <n v="2745"/>
    <n v="1670"/>
    <n v="1727"/>
    <n v="780"/>
    <n v="1138"/>
    <n v="355"/>
    <n v="590"/>
    <n v="42672"/>
    <n v="33277"/>
    <n v="25561"/>
    <n v="22342"/>
    <n v="16715"/>
    <n v="14094"/>
    <n v="12434"/>
    <n v="9801"/>
    <n v="8746"/>
    <n v="5939"/>
    <n v="5670"/>
    <n v="3190"/>
    <n v="3239"/>
    <n v="1596"/>
    <n v="2143"/>
    <n v="740"/>
    <n v="1092"/>
  </r>
  <r>
    <s v="NGA"/>
    <x v="0"/>
    <m/>
    <x v="19"/>
    <m/>
    <s v="MAKODA"/>
    <m/>
    <n v="192925"/>
    <n v="192265"/>
    <n v="385190"/>
    <n v="40209"/>
    <n v="31373"/>
    <n v="23443"/>
    <n v="18842"/>
    <n v="13485"/>
    <n v="11417"/>
    <n v="11574"/>
    <n v="9497"/>
    <n v="9158"/>
    <n v="5940"/>
    <n v="6103"/>
    <n v="2926"/>
    <n v="3722"/>
    <n v="1555"/>
    <n v="2203"/>
    <n v="712"/>
    <n v="766"/>
    <n v="37830"/>
    <n v="30044"/>
    <n v="22066"/>
    <n v="19101"/>
    <n v="16346"/>
    <n v="14096"/>
    <n v="12511"/>
    <n v="9395"/>
    <n v="8657"/>
    <n v="5091"/>
    <n v="5589"/>
    <n v="2717"/>
    <n v="3285"/>
    <n v="1592"/>
    <n v="2198"/>
    <n v="886"/>
    <n v="861"/>
    <n v="78039"/>
    <n v="61417"/>
    <n v="45509"/>
    <n v="37943"/>
    <n v="29831"/>
    <n v="25513"/>
    <n v="24085"/>
    <n v="18892"/>
    <n v="17815"/>
    <n v="11031"/>
    <n v="11692"/>
    <n v="5643"/>
    <n v="7007"/>
    <n v="3147"/>
    <n v="4401"/>
    <n v="1598"/>
    <n v="1627"/>
  </r>
  <r>
    <s v="NGA"/>
    <x v="0"/>
    <m/>
    <x v="19"/>
    <m/>
    <s v="MINJIBIR"/>
    <m/>
    <n v="148427"/>
    <n v="152314"/>
    <n v="300741"/>
    <n v="31593"/>
    <n v="24329"/>
    <n v="17114"/>
    <n v="13941"/>
    <n v="9506"/>
    <n v="8951"/>
    <n v="8825"/>
    <n v="7518"/>
    <n v="6987"/>
    <n v="4638"/>
    <n v="4658"/>
    <n v="2875"/>
    <n v="2878"/>
    <n v="1406"/>
    <n v="1882"/>
    <n v="669"/>
    <n v="657"/>
    <n v="29601"/>
    <n v="24501"/>
    <n v="16971"/>
    <n v="15531"/>
    <n v="12814"/>
    <n v="10933"/>
    <n v="9778"/>
    <n v="7243"/>
    <n v="6854"/>
    <n v="3955"/>
    <n v="4304"/>
    <n v="2323"/>
    <n v="2736"/>
    <n v="1402"/>
    <n v="1896"/>
    <n v="677"/>
    <n v="795"/>
    <n v="61194"/>
    <n v="48830"/>
    <n v="34085"/>
    <n v="29472"/>
    <n v="22320"/>
    <n v="19884"/>
    <n v="18603"/>
    <n v="14761"/>
    <n v="13841"/>
    <n v="8593"/>
    <n v="8962"/>
    <n v="5198"/>
    <n v="5614"/>
    <n v="2808"/>
    <n v="3778"/>
    <n v="1346"/>
    <n v="1452"/>
  </r>
  <r>
    <s v="NGA"/>
    <x v="0"/>
    <m/>
    <x v="19"/>
    <m/>
    <s v="NASSARAWA"/>
    <m/>
    <n v="565158"/>
    <n v="467494"/>
    <n v="1032652"/>
    <n v="96121"/>
    <n v="77751"/>
    <n v="76169"/>
    <n v="65530"/>
    <n v="50627"/>
    <n v="43578"/>
    <n v="35889"/>
    <n v="30486"/>
    <n v="24169"/>
    <n v="18639"/>
    <n v="14078"/>
    <n v="12616"/>
    <n v="7114"/>
    <n v="5568"/>
    <n v="3403"/>
    <n v="2078"/>
    <n v="1342"/>
    <n v="90480"/>
    <n v="72114"/>
    <n v="62452"/>
    <n v="48217"/>
    <n v="41026"/>
    <n v="35580"/>
    <n v="28051"/>
    <n v="22510"/>
    <n v="19499"/>
    <n v="12169"/>
    <n v="10890"/>
    <n v="7367"/>
    <n v="5979"/>
    <n v="3695"/>
    <n v="3676"/>
    <n v="1790"/>
    <n v="1999"/>
    <n v="186601"/>
    <n v="149865"/>
    <n v="138621"/>
    <n v="113747"/>
    <n v="91653"/>
    <n v="79158"/>
    <n v="63940"/>
    <n v="52996"/>
    <n v="43668"/>
    <n v="30808"/>
    <n v="24968"/>
    <n v="19983"/>
    <n v="13093"/>
    <n v="9263"/>
    <n v="7079"/>
    <n v="3868"/>
    <n v="3341"/>
  </r>
  <r>
    <s v="NGA"/>
    <x v="0"/>
    <m/>
    <x v="19"/>
    <m/>
    <s v="RANO"/>
    <m/>
    <n v="117271"/>
    <n v="110725"/>
    <n v="227996"/>
    <n v="23803"/>
    <n v="19607"/>
    <n v="14855"/>
    <n v="12378"/>
    <n v="8753"/>
    <n v="7248"/>
    <n v="6817"/>
    <n v="5687"/>
    <n v="5100"/>
    <n v="3338"/>
    <n v="3273"/>
    <n v="1664"/>
    <n v="1954"/>
    <n v="820"/>
    <n v="1112"/>
    <n v="392"/>
    <n v="470"/>
    <n v="22758"/>
    <n v="18114"/>
    <n v="12579"/>
    <n v="10723"/>
    <n v="9575"/>
    <n v="7966"/>
    <n v="7125"/>
    <n v="4973"/>
    <n v="4723"/>
    <n v="2921"/>
    <n v="3047"/>
    <n v="1408"/>
    <n v="1985"/>
    <n v="766"/>
    <n v="1196"/>
    <n v="386"/>
    <n v="480"/>
    <n v="46561"/>
    <n v="37721"/>
    <n v="27434"/>
    <n v="23101"/>
    <n v="18328"/>
    <n v="15214"/>
    <n v="13942"/>
    <n v="10660"/>
    <n v="9823"/>
    <n v="6259"/>
    <n v="6320"/>
    <n v="3072"/>
    <n v="3939"/>
    <n v="1586"/>
    <n v="2308"/>
    <n v="778"/>
    <n v="950"/>
  </r>
  <r>
    <s v="NGA"/>
    <x v="0"/>
    <m/>
    <x v="19"/>
    <m/>
    <s v="RIMIN GADO"/>
    <m/>
    <n v="79279"/>
    <n v="74289"/>
    <n v="153568"/>
    <n v="15190"/>
    <n v="13434"/>
    <n v="11236"/>
    <n v="8424"/>
    <n v="5658"/>
    <n v="4960"/>
    <n v="4476"/>
    <n v="3635"/>
    <n v="3439"/>
    <n v="2180"/>
    <n v="2323"/>
    <n v="1024"/>
    <n v="1330"/>
    <n v="573"/>
    <n v="764"/>
    <n v="298"/>
    <n v="335"/>
    <n v="14275"/>
    <n v="12133"/>
    <n v="8838"/>
    <n v="7649"/>
    <n v="6453"/>
    <n v="5227"/>
    <n v="4686"/>
    <n v="3371"/>
    <n v="3258"/>
    <n v="1876"/>
    <n v="2020"/>
    <n v="1185"/>
    <n v="1271"/>
    <n v="581"/>
    <n v="830"/>
    <n v="248"/>
    <n v="388"/>
    <n v="29465"/>
    <n v="25567"/>
    <n v="20074"/>
    <n v="16073"/>
    <n v="12111"/>
    <n v="10187"/>
    <n v="9162"/>
    <n v="7006"/>
    <n v="6697"/>
    <n v="4056"/>
    <n v="4343"/>
    <n v="2209"/>
    <n v="2601"/>
    <n v="1154"/>
    <n v="1594"/>
    <n v="546"/>
    <n v="723"/>
  </r>
  <r>
    <s v="NGA"/>
    <x v="0"/>
    <m/>
    <x v="19"/>
    <m/>
    <s v="ROGO"/>
    <m/>
    <n v="159830"/>
    <n v="160428"/>
    <n v="320258"/>
    <n v="33890"/>
    <n v="27267"/>
    <n v="19692"/>
    <n v="15207"/>
    <n v="10138"/>
    <n v="9824"/>
    <n v="10289"/>
    <n v="7858"/>
    <n v="7353"/>
    <n v="4017"/>
    <n v="4764"/>
    <n v="2434"/>
    <n v="2855"/>
    <n v="1193"/>
    <n v="1732"/>
    <n v="586"/>
    <n v="731"/>
    <n v="32474"/>
    <n v="27590"/>
    <n v="17457"/>
    <n v="16671"/>
    <n v="15323"/>
    <n v="11735"/>
    <n v="10243"/>
    <n v="6529"/>
    <n v="6457"/>
    <n v="3219"/>
    <n v="4100"/>
    <n v="1910"/>
    <n v="2596"/>
    <n v="1121"/>
    <n v="1730"/>
    <n v="552"/>
    <n v="721"/>
    <n v="66364"/>
    <n v="54857"/>
    <n v="37149"/>
    <n v="31878"/>
    <n v="25461"/>
    <n v="21559"/>
    <n v="20532"/>
    <n v="14387"/>
    <n v="13810"/>
    <n v="7236"/>
    <n v="8864"/>
    <n v="4344"/>
    <n v="5451"/>
    <n v="2314"/>
    <n v="3462"/>
    <n v="1138"/>
    <n v="1452"/>
  </r>
  <r>
    <s v="NGA"/>
    <x v="0"/>
    <m/>
    <x v="19"/>
    <m/>
    <s v="SHANONO"/>
    <m/>
    <n v="97951"/>
    <n v="100801"/>
    <n v="198752"/>
    <n v="21456"/>
    <n v="16246"/>
    <n v="11659"/>
    <n v="9341"/>
    <n v="6396"/>
    <n v="5958"/>
    <n v="6027"/>
    <n v="4884"/>
    <n v="4406"/>
    <n v="2920"/>
    <n v="2852"/>
    <n v="1531"/>
    <n v="1628"/>
    <n v="748"/>
    <n v="1059"/>
    <n v="377"/>
    <n v="463"/>
    <n v="20187"/>
    <n v="15716"/>
    <n v="12151"/>
    <n v="10819"/>
    <n v="8665"/>
    <n v="7434"/>
    <n v="6295"/>
    <n v="4470"/>
    <n v="4211"/>
    <n v="2507"/>
    <n v="2697"/>
    <n v="1355"/>
    <n v="1610"/>
    <n v="794"/>
    <n v="1023"/>
    <n v="444"/>
    <n v="423"/>
    <n v="41643"/>
    <n v="31962"/>
    <n v="23810"/>
    <n v="20160"/>
    <n v="15061"/>
    <n v="13392"/>
    <n v="12322"/>
    <n v="9354"/>
    <n v="8617"/>
    <n v="5427"/>
    <n v="5549"/>
    <n v="2886"/>
    <n v="3238"/>
    <n v="1542"/>
    <n v="2082"/>
    <n v="821"/>
    <n v="886"/>
  </r>
  <r>
    <s v="NGA"/>
    <x v="0"/>
    <m/>
    <x v="19"/>
    <m/>
    <s v="SUMAILA"/>
    <m/>
    <n v="166715"/>
    <n v="165935"/>
    <n v="332650"/>
    <n v="33630"/>
    <n v="27255"/>
    <n v="19696"/>
    <n v="16312"/>
    <n v="11563"/>
    <n v="10286"/>
    <n v="10779"/>
    <n v="8277"/>
    <n v="8184"/>
    <n v="4829"/>
    <n v="5460"/>
    <n v="2420"/>
    <n v="3097"/>
    <n v="1282"/>
    <n v="2048"/>
    <n v="751"/>
    <n v="846"/>
    <n v="31814"/>
    <n v="27049"/>
    <n v="18389"/>
    <n v="17042"/>
    <n v="15094"/>
    <n v="12151"/>
    <n v="11294"/>
    <n v="7590"/>
    <n v="7539"/>
    <n v="4238"/>
    <n v="4637"/>
    <n v="2100"/>
    <n v="2692"/>
    <n v="1139"/>
    <n v="1651"/>
    <n v="709"/>
    <n v="807"/>
    <n v="65444"/>
    <n v="54304"/>
    <n v="38085"/>
    <n v="33354"/>
    <n v="26657"/>
    <n v="22437"/>
    <n v="22073"/>
    <n v="15867"/>
    <n v="15723"/>
    <n v="9067"/>
    <n v="10097"/>
    <n v="4520"/>
    <n v="5789"/>
    <n v="2421"/>
    <n v="3699"/>
    <n v="1460"/>
    <n v="1653"/>
  </r>
  <r>
    <s v="NGA"/>
    <x v="0"/>
    <m/>
    <x v="19"/>
    <m/>
    <s v="TAKAI"/>
    <m/>
    <n v="136560"/>
    <n v="138689"/>
    <n v="275249"/>
    <n v="27025"/>
    <n v="22408"/>
    <n v="16075"/>
    <n v="13293"/>
    <n v="9122"/>
    <n v="8601"/>
    <n v="9075"/>
    <n v="6772"/>
    <n v="6879"/>
    <n v="3787"/>
    <n v="4454"/>
    <n v="2189"/>
    <n v="2730"/>
    <n v="1186"/>
    <n v="1730"/>
    <n v="537"/>
    <n v="697"/>
    <n v="25481"/>
    <n v="22371"/>
    <n v="15638"/>
    <n v="13814"/>
    <n v="12949"/>
    <n v="10510"/>
    <n v="9535"/>
    <n v="6160"/>
    <n v="6437"/>
    <n v="3450"/>
    <n v="3909"/>
    <n v="1944"/>
    <n v="2420"/>
    <n v="1128"/>
    <n v="1564"/>
    <n v="614"/>
    <n v="765"/>
    <n v="52506"/>
    <n v="44779"/>
    <n v="31713"/>
    <n v="27107"/>
    <n v="22071"/>
    <n v="19111"/>
    <n v="18610"/>
    <n v="12932"/>
    <n v="13316"/>
    <n v="7237"/>
    <n v="8363"/>
    <n v="4133"/>
    <n v="5150"/>
    <n v="2314"/>
    <n v="3294"/>
    <n v="1151"/>
    <n v="1462"/>
  </r>
  <r>
    <s v="NGA"/>
    <x v="0"/>
    <m/>
    <x v="19"/>
    <m/>
    <s v="TARAUNI"/>
    <m/>
    <n v="213031"/>
    <n v="171137"/>
    <n v="384168"/>
    <n v="33618"/>
    <n v="27588"/>
    <n v="31167"/>
    <n v="27246"/>
    <n v="20804"/>
    <n v="16788"/>
    <n v="13090"/>
    <n v="11359"/>
    <n v="8641"/>
    <n v="6815"/>
    <n v="4658"/>
    <n v="4691"/>
    <n v="2515"/>
    <n v="1910"/>
    <n v="1065"/>
    <n v="633"/>
    <n v="443"/>
    <n v="32430"/>
    <n v="25630"/>
    <n v="23625"/>
    <n v="18543"/>
    <n v="14804"/>
    <n v="12647"/>
    <n v="9884"/>
    <n v="8416"/>
    <n v="6875"/>
    <n v="4828"/>
    <n v="3844"/>
    <n v="2992"/>
    <n v="2224"/>
    <n v="1473"/>
    <n v="1492"/>
    <n v="718"/>
    <n v="712"/>
    <n v="66048"/>
    <n v="53218"/>
    <n v="54792"/>
    <n v="45789"/>
    <n v="35608"/>
    <n v="29435"/>
    <n v="22974"/>
    <n v="19775"/>
    <n v="15516"/>
    <n v="11643"/>
    <n v="8502"/>
    <n v="7683"/>
    <n v="4739"/>
    <n v="3383"/>
    <n v="2557"/>
    <n v="1351"/>
    <n v="1155"/>
  </r>
  <r>
    <s v="NGA"/>
    <x v="0"/>
    <m/>
    <x v="19"/>
    <m/>
    <s v="TOFA"/>
    <m/>
    <n v="66288"/>
    <n v="64480"/>
    <n v="130768"/>
    <n v="13451"/>
    <n v="11023"/>
    <n v="8567"/>
    <n v="6744"/>
    <n v="4630"/>
    <n v="4093"/>
    <n v="3929"/>
    <n v="3230"/>
    <n v="2789"/>
    <n v="1860"/>
    <n v="1871"/>
    <n v="1109"/>
    <n v="1138"/>
    <n v="596"/>
    <n v="674"/>
    <n v="299"/>
    <n v="285"/>
    <n v="12702"/>
    <n v="10390"/>
    <n v="7707"/>
    <n v="6298"/>
    <n v="5477"/>
    <n v="4491"/>
    <n v="4059"/>
    <n v="2830"/>
    <n v="2853"/>
    <n v="1624"/>
    <n v="1956"/>
    <n v="924"/>
    <n v="1124"/>
    <n v="536"/>
    <n v="779"/>
    <n v="377"/>
    <n v="353"/>
    <n v="26153"/>
    <n v="21413"/>
    <n v="16274"/>
    <n v="13042"/>
    <n v="10107"/>
    <n v="8584"/>
    <n v="7988"/>
    <n v="6060"/>
    <n v="5642"/>
    <n v="3484"/>
    <n v="3827"/>
    <n v="2033"/>
    <n v="2262"/>
    <n v="1132"/>
    <n v="1453"/>
    <n v="676"/>
    <n v="638"/>
  </r>
  <r>
    <s v="NGA"/>
    <x v="0"/>
    <m/>
    <x v="19"/>
    <m/>
    <s v="TSANYAWA"/>
    <m/>
    <n v="118478"/>
    <n v="112753"/>
    <n v="231231"/>
    <n v="24709"/>
    <n v="19300"/>
    <n v="15566"/>
    <n v="12550"/>
    <n v="8805"/>
    <n v="7423"/>
    <n v="6620"/>
    <n v="5735"/>
    <n v="4946"/>
    <n v="3558"/>
    <n v="3223"/>
    <n v="1576"/>
    <n v="1701"/>
    <n v="701"/>
    <n v="1140"/>
    <n v="452"/>
    <n v="473"/>
    <n v="23082"/>
    <n v="17502"/>
    <n v="13494"/>
    <n v="11372"/>
    <n v="9368"/>
    <n v="8211"/>
    <n v="6885"/>
    <n v="5423"/>
    <n v="4640"/>
    <n v="3186"/>
    <n v="3085"/>
    <n v="1656"/>
    <n v="1817"/>
    <n v="821"/>
    <n v="1150"/>
    <n v="552"/>
    <n v="509"/>
    <n v="47791"/>
    <n v="36802"/>
    <n v="29060"/>
    <n v="23922"/>
    <n v="18173"/>
    <n v="15634"/>
    <n v="13505"/>
    <n v="11158"/>
    <n v="9586"/>
    <n v="6744"/>
    <n v="6308"/>
    <n v="3232"/>
    <n v="3518"/>
    <n v="1522"/>
    <n v="2290"/>
    <n v="1004"/>
    <n v="982"/>
  </r>
  <r>
    <s v="NGA"/>
    <x v="0"/>
    <m/>
    <x v="19"/>
    <m/>
    <s v="TUDUN WADA"/>
    <m/>
    <n v="160992"/>
    <n v="161464"/>
    <n v="322456"/>
    <n v="33277"/>
    <n v="27652"/>
    <n v="18871"/>
    <n v="15035"/>
    <n v="10484"/>
    <n v="9934"/>
    <n v="10474"/>
    <n v="8118"/>
    <n v="7806"/>
    <n v="4431"/>
    <n v="4983"/>
    <n v="2416"/>
    <n v="2966"/>
    <n v="1298"/>
    <n v="1864"/>
    <n v="631"/>
    <n v="752"/>
    <n v="31362"/>
    <n v="27196"/>
    <n v="17693"/>
    <n v="17234"/>
    <n v="14939"/>
    <n v="11837"/>
    <n v="10519"/>
    <n v="6843"/>
    <n v="7171"/>
    <n v="3735"/>
    <n v="4249"/>
    <n v="2104"/>
    <n v="2473"/>
    <n v="1085"/>
    <n v="1625"/>
    <n v="640"/>
    <n v="759"/>
    <n v="64639"/>
    <n v="54848"/>
    <n v="36564"/>
    <n v="32269"/>
    <n v="25423"/>
    <n v="21771"/>
    <n v="20993"/>
    <n v="14961"/>
    <n v="14977"/>
    <n v="8166"/>
    <n v="9232"/>
    <n v="4520"/>
    <n v="5439"/>
    <n v="2383"/>
    <n v="3489"/>
    <n v="1271"/>
    <n v="1511"/>
  </r>
  <r>
    <s v="NGA"/>
    <x v="0"/>
    <m/>
    <x v="19"/>
    <m/>
    <s v="UNGOGO"/>
    <m/>
    <n v="366237"/>
    <n v="325243"/>
    <n v="691480"/>
    <n v="70503"/>
    <n v="55667"/>
    <n v="48401"/>
    <n v="39502"/>
    <n v="29240"/>
    <n v="25396"/>
    <n v="21258"/>
    <n v="18240"/>
    <n v="15789"/>
    <n v="10935"/>
    <n v="9531"/>
    <n v="7395"/>
    <n v="5627"/>
    <n v="3373"/>
    <n v="2881"/>
    <n v="1379"/>
    <n v="1120"/>
    <n v="67915"/>
    <n v="52021"/>
    <n v="39383"/>
    <n v="32544"/>
    <n v="29624"/>
    <n v="24124"/>
    <n v="19613"/>
    <n v="14459"/>
    <n v="13097"/>
    <n v="7546"/>
    <n v="7429"/>
    <n v="4679"/>
    <n v="4499"/>
    <n v="2530"/>
    <n v="3096"/>
    <n v="1298"/>
    <n v="1386"/>
    <n v="138418"/>
    <n v="107688"/>
    <n v="87784"/>
    <n v="72046"/>
    <n v="58864"/>
    <n v="49520"/>
    <n v="40871"/>
    <n v="32699"/>
    <n v="28886"/>
    <n v="18481"/>
    <n v="16960"/>
    <n v="12074"/>
    <n v="10126"/>
    <n v="5903"/>
    <n v="5977"/>
    <n v="2677"/>
    <n v="2506"/>
  </r>
  <r>
    <s v="NGA"/>
    <x v="0"/>
    <m/>
    <x v="19"/>
    <m/>
    <s v="WARAWA"/>
    <m/>
    <n v="94252"/>
    <n v="91262"/>
    <n v="185514"/>
    <n v="17619"/>
    <n v="16363"/>
    <n v="11621"/>
    <n v="9499"/>
    <n v="5862"/>
    <n v="5836"/>
    <n v="5806"/>
    <n v="4470"/>
    <n v="4565"/>
    <n v="2675"/>
    <n v="3259"/>
    <n v="1720"/>
    <n v="2036"/>
    <n v="878"/>
    <n v="1178"/>
    <n v="437"/>
    <n v="428"/>
    <n v="17176"/>
    <n v="14881"/>
    <n v="10213"/>
    <n v="8585"/>
    <n v="8180"/>
    <n v="6783"/>
    <n v="6458"/>
    <n v="4108"/>
    <n v="4488"/>
    <n v="2043"/>
    <n v="2641"/>
    <n v="1226"/>
    <n v="1728"/>
    <n v="804"/>
    <n v="1145"/>
    <n v="346"/>
    <n v="457"/>
    <n v="34795"/>
    <n v="31244"/>
    <n v="21834"/>
    <n v="18084"/>
    <n v="14042"/>
    <n v="12619"/>
    <n v="12264"/>
    <n v="8578"/>
    <n v="9053"/>
    <n v="4718"/>
    <n v="5900"/>
    <n v="2946"/>
    <n v="3764"/>
    <n v="1682"/>
    <n v="2323"/>
    <n v="783"/>
    <n v="885"/>
  </r>
  <r>
    <s v="NGA"/>
    <x v="0"/>
    <m/>
    <x v="19"/>
    <m/>
    <s v="WUDIL"/>
    <m/>
    <n v="131971"/>
    <n v="114953"/>
    <n v="246924"/>
    <n v="22846"/>
    <n v="19462"/>
    <n v="17820"/>
    <n v="16255"/>
    <n v="11478"/>
    <n v="9089"/>
    <n v="7976"/>
    <n v="6362"/>
    <n v="5642"/>
    <n v="3614"/>
    <n v="3623"/>
    <n v="2069"/>
    <n v="2169"/>
    <n v="1248"/>
    <n v="1336"/>
    <n v="509"/>
    <n v="473"/>
    <n v="21763"/>
    <n v="17878"/>
    <n v="13920"/>
    <n v="11261"/>
    <n v="9837"/>
    <n v="8368"/>
    <n v="7532"/>
    <n v="5506"/>
    <n v="5195"/>
    <n v="3032"/>
    <n v="3340"/>
    <n v="1733"/>
    <n v="2112"/>
    <n v="965"/>
    <n v="1397"/>
    <n v="518"/>
    <n v="596"/>
    <n v="44609"/>
    <n v="37340"/>
    <n v="31740"/>
    <n v="27516"/>
    <n v="21315"/>
    <n v="17457"/>
    <n v="15508"/>
    <n v="11868"/>
    <n v="10837"/>
    <n v="6646"/>
    <n v="6963"/>
    <n v="3802"/>
    <n v="4281"/>
    <n v="2213"/>
    <n v="2733"/>
    <n v="1027"/>
    <n v="1069"/>
  </r>
  <r>
    <s v="NGA"/>
    <x v="0"/>
    <m/>
    <x v="20"/>
    <m/>
    <s v="BAKORI"/>
    <m/>
    <n v="71480"/>
    <n v="75187"/>
    <n v="146667"/>
    <n v="15285"/>
    <n v="11885"/>
    <n v="8388"/>
    <n v="6379"/>
    <n v="4712"/>
    <n v="4777"/>
    <n v="4786"/>
    <n v="3643"/>
    <n v="3175"/>
    <n v="2009"/>
    <n v="2040"/>
    <n v="1260"/>
    <n v="1184"/>
    <n v="620"/>
    <n v="710"/>
    <n v="332"/>
    <n v="295"/>
    <n v="14702"/>
    <n v="11943"/>
    <n v="9582"/>
    <n v="8898"/>
    <n v="6740"/>
    <n v="5230"/>
    <n v="4299"/>
    <n v="3080"/>
    <n v="2935"/>
    <n v="1826"/>
    <n v="1844"/>
    <n v="1032"/>
    <n v="1194"/>
    <n v="632"/>
    <n v="678"/>
    <n v="252"/>
    <n v="320"/>
    <n v="29987"/>
    <n v="23828"/>
    <n v="17970"/>
    <n v="15277"/>
    <n v="11452"/>
    <n v="10007"/>
    <n v="9085"/>
    <n v="6723"/>
    <n v="6110"/>
    <n v="3835"/>
    <n v="3884"/>
    <n v="2292"/>
    <n v="2378"/>
    <n v="1252"/>
    <n v="1388"/>
    <n v="584"/>
    <n v="615"/>
  </r>
  <r>
    <s v="NGA"/>
    <x v="0"/>
    <m/>
    <x v="20"/>
    <m/>
    <s v="BATAGARAWA"/>
    <m/>
    <n v="188227"/>
    <n v="178375"/>
    <n v="366602"/>
    <n v="38595"/>
    <n v="29714"/>
    <n v="23145"/>
    <n v="18805"/>
    <n v="15550"/>
    <n v="12989"/>
    <n v="11532"/>
    <n v="9108"/>
    <n v="7973"/>
    <n v="5836"/>
    <n v="4940"/>
    <n v="2777"/>
    <n v="2908"/>
    <n v="1645"/>
    <n v="1392"/>
    <n v="737"/>
    <n v="581"/>
    <n v="35479"/>
    <n v="27237"/>
    <n v="21174"/>
    <n v="18927"/>
    <n v="16523"/>
    <n v="13284"/>
    <n v="11007"/>
    <n v="8263"/>
    <n v="7367"/>
    <n v="4877"/>
    <n v="4353"/>
    <n v="2726"/>
    <n v="2354"/>
    <n v="1780"/>
    <n v="1476"/>
    <n v="995"/>
    <n v="553"/>
    <n v="74074"/>
    <n v="56951"/>
    <n v="44319"/>
    <n v="37732"/>
    <n v="32073"/>
    <n v="26273"/>
    <n v="22539"/>
    <n v="17371"/>
    <n v="15340"/>
    <n v="10713"/>
    <n v="9293"/>
    <n v="5503"/>
    <n v="5262"/>
    <n v="3425"/>
    <n v="2868"/>
    <n v="1732"/>
    <n v="1134"/>
  </r>
  <r>
    <s v="NGA"/>
    <x v="0"/>
    <m/>
    <x v="20"/>
    <m/>
    <s v="BATSARI"/>
    <m/>
    <n v="131923"/>
    <n v="130332"/>
    <n v="262255"/>
    <n v="28219"/>
    <n v="21876"/>
    <n v="16083"/>
    <n v="12688"/>
    <n v="9283"/>
    <n v="8295"/>
    <n v="7850"/>
    <n v="6674"/>
    <n v="5803"/>
    <n v="3982"/>
    <n v="3671"/>
    <n v="2055"/>
    <n v="2138"/>
    <n v="1068"/>
    <n v="1214"/>
    <n v="584"/>
    <n v="440"/>
    <n v="26681"/>
    <n v="20596"/>
    <n v="15471"/>
    <n v="13300"/>
    <n v="10961"/>
    <n v="9467"/>
    <n v="8011"/>
    <n v="6079"/>
    <n v="5386"/>
    <n v="3612"/>
    <n v="3390"/>
    <n v="1907"/>
    <n v="2050"/>
    <n v="999"/>
    <n v="1382"/>
    <n v="573"/>
    <n v="467"/>
    <n v="54900"/>
    <n v="42472"/>
    <n v="31554"/>
    <n v="25988"/>
    <n v="20244"/>
    <n v="17762"/>
    <n v="15861"/>
    <n v="12753"/>
    <n v="11189"/>
    <n v="7594"/>
    <n v="7061"/>
    <n v="3962"/>
    <n v="4188"/>
    <n v="2067"/>
    <n v="2596"/>
    <n v="1157"/>
    <n v="907"/>
  </r>
  <r>
    <s v="NGA"/>
    <x v="0"/>
    <m/>
    <x v="20"/>
    <m/>
    <s v="BAURE"/>
    <m/>
    <n v="153080"/>
    <n v="150800"/>
    <n v="303880"/>
    <n v="32021"/>
    <n v="24210"/>
    <n v="19213"/>
    <n v="15663"/>
    <n v="11648"/>
    <n v="9896"/>
    <n v="9010"/>
    <n v="7693"/>
    <n v="6406"/>
    <n v="4836"/>
    <n v="4208"/>
    <n v="2320"/>
    <n v="2246"/>
    <n v="953"/>
    <n v="1384"/>
    <n v="770"/>
    <n v="603"/>
    <n v="30666"/>
    <n v="22675"/>
    <n v="17938"/>
    <n v="15436"/>
    <n v="12681"/>
    <n v="10918"/>
    <n v="9187"/>
    <n v="7251"/>
    <n v="6208"/>
    <n v="4493"/>
    <n v="3926"/>
    <n v="2627"/>
    <n v="2518"/>
    <n v="1295"/>
    <n v="1449"/>
    <n v="952"/>
    <n v="580"/>
    <n v="62687"/>
    <n v="46885"/>
    <n v="37151"/>
    <n v="31099"/>
    <n v="24329"/>
    <n v="20814"/>
    <n v="18197"/>
    <n v="14944"/>
    <n v="12614"/>
    <n v="9329"/>
    <n v="8134"/>
    <n v="4947"/>
    <n v="4764"/>
    <n v="2248"/>
    <n v="2833"/>
    <n v="1722"/>
    <n v="1183"/>
  </r>
  <r>
    <s v="NGA"/>
    <x v="0"/>
    <m/>
    <x v="20"/>
    <m/>
    <s v="BINDAWA"/>
    <m/>
    <n v="84184"/>
    <n v="80627"/>
    <n v="164811"/>
    <n v="17392"/>
    <n v="13468"/>
    <n v="10591"/>
    <n v="8727"/>
    <n v="6146"/>
    <n v="5244"/>
    <n v="5011"/>
    <n v="4254"/>
    <n v="3623"/>
    <n v="2585"/>
    <n v="2473"/>
    <n v="1181"/>
    <n v="1268"/>
    <n v="775"/>
    <n v="871"/>
    <n v="312"/>
    <n v="263"/>
    <n v="16166"/>
    <n v="12353"/>
    <n v="9434"/>
    <n v="8222"/>
    <n v="7011"/>
    <n v="5872"/>
    <n v="5010"/>
    <n v="3888"/>
    <n v="3395"/>
    <n v="2320"/>
    <n v="2127"/>
    <n v="1271"/>
    <n v="1427"/>
    <n v="776"/>
    <n v="719"/>
    <n v="354"/>
    <n v="282"/>
    <n v="33558"/>
    <n v="25821"/>
    <n v="20025"/>
    <n v="16949"/>
    <n v="13157"/>
    <n v="11116"/>
    <n v="10021"/>
    <n v="8142"/>
    <n v="7018"/>
    <n v="4905"/>
    <n v="4600"/>
    <n v="2452"/>
    <n v="2695"/>
    <n v="1551"/>
    <n v="1590"/>
    <n v="666"/>
    <n v="545"/>
  </r>
  <r>
    <s v="NGA"/>
    <x v="0"/>
    <m/>
    <x v="20"/>
    <m/>
    <s v="CHARANCHI"/>
    <m/>
    <n v="92374"/>
    <n v="87847"/>
    <n v="180221"/>
    <n v="19570"/>
    <n v="14915"/>
    <n v="11550"/>
    <n v="9234"/>
    <n v="6605"/>
    <n v="5743"/>
    <n v="5457"/>
    <n v="4594"/>
    <n v="4129"/>
    <n v="2840"/>
    <n v="2610"/>
    <n v="1374"/>
    <n v="1484"/>
    <n v="721"/>
    <n v="790"/>
    <n v="464"/>
    <n v="294"/>
    <n v="17790"/>
    <n v="13712"/>
    <n v="10361"/>
    <n v="8784"/>
    <n v="7472"/>
    <n v="6382"/>
    <n v="5614"/>
    <n v="4169"/>
    <n v="3675"/>
    <n v="2435"/>
    <n v="2256"/>
    <n v="1309"/>
    <n v="1426"/>
    <n v="918"/>
    <n v="900"/>
    <n v="360"/>
    <n v="284"/>
    <n v="37360"/>
    <n v="28627"/>
    <n v="21911"/>
    <n v="18018"/>
    <n v="14077"/>
    <n v="12125"/>
    <n v="11071"/>
    <n v="8763"/>
    <n v="7804"/>
    <n v="5275"/>
    <n v="4866"/>
    <n v="2683"/>
    <n v="2910"/>
    <n v="1639"/>
    <n v="1690"/>
    <n v="824"/>
    <n v="578"/>
  </r>
  <r>
    <s v="NGA"/>
    <x v="0"/>
    <m/>
    <x v="20"/>
    <m/>
    <s v="DAN MUSA"/>
    <m/>
    <n v="75802"/>
    <n v="71707"/>
    <n v="147509"/>
    <n v="15335"/>
    <n v="12490"/>
    <n v="9525"/>
    <n v="7814"/>
    <n v="5735"/>
    <n v="4924"/>
    <n v="4460"/>
    <n v="3820"/>
    <n v="3148"/>
    <n v="2377"/>
    <n v="2097"/>
    <n v="1097"/>
    <n v="1242"/>
    <n v="600"/>
    <n v="583"/>
    <n v="278"/>
    <n v="277"/>
    <n v="14486"/>
    <n v="10966"/>
    <n v="8673"/>
    <n v="7402"/>
    <n v="6098"/>
    <n v="5241"/>
    <n v="4375"/>
    <n v="3464"/>
    <n v="3016"/>
    <n v="2030"/>
    <n v="1933"/>
    <n v="1116"/>
    <n v="1154"/>
    <n v="615"/>
    <n v="593"/>
    <n v="295"/>
    <n v="250"/>
    <n v="29821"/>
    <n v="23456"/>
    <n v="18198"/>
    <n v="15216"/>
    <n v="11833"/>
    <n v="10165"/>
    <n v="8835"/>
    <n v="7284"/>
    <n v="6164"/>
    <n v="4407"/>
    <n v="4030"/>
    <n v="2213"/>
    <n v="2396"/>
    <n v="1215"/>
    <n v="1176"/>
    <n v="573"/>
    <n v="527"/>
  </r>
  <r>
    <s v="NGA"/>
    <x v="0"/>
    <m/>
    <x v="20"/>
    <m/>
    <s v="DANDUME"/>
    <m/>
    <n v="95531"/>
    <n v="90833"/>
    <n v="186364"/>
    <n v="19728"/>
    <n v="15903"/>
    <n v="12319"/>
    <n v="10027"/>
    <n v="7255"/>
    <n v="6205"/>
    <n v="5792"/>
    <n v="4474"/>
    <n v="3994"/>
    <n v="2625"/>
    <n v="2501"/>
    <n v="1287"/>
    <n v="1290"/>
    <n v="617"/>
    <n v="825"/>
    <n v="328"/>
    <n v="361"/>
    <n v="18445"/>
    <n v="14277"/>
    <n v="10539"/>
    <n v="10301"/>
    <n v="8237"/>
    <n v="6622"/>
    <n v="5628"/>
    <n v="4037"/>
    <n v="3614"/>
    <n v="2224"/>
    <n v="2239"/>
    <n v="1115"/>
    <n v="1275"/>
    <n v="736"/>
    <n v="757"/>
    <n v="483"/>
    <n v="304"/>
    <n v="38173"/>
    <n v="30180"/>
    <n v="22858"/>
    <n v="20328"/>
    <n v="15492"/>
    <n v="12827"/>
    <n v="11420"/>
    <n v="8511"/>
    <n v="7608"/>
    <n v="4849"/>
    <n v="4740"/>
    <n v="2402"/>
    <n v="2565"/>
    <n v="1353"/>
    <n v="1582"/>
    <n v="811"/>
    <n v="665"/>
  </r>
  <r>
    <s v="NGA"/>
    <x v="0"/>
    <m/>
    <x v="20"/>
    <m/>
    <s v="DANJA"/>
    <m/>
    <n v="70960"/>
    <n v="68385"/>
    <n v="139345"/>
    <n v="15074"/>
    <n v="11488"/>
    <n v="8952"/>
    <n v="6983"/>
    <n v="5204"/>
    <n v="4581"/>
    <n v="4256"/>
    <n v="3549"/>
    <n v="3019"/>
    <n v="2052"/>
    <n v="1953"/>
    <n v="1032"/>
    <n v="1089"/>
    <n v="593"/>
    <n v="608"/>
    <n v="258"/>
    <n v="269"/>
    <n v="14169"/>
    <n v="10775"/>
    <n v="7880"/>
    <n v="6939"/>
    <n v="6073"/>
    <n v="5089"/>
    <n v="4202"/>
    <n v="3196"/>
    <n v="2709"/>
    <n v="1795"/>
    <n v="1809"/>
    <n v="917"/>
    <n v="1008"/>
    <n v="614"/>
    <n v="630"/>
    <n v="314"/>
    <n v="266"/>
    <n v="29243"/>
    <n v="22263"/>
    <n v="16832"/>
    <n v="13922"/>
    <n v="11277"/>
    <n v="9670"/>
    <n v="8458"/>
    <n v="6745"/>
    <n v="5728"/>
    <n v="3847"/>
    <n v="3762"/>
    <n v="1949"/>
    <n v="2097"/>
    <n v="1207"/>
    <n v="1238"/>
    <n v="572"/>
    <n v="535"/>
  </r>
  <r>
    <s v="NGA"/>
    <x v="0"/>
    <m/>
    <x v="20"/>
    <m/>
    <s v="DAURA"/>
    <m/>
    <n v="232812"/>
    <n v="218596"/>
    <n v="451408"/>
    <n v="46550"/>
    <n v="35297"/>
    <n v="30332"/>
    <n v="26079"/>
    <n v="18547"/>
    <n v="15554"/>
    <n v="13852"/>
    <n v="11587"/>
    <n v="9640"/>
    <n v="7331"/>
    <n v="6081"/>
    <n v="3364"/>
    <n v="3381"/>
    <n v="1797"/>
    <n v="1931"/>
    <n v="801"/>
    <n v="688"/>
    <n v="43970"/>
    <n v="33067"/>
    <n v="26993"/>
    <n v="23037"/>
    <n v="18558"/>
    <n v="16119"/>
    <n v="13260"/>
    <n v="10528"/>
    <n v="8815"/>
    <n v="6412"/>
    <n v="5497"/>
    <n v="3830"/>
    <n v="3131"/>
    <n v="1806"/>
    <n v="1912"/>
    <n v="913"/>
    <n v="748"/>
    <n v="90520"/>
    <n v="68364"/>
    <n v="57325"/>
    <n v="49116"/>
    <n v="37105"/>
    <n v="31673"/>
    <n v="27112"/>
    <n v="22115"/>
    <n v="18455"/>
    <n v="13743"/>
    <n v="11578"/>
    <n v="7194"/>
    <n v="6512"/>
    <n v="3603"/>
    <n v="3843"/>
    <n v="1714"/>
    <n v="1436"/>
  </r>
  <r>
    <s v="NGA"/>
    <x v="0"/>
    <m/>
    <x v="20"/>
    <m/>
    <s v="DUTSI"/>
    <m/>
    <n v="79970"/>
    <n v="76966"/>
    <n v="156936"/>
    <n v="17070"/>
    <n v="12894"/>
    <n v="9819"/>
    <n v="7804"/>
    <n v="5867"/>
    <n v="5055"/>
    <n v="4768"/>
    <n v="4030"/>
    <n v="3431"/>
    <n v="2526"/>
    <n v="2230"/>
    <n v="1179"/>
    <n v="1247"/>
    <n v="853"/>
    <n v="673"/>
    <n v="305"/>
    <n v="219"/>
    <n v="15546"/>
    <n v="11860"/>
    <n v="9159"/>
    <n v="7669"/>
    <n v="6436"/>
    <n v="5662"/>
    <n v="4720"/>
    <n v="3794"/>
    <n v="3161"/>
    <n v="2210"/>
    <n v="2113"/>
    <n v="1075"/>
    <n v="1354"/>
    <n v="840"/>
    <n v="732"/>
    <n v="390"/>
    <n v="245"/>
    <n v="32616"/>
    <n v="24754"/>
    <n v="18978"/>
    <n v="15473"/>
    <n v="12303"/>
    <n v="10717"/>
    <n v="9488"/>
    <n v="7824"/>
    <n v="6592"/>
    <n v="4736"/>
    <n v="4343"/>
    <n v="2254"/>
    <n v="2601"/>
    <n v="1693"/>
    <n v="1405"/>
    <n v="695"/>
    <n v="464"/>
  </r>
  <r>
    <s v="NGA"/>
    <x v="0"/>
    <m/>
    <x v="20"/>
    <m/>
    <s v="DUTSIN-MA"/>
    <m/>
    <n v="113240"/>
    <n v="103869"/>
    <n v="217109"/>
    <n v="22400"/>
    <n v="17851"/>
    <n v="15165"/>
    <n v="11981"/>
    <n v="8584"/>
    <n v="7127"/>
    <n v="6758"/>
    <n v="5624"/>
    <n v="4833"/>
    <n v="3378"/>
    <n v="3101"/>
    <n v="1864"/>
    <n v="1783"/>
    <n v="964"/>
    <n v="980"/>
    <n v="515"/>
    <n v="332"/>
    <n v="20851"/>
    <n v="16316"/>
    <n v="12389"/>
    <n v="10566"/>
    <n v="9069"/>
    <n v="7464"/>
    <n v="6381"/>
    <n v="4896"/>
    <n v="4425"/>
    <n v="2870"/>
    <n v="2802"/>
    <n v="1430"/>
    <n v="1664"/>
    <n v="918"/>
    <n v="987"/>
    <n v="475"/>
    <n v="366"/>
    <n v="43251"/>
    <n v="34167"/>
    <n v="27554"/>
    <n v="22547"/>
    <n v="17653"/>
    <n v="14591"/>
    <n v="13139"/>
    <n v="10520"/>
    <n v="9258"/>
    <n v="6248"/>
    <n v="5903"/>
    <n v="3294"/>
    <n v="3447"/>
    <n v="1882"/>
    <n v="1967"/>
    <n v="990"/>
    <n v="698"/>
  </r>
  <r>
    <s v="NGA"/>
    <x v="0"/>
    <m/>
    <x v="20"/>
    <m/>
    <s v="FASKARI"/>
    <m/>
    <n v="158493"/>
    <n v="155005"/>
    <n v="313498"/>
    <n v="33452"/>
    <n v="25121"/>
    <n v="20312"/>
    <n v="16328"/>
    <n v="11570"/>
    <n v="10243"/>
    <n v="9535"/>
    <n v="7952"/>
    <n v="6605"/>
    <n v="4760"/>
    <n v="4298"/>
    <n v="2401"/>
    <n v="2416"/>
    <n v="1088"/>
    <n v="1215"/>
    <n v="586"/>
    <n v="611"/>
    <n v="31060"/>
    <n v="23981"/>
    <n v="18976"/>
    <n v="17305"/>
    <n v="13586"/>
    <n v="11311"/>
    <n v="9283"/>
    <n v="7201"/>
    <n v="6083"/>
    <n v="4043"/>
    <n v="3964"/>
    <n v="2210"/>
    <n v="2195"/>
    <n v="1265"/>
    <n v="1305"/>
    <n v="640"/>
    <n v="597"/>
    <n v="64512"/>
    <n v="49102"/>
    <n v="39288"/>
    <n v="33633"/>
    <n v="25156"/>
    <n v="21554"/>
    <n v="18818"/>
    <n v="15153"/>
    <n v="12688"/>
    <n v="8803"/>
    <n v="8262"/>
    <n v="4611"/>
    <n v="4611"/>
    <n v="2353"/>
    <n v="2520"/>
    <n v="1226"/>
    <n v="1208"/>
  </r>
  <r>
    <s v="NGA"/>
    <x v="0"/>
    <m/>
    <x v="20"/>
    <m/>
    <s v="FUNTUA"/>
    <m/>
    <n v="151747"/>
    <n v="136993"/>
    <n v="288740"/>
    <n v="29524"/>
    <n v="23825"/>
    <n v="20608"/>
    <n v="17408"/>
    <n v="11761"/>
    <n v="10106"/>
    <n v="8744"/>
    <n v="7326"/>
    <n v="6042"/>
    <n v="4462"/>
    <n v="3671"/>
    <n v="2633"/>
    <n v="2178"/>
    <n v="1251"/>
    <n v="1031"/>
    <n v="666"/>
    <n v="511"/>
    <n v="27437"/>
    <n v="21689"/>
    <n v="16907"/>
    <n v="14174"/>
    <n v="11761"/>
    <n v="9942"/>
    <n v="8091"/>
    <n v="6405"/>
    <n v="5593"/>
    <n v="3668"/>
    <n v="3458"/>
    <n v="2298"/>
    <n v="1952"/>
    <n v="1200"/>
    <n v="1258"/>
    <n v="536"/>
    <n v="624"/>
    <n v="56961"/>
    <n v="45514"/>
    <n v="37515"/>
    <n v="31582"/>
    <n v="23522"/>
    <n v="20048"/>
    <n v="16835"/>
    <n v="13731"/>
    <n v="11635"/>
    <n v="8130"/>
    <n v="7129"/>
    <n v="4931"/>
    <n v="4130"/>
    <n v="2451"/>
    <n v="2289"/>
    <n v="1202"/>
    <n v="1135"/>
  </r>
  <r>
    <s v="NGA"/>
    <x v="0"/>
    <m/>
    <x v="20"/>
    <m/>
    <s v="INGAWA"/>
    <m/>
    <n v="110718"/>
    <n v="106255"/>
    <n v="216973"/>
    <n v="23081"/>
    <n v="18222"/>
    <n v="13398"/>
    <n v="10692"/>
    <n v="7732"/>
    <n v="6774"/>
    <n v="6779"/>
    <n v="5732"/>
    <n v="5074"/>
    <n v="3585"/>
    <n v="3126"/>
    <n v="1871"/>
    <n v="1848"/>
    <n v="802"/>
    <n v="1057"/>
    <n v="525"/>
    <n v="420"/>
    <n v="20934"/>
    <n v="16148"/>
    <n v="12580"/>
    <n v="10959"/>
    <n v="9181"/>
    <n v="7896"/>
    <n v="6995"/>
    <n v="5115"/>
    <n v="4541"/>
    <n v="3039"/>
    <n v="2889"/>
    <n v="1558"/>
    <n v="1837"/>
    <n v="775"/>
    <n v="1040"/>
    <n v="376"/>
    <n v="392"/>
    <n v="44015"/>
    <n v="34370"/>
    <n v="25978"/>
    <n v="21651"/>
    <n v="16913"/>
    <n v="14670"/>
    <n v="13774"/>
    <n v="10847"/>
    <n v="9615"/>
    <n v="6624"/>
    <n v="6015"/>
    <n v="3429"/>
    <n v="3685"/>
    <n v="1577"/>
    <n v="2097"/>
    <n v="901"/>
    <n v="812"/>
  </r>
  <r>
    <s v="NGA"/>
    <x v="0"/>
    <m/>
    <x v="20"/>
    <m/>
    <s v="JIBIA"/>
    <m/>
    <n v="100054"/>
    <n v="95898"/>
    <n v="195952"/>
    <n v="21424"/>
    <n v="16516"/>
    <n v="12438"/>
    <n v="9750"/>
    <n v="7195"/>
    <n v="6216"/>
    <n v="5815"/>
    <n v="5012"/>
    <n v="4234"/>
    <n v="3070"/>
    <n v="2652"/>
    <n v="1653"/>
    <n v="1543"/>
    <n v="812"/>
    <n v="875"/>
    <n v="553"/>
    <n v="296"/>
    <n v="19789"/>
    <n v="15512"/>
    <n v="11350"/>
    <n v="9451"/>
    <n v="8029"/>
    <n v="6894"/>
    <n v="5818"/>
    <n v="4489"/>
    <n v="3966"/>
    <n v="2550"/>
    <n v="2542"/>
    <n v="1322"/>
    <n v="1482"/>
    <n v="788"/>
    <n v="980"/>
    <n v="525"/>
    <n v="411"/>
    <n v="41213"/>
    <n v="32028"/>
    <n v="23788"/>
    <n v="19201"/>
    <n v="15224"/>
    <n v="13110"/>
    <n v="11633"/>
    <n v="9501"/>
    <n v="8200"/>
    <n v="5620"/>
    <n v="5194"/>
    <n v="2975"/>
    <n v="3025"/>
    <n v="1600"/>
    <n v="1855"/>
    <n v="1078"/>
    <n v="707"/>
  </r>
  <r>
    <s v="NGA"/>
    <x v="0"/>
    <m/>
    <x v="20"/>
    <m/>
    <s v="KAFUR"/>
    <m/>
    <n v="139905"/>
    <n v="139307"/>
    <n v="279212"/>
    <n v="30360"/>
    <n v="23339"/>
    <n v="17565"/>
    <n v="13995"/>
    <n v="9894"/>
    <n v="8701"/>
    <n v="8119"/>
    <n v="6684"/>
    <n v="5741"/>
    <n v="4170"/>
    <n v="3751"/>
    <n v="2144"/>
    <n v="2074"/>
    <n v="1111"/>
    <n v="1168"/>
    <n v="528"/>
    <n v="561"/>
    <n v="28477"/>
    <n v="22433"/>
    <n v="16490"/>
    <n v="13994"/>
    <n v="11881"/>
    <n v="10129"/>
    <n v="8539"/>
    <n v="6489"/>
    <n v="5792"/>
    <n v="3779"/>
    <n v="3364"/>
    <n v="2152"/>
    <n v="2339"/>
    <n v="1121"/>
    <n v="1228"/>
    <n v="516"/>
    <n v="584"/>
    <n v="58837"/>
    <n v="45772"/>
    <n v="34055"/>
    <n v="27989"/>
    <n v="21775"/>
    <n v="18830"/>
    <n v="16658"/>
    <n v="13173"/>
    <n v="11533"/>
    <n v="7949"/>
    <n v="7115"/>
    <n v="4296"/>
    <n v="4413"/>
    <n v="2232"/>
    <n v="2396"/>
    <n v="1044"/>
    <n v="1145"/>
  </r>
  <r>
    <s v="NGA"/>
    <x v="0"/>
    <m/>
    <x v="20"/>
    <m/>
    <s v="KAITA"/>
    <m/>
    <n v="145733"/>
    <n v="138749"/>
    <n v="284482"/>
    <n v="32180"/>
    <n v="23974"/>
    <n v="16639"/>
    <n v="12917"/>
    <n v="9084"/>
    <n v="8881"/>
    <n v="9479"/>
    <n v="7543"/>
    <n v="7344"/>
    <n v="4432"/>
    <n v="4511"/>
    <n v="2324"/>
    <n v="2594"/>
    <n v="1174"/>
    <n v="1534"/>
    <n v="607"/>
    <n v="516"/>
    <n v="26686"/>
    <n v="21831"/>
    <n v="16056"/>
    <n v="14518"/>
    <n v="12519"/>
    <n v="10321"/>
    <n v="9334"/>
    <n v="6684"/>
    <n v="6056"/>
    <n v="3518"/>
    <n v="3439"/>
    <n v="1982"/>
    <n v="2282"/>
    <n v="1249"/>
    <n v="1270"/>
    <n v="516"/>
    <n v="488"/>
    <n v="58866"/>
    <n v="45805"/>
    <n v="32695"/>
    <n v="27435"/>
    <n v="21603"/>
    <n v="19202"/>
    <n v="18813"/>
    <n v="14227"/>
    <n v="13400"/>
    <n v="7950"/>
    <n v="7950"/>
    <n v="4306"/>
    <n v="4876"/>
    <n v="2423"/>
    <n v="2804"/>
    <n v="1123"/>
    <n v="1004"/>
  </r>
  <r>
    <s v="NGA"/>
    <x v="0"/>
    <m/>
    <x v="20"/>
    <m/>
    <s v="KANKARA"/>
    <m/>
    <n v="169657"/>
    <n v="167930"/>
    <n v="337587"/>
    <n v="35964"/>
    <n v="28914"/>
    <n v="20881"/>
    <n v="16353"/>
    <n v="11716"/>
    <n v="10807"/>
    <n v="10395"/>
    <n v="8313"/>
    <n v="7146"/>
    <n v="4844"/>
    <n v="4705"/>
    <n v="2632"/>
    <n v="2788"/>
    <n v="1313"/>
    <n v="1610"/>
    <n v="621"/>
    <n v="655"/>
    <n v="33422"/>
    <n v="27189"/>
    <n v="20094"/>
    <n v="17644"/>
    <n v="14950"/>
    <n v="12632"/>
    <n v="10441"/>
    <n v="7485"/>
    <n v="6915"/>
    <n v="4204"/>
    <n v="4186"/>
    <n v="2295"/>
    <n v="2593"/>
    <n v="1205"/>
    <n v="1422"/>
    <n v="625"/>
    <n v="628"/>
    <n v="69386"/>
    <n v="56103"/>
    <n v="40975"/>
    <n v="33997"/>
    <n v="26666"/>
    <n v="23439"/>
    <n v="20836"/>
    <n v="15798"/>
    <n v="14061"/>
    <n v="9048"/>
    <n v="8891"/>
    <n v="4927"/>
    <n v="5381"/>
    <n v="2518"/>
    <n v="3032"/>
    <n v="1246"/>
    <n v="1283"/>
  </r>
  <r>
    <s v="NGA"/>
    <x v="0"/>
    <m/>
    <x v="20"/>
    <m/>
    <s v="KANKIA"/>
    <m/>
    <n v="99233"/>
    <n v="95074"/>
    <n v="194307"/>
    <n v="21285"/>
    <n v="15873"/>
    <n v="11942"/>
    <n v="9510"/>
    <n v="7013"/>
    <n v="6264"/>
    <n v="6268"/>
    <n v="5169"/>
    <n v="4595"/>
    <n v="2997"/>
    <n v="2781"/>
    <n v="1535"/>
    <n v="1559"/>
    <n v="732"/>
    <n v="920"/>
    <n v="446"/>
    <n v="344"/>
    <n v="19335"/>
    <n v="14473"/>
    <n v="11108"/>
    <n v="9632"/>
    <n v="8600"/>
    <n v="7028"/>
    <n v="5961"/>
    <n v="4540"/>
    <n v="3975"/>
    <n v="2640"/>
    <n v="2436"/>
    <n v="1459"/>
    <n v="1484"/>
    <n v="765"/>
    <n v="864"/>
    <n v="426"/>
    <n v="348"/>
    <n v="40620"/>
    <n v="30346"/>
    <n v="23050"/>
    <n v="19142"/>
    <n v="15613"/>
    <n v="13292"/>
    <n v="12229"/>
    <n v="9709"/>
    <n v="8570"/>
    <n v="5637"/>
    <n v="5217"/>
    <n v="2994"/>
    <n v="3043"/>
    <n v="1497"/>
    <n v="1784"/>
    <n v="872"/>
    <n v="692"/>
  </r>
  <r>
    <s v="NGA"/>
    <x v="0"/>
    <m/>
    <x v="20"/>
    <m/>
    <s v="KATSINA"/>
    <m/>
    <n v="210503"/>
    <n v="183968"/>
    <n v="394471"/>
    <n v="39818"/>
    <n v="32787"/>
    <n v="29783"/>
    <n v="23785"/>
    <n v="16659"/>
    <n v="13043"/>
    <n v="11706"/>
    <n v="10529"/>
    <n v="9230"/>
    <n v="6579"/>
    <n v="5135"/>
    <n v="3962"/>
    <n v="2763"/>
    <n v="1866"/>
    <n v="1403"/>
    <n v="894"/>
    <n v="561"/>
    <n v="36457"/>
    <n v="29458"/>
    <n v="24260"/>
    <n v="18374"/>
    <n v="15696"/>
    <n v="12925"/>
    <n v="10532"/>
    <n v="8424"/>
    <n v="7596"/>
    <n v="4883"/>
    <n v="4423"/>
    <n v="3052"/>
    <n v="2806"/>
    <n v="1606"/>
    <n v="1808"/>
    <n v="817"/>
    <n v="851"/>
    <n v="76275"/>
    <n v="62245"/>
    <n v="54043"/>
    <n v="42159"/>
    <n v="32355"/>
    <n v="25968"/>
    <n v="22238"/>
    <n v="18953"/>
    <n v="16826"/>
    <n v="11462"/>
    <n v="9558"/>
    <n v="7014"/>
    <n v="5569"/>
    <n v="3472"/>
    <n v="3211"/>
    <n v="1711"/>
    <n v="1412"/>
  </r>
  <r>
    <s v="NGA"/>
    <x v="0"/>
    <m/>
    <x v="20"/>
    <m/>
    <s v="KURFI"/>
    <m/>
    <n v="81316"/>
    <n v="79020"/>
    <n v="160336"/>
    <n v="17188"/>
    <n v="13555"/>
    <n v="10519"/>
    <n v="8000"/>
    <n v="5650"/>
    <n v="5075"/>
    <n v="4701"/>
    <n v="4020"/>
    <n v="3334"/>
    <n v="2418"/>
    <n v="2181"/>
    <n v="1309"/>
    <n v="1302"/>
    <n v="628"/>
    <n v="799"/>
    <n v="401"/>
    <n v="236"/>
    <n v="16106"/>
    <n v="12679"/>
    <n v="9521"/>
    <n v="7777"/>
    <n v="6541"/>
    <n v="5652"/>
    <n v="4687"/>
    <n v="3725"/>
    <n v="3362"/>
    <n v="2192"/>
    <n v="2125"/>
    <n v="1204"/>
    <n v="1321"/>
    <n v="694"/>
    <n v="850"/>
    <n v="287"/>
    <n v="297"/>
    <n v="33294"/>
    <n v="26234"/>
    <n v="20040"/>
    <n v="15777"/>
    <n v="12191"/>
    <n v="10727"/>
    <n v="9388"/>
    <n v="7745"/>
    <n v="6696"/>
    <n v="4610"/>
    <n v="4306"/>
    <n v="2513"/>
    <n v="2623"/>
    <n v="1322"/>
    <n v="1649"/>
    <n v="688"/>
    <n v="533"/>
  </r>
  <r>
    <s v="NGA"/>
    <x v="0"/>
    <m/>
    <x v="20"/>
    <m/>
    <s v="KUSADA"/>
    <m/>
    <n v="65408"/>
    <n v="60813"/>
    <n v="126221"/>
    <n v="13656"/>
    <n v="11105"/>
    <n v="9019"/>
    <n v="6734"/>
    <n v="4405"/>
    <n v="3823"/>
    <n v="3817"/>
    <n v="3236"/>
    <n v="2763"/>
    <n v="1702"/>
    <n v="1711"/>
    <n v="907"/>
    <n v="986"/>
    <n v="430"/>
    <n v="549"/>
    <n v="264"/>
    <n v="301"/>
    <n v="12586"/>
    <n v="9704"/>
    <n v="7316"/>
    <n v="5922"/>
    <n v="4987"/>
    <n v="4293"/>
    <n v="3721"/>
    <n v="2809"/>
    <n v="2498"/>
    <n v="1701"/>
    <n v="1635"/>
    <n v="824"/>
    <n v="1112"/>
    <n v="445"/>
    <n v="776"/>
    <n v="271"/>
    <n v="213"/>
    <n v="26242"/>
    <n v="20809"/>
    <n v="16335"/>
    <n v="12656"/>
    <n v="9392"/>
    <n v="8116"/>
    <n v="7538"/>
    <n v="6045"/>
    <n v="5261"/>
    <n v="3403"/>
    <n v="3346"/>
    <n v="1731"/>
    <n v="2098"/>
    <n v="875"/>
    <n v="1325"/>
    <n v="535"/>
    <n v="514"/>
  </r>
  <r>
    <s v="NGA"/>
    <x v="0"/>
    <m/>
    <x v="20"/>
    <m/>
    <s v="MAI'ADUA"/>
    <m/>
    <n v="131610"/>
    <n v="125647"/>
    <n v="257257"/>
    <n v="26972"/>
    <n v="20612"/>
    <n v="16958"/>
    <n v="14432"/>
    <n v="10505"/>
    <n v="8403"/>
    <n v="7514"/>
    <n v="6443"/>
    <n v="5330"/>
    <n v="4059"/>
    <n v="3355"/>
    <n v="2044"/>
    <n v="2029"/>
    <n v="920"/>
    <n v="1077"/>
    <n v="497"/>
    <n v="460"/>
    <n v="25458"/>
    <n v="18858"/>
    <n v="15269"/>
    <n v="12753"/>
    <n v="10287"/>
    <n v="9020"/>
    <n v="7600"/>
    <n v="6220"/>
    <n v="5231"/>
    <n v="3763"/>
    <n v="3174"/>
    <n v="2357"/>
    <n v="2000"/>
    <n v="1371"/>
    <n v="1334"/>
    <n v="482"/>
    <n v="470"/>
    <n v="52430"/>
    <n v="39470"/>
    <n v="32227"/>
    <n v="27185"/>
    <n v="20792"/>
    <n v="17423"/>
    <n v="15114"/>
    <n v="12663"/>
    <n v="10561"/>
    <n v="7822"/>
    <n v="6529"/>
    <n v="4401"/>
    <n v="4029"/>
    <n v="2291"/>
    <n v="2411"/>
    <n v="979"/>
    <n v="930"/>
  </r>
  <r>
    <s v="NGA"/>
    <x v="0"/>
    <m/>
    <x v="20"/>
    <m/>
    <s v="MALUMFASHI"/>
    <m/>
    <n v="93448"/>
    <n v="90785"/>
    <n v="184233"/>
    <n v="19702"/>
    <n v="14904"/>
    <n v="11741"/>
    <n v="8870"/>
    <n v="6459"/>
    <n v="6439"/>
    <n v="5857"/>
    <n v="4955"/>
    <n v="3948"/>
    <n v="2683"/>
    <n v="2447"/>
    <n v="1597"/>
    <n v="1460"/>
    <n v="802"/>
    <n v="842"/>
    <n v="377"/>
    <n v="365"/>
    <n v="18573"/>
    <n v="14440"/>
    <n v="10677"/>
    <n v="9271"/>
    <n v="8165"/>
    <n v="6599"/>
    <n v="5298"/>
    <n v="3991"/>
    <n v="3795"/>
    <n v="2191"/>
    <n v="2463"/>
    <n v="1414"/>
    <n v="1579"/>
    <n v="723"/>
    <n v="880"/>
    <n v="326"/>
    <n v="400"/>
    <n v="38275"/>
    <n v="29344"/>
    <n v="22418"/>
    <n v="18141"/>
    <n v="14624"/>
    <n v="13038"/>
    <n v="11155"/>
    <n v="8946"/>
    <n v="7743"/>
    <n v="4874"/>
    <n v="4910"/>
    <n v="3011"/>
    <n v="3039"/>
    <n v="1525"/>
    <n v="1722"/>
    <n v="703"/>
    <n v="765"/>
  </r>
  <r>
    <s v="NGA"/>
    <x v="0"/>
    <m/>
    <x v="20"/>
    <m/>
    <s v="MANI"/>
    <m/>
    <n v="111339"/>
    <n v="110932"/>
    <n v="222271"/>
    <n v="24521"/>
    <n v="18601"/>
    <n v="13171"/>
    <n v="10199"/>
    <n v="7254"/>
    <n v="6333"/>
    <n v="6594"/>
    <n v="5622"/>
    <n v="5006"/>
    <n v="3490"/>
    <n v="3376"/>
    <n v="1955"/>
    <n v="2124"/>
    <n v="1099"/>
    <n v="1155"/>
    <n v="500"/>
    <n v="339"/>
    <n v="22645"/>
    <n v="17986"/>
    <n v="12731"/>
    <n v="10589"/>
    <n v="9394"/>
    <n v="8075"/>
    <n v="6979"/>
    <n v="5295"/>
    <n v="4845"/>
    <n v="2896"/>
    <n v="3069"/>
    <n v="1592"/>
    <n v="1977"/>
    <n v="859"/>
    <n v="1199"/>
    <n v="388"/>
    <n v="413"/>
    <n v="47166"/>
    <n v="36587"/>
    <n v="25902"/>
    <n v="20788"/>
    <n v="16648"/>
    <n v="14408"/>
    <n v="13573"/>
    <n v="10917"/>
    <n v="9851"/>
    <n v="6386"/>
    <n v="6445"/>
    <n v="3547"/>
    <n v="4101"/>
    <n v="1958"/>
    <n v="2354"/>
    <n v="888"/>
    <n v="752"/>
  </r>
  <r>
    <s v="NGA"/>
    <x v="0"/>
    <m/>
    <x v="20"/>
    <m/>
    <s v="MASHI"/>
    <m/>
    <n v="109424"/>
    <n v="112626"/>
    <n v="222050"/>
    <n v="24632"/>
    <n v="18288"/>
    <n v="11957"/>
    <n v="9298"/>
    <n v="6746"/>
    <n v="6627"/>
    <n v="6880"/>
    <n v="5854"/>
    <n v="5256"/>
    <n v="3447"/>
    <n v="3283"/>
    <n v="1917"/>
    <n v="1912"/>
    <n v="1129"/>
    <n v="1235"/>
    <n v="585"/>
    <n v="378"/>
    <n v="22835"/>
    <n v="18308"/>
    <n v="12301"/>
    <n v="10572"/>
    <n v="9675"/>
    <n v="8443"/>
    <n v="7385"/>
    <n v="5301"/>
    <n v="4826"/>
    <n v="2945"/>
    <n v="2996"/>
    <n v="1765"/>
    <n v="1954"/>
    <n v="1038"/>
    <n v="1225"/>
    <n v="674"/>
    <n v="383"/>
    <n v="47467"/>
    <n v="36596"/>
    <n v="24258"/>
    <n v="19870"/>
    <n v="16421"/>
    <n v="15070"/>
    <n v="14265"/>
    <n v="11155"/>
    <n v="10082"/>
    <n v="6392"/>
    <n v="6279"/>
    <n v="3682"/>
    <n v="3866"/>
    <n v="2167"/>
    <n v="2460"/>
    <n v="1259"/>
    <n v="761"/>
  </r>
  <r>
    <s v="NGA"/>
    <x v="0"/>
    <m/>
    <x v="20"/>
    <m/>
    <s v="MATAZU"/>
    <m/>
    <n v="77386"/>
    <n v="75108"/>
    <n v="152494"/>
    <n v="15973"/>
    <n v="12388"/>
    <n v="9678"/>
    <n v="7564"/>
    <n v="5289"/>
    <n v="5038"/>
    <n v="5018"/>
    <n v="4003"/>
    <n v="3546"/>
    <n v="2128"/>
    <n v="2219"/>
    <n v="1246"/>
    <n v="1317"/>
    <n v="597"/>
    <n v="752"/>
    <n v="307"/>
    <n v="323"/>
    <n v="14719"/>
    <n v="11713"/>
    <n v="8857"/>
    <n v="8010"/>
    <n v="6746"/>
    <n v="5552"/>
    <n v="4713"/>
    <n v="3503"/>
    <n v="3186"/>
    <n v="1933"/>
    <n v="1932"/>
    <n v="1082"/>
    <n v="1178"/>
    <n v="582"/>
    <n v="755"/>
    <n v="340"/>
    <n v="307"/>
    <n v="30692"/>
    <n v="24101"/>
    <n v="18535"/>
    <n v="15574"/>
    <n v="12035"/>
    <n v="10590"/>
    <n v="9731"/>
    <n v="7506"/>
    <n v="6732"/>
    <n v="4061"/>
    <n v="4151"/>
    <n v="2328"/>
    <n v="2495"/>
    <n v="1179"/>
    <n v="1507"/>
    <n v="647"/>
    <n v="630"/>
  </r>
  <r>
    <s v="NGA"/>
    <x v="0"/>
    <m/>
    <x v="20"/>
    <m/>
    <s v="MUSAWA"/>
    <m/>
    <n v="160847"/>
    <n v="156904"/>
    <n v="317751"/>
    <n v="33577"/>
    <n v="26675"/>
    <n v="20118"/>
    <n v="15586"/>
    <n v="11292"/>
    <n v="10122"/>
    <n v="9913"/>
    <n v="8042"/>
    <n v="7152"/>
    <n v="4786"/>
    <n v="4587"/>
    <n v="2310"/>
    <n v="2653"/>
    <n v="1188"/>
    <n v="1620"/>
    <n v="631"/>
    <n v="595"/>
    <n v="31137"/>
    <n v="24643"/>
    <n v="19055"/>
    <n v="16747"/>
    <n v="13835"/>
    <n v="11242"/>
    <n v="9870"/>
    <n v="7074"/>
    <n v="6665"/>
    <n v="4009"/>
    <n v="4213"/>
    <n v="1929"/>
    <n v="2469"/>
    <n v="1208"/>
    <n v="1465"/>
    <n v="691"/>
    <n v="652"/>
    <n v="64714"/>
    <n v="51318"/>
    <n v="39173"/>
    <n v="32333"/>
    <n v="25127"/>
    <n v="21364"/>
    <n v="19783"/>
    <n v="15116"/>
    <n v="13817"/>
    <n v="8795"/>
    <n v="8800"/>
    <n v="4239"/>
    <n v="5122"/>
    <n v="2396"/>
    <n v="3085"/>
    <n v="1322"/>
    <n v="1247"/>
  </r>
  <r>
    <s v="NGA"/>
    <x v="0"/>
    <m/>
    <x v="20"/>
    <m/>
    <s v="RIMI"/>
    <m/>
    <n v="101685"/>
    <n v="101037"/>
    <n v="202722"/>
    <n v="21955"/>
    <n v="16835"/>
    <n v="11593"/>
    <n v="9167"/>
    <n v="6807"/>
    <n v="6103"/>
    <n v="6378"/>
    <n v="5365"/>
    <n v="4923"/>
    <n v="3091"/>
    <n v="3182"/>
    <n v="1712"/>
    <n v="1839"/>
    <n v="812"/>
    <n v="1076"/>
    <n v="476"/>
    <n v="371"/>
    <n v="20711"/>
    <n v="16083"/>
    <n v="11238"/>
    <n v="10476"/>
    <n v="8835"/>
    <n v="7200"/>
    <n v="6332"/>
    <n v="4412"/>
    <n v="4519"/>
    <n v="2487"/>
    <n v="2937"/>
    <n v="1361"/>
    <n v="1825"/>
    <n v="728"/>
    <n v="1040"/>
    <n v="435"/>
    <n v="418"/>
    <n v="42666"/>
    <n v="32918"/>
    <n v="22831"/>
    <n v="19643"/>
    <n v="15642"/>
    <n v="13303"/>
    <n v="12710"/>
    <n v="9777"/>
    <n v="9442"/>
    <n v="5578"/>
    <n v="6119"/>
    <n v="3073"/>
    <n v="3664"/>
    <n v="1540"/>
    <n v="2116"/>
    <n v="911"/>
    <n v="789"/>
  </r>
  <r>
    <s v="NGA"/>
    <x v="0"/>
    <m/>
    <x v="20"/>
    <m/>
    <s v="SABUWA"/>
    <m/>
    <n v="116727"/>
    <n v="110145"/>
    <n v="226872"/>
    <n v="24255"/>
    <n v="19169"/>
    <n v="15492"/>
    <n v="12416"/>
    <n v="8449"/>
    <n v="7401"/>
    <n v="6815"/>
    <n v="5606"/>
    <n v="4797"/>
    <n v="3335"/>
    <n v="3049"/>
    <n v="1674"/>
    <n v="1502"/>
    <n v="841"/>
    <n v="1069"/>
    <n v="497"/>
    <n v="360"/>
    <n v="22119"/>
    <n v="17353"/>
    <n v="13247"/>
    <n v="11870"/>
    <n v="9724"/>
    <n v="8119"/>
    <n v="6645"/>
    <n v="5263"/>
    <n v="4277"/>
    <n v="2826"/>
    <n v="2572"/>
    <n v="1797"/>
    <n v="1708"/>
    <n v="951"/>
    <n v="901"/>
    <n v="387"/>
    <n v="386"/>
    <n v="46374"/>
    <n v="36522"/>
    <n v="28739"/>
    <n v="24286"/>
    <n v="18173"/>
    <n v="15520"/>
    <n v="13460"/>
    <n v="10869"/>
    <n v="9074"/>
    <n v="6161"/>
    <n v="5621"/>
    <n v="3471"/>
    <n v="3210"/>
    <n v="1792"/>
    <n v="1970"/>
    <n v="884"/>
    <n v="746"/>
  </r>
  <r>
    <s v="NGA"/>
    <x v="0"/>
    <m/>
    <x v="20"/>
    <m/>
    <s v="SAFANA"/>
    <m/>
    <n v="122128"/>
    <n v="119231"/>
    <n v="241359"/>
    <n v="25764"/>
    <n v="19924"/>
    <n v="15302"/>
    <n v="12096"/>
    <n v="8854"/>
    <n v="7620"/>
    <n v="7498"/>
    <n v="6054"/>
    <n v="5344"/>
    <n v="3699"/>
    <n v="3407"/>
    <n v="1770"/>
    <n v="1937"/>
    <n v="903"/>
    <n v="1040"/>
    <n v="526"/>
    <n v="390"/>
    <n v="24287"/>
    <n v="18864"/>
    <n v="14218"/>
    <n v="12423"/>
    <n v="10309"/>
    <n v="8673"/>
    <n v="7403"/>
    <n v="5565"/>
    <n v="4838"/>
    <n v="3064"/>
    <n v="2904"/>
    <n v="1910"/>
    <n v="1990"/>
    <n v="982"/>
    <n v="993"/>
    <n v="399"/>
    <n v="409"/>
    <n v="50051"/>
    <n v="38788"/>
    <n v="29520"/>
    <n v="24519"/>
    <n v="19163"/>
    <n v="16293"/>
    <n v="14901"/>
    <n v="11619"/>
    <n v="10182"/>
    <n v="6763"/>
    <n v="6311"/>
    <n v="3680"/>
    <n v="3927"/>
    <n v="1885"/>
    <n v="2033"/>
    <n v="925"/>
    <n v="799"/>
  </r>
  <r>
    <s v="NGA"/>
    <x v="0"/>
    <m/>
    <x v="20"/>
    <m/>
    <s v="SANDAMU"/>
    <m/>
    <n v="137479"/>
    <n v="137425"/>
    <n v="274904"/>
    <n v="28395"/>
    <n v="21390"/>
    <n v="17300"/>
    <n v="14093"/>
    <n v="10758"/>
    <n v="9163"/>
    <n v="8152"/>
    <n v="6438"/>
    <n v="5810"/>
    <n v="4474"/>
    <n v="3226"/>
    <n v="2679"/>
    <n v="2169"/>
    <n v="1121"/>
    <n v="977"/>
    <n v="821"/>
    <n v="513"/>
    <n v="26910"/>
    <n v="19961"/>
    <n v="17099"/>
    <n v="15363"/>
    <n v="10902"/>
    <n v="9794"/>
    <n v="8435"/>
    <n v="6739"/>
    <n v="5481"/>
    <n v="3999"/>
    <n v="3197"/>
    <n v="3050"/>
    <n v="2641"/>
    <n v="1546"/>
    <n v="859"/>
    <n v="998"/>
    <n v="451"/>
    <n v="55305"/>
    <n v="41351"/>
    <n v="34399"/>
    <n v="29456"/>
    <n v="21660"/>
    <n v="18957"/>
    <n v="16587"/>
    <n v="13177"/>
    <n v="11291"/>
    <n v="8473"/>
    <n v="6423"/>
    <n v="5729"/>
    <n v="4810"/>
    <n v="2667"/>
    <n v="1836"/>
    <n v="1819"/>
    <n v="964"/>
  </r>
  <r>
    <s v="NGA"/>
    <x v="0"/>
    <m/>
    <x v="20"/>
    <m/>
    <s v="ZANGO"/>
    <m/>
    <n v="119918"/>
    <n v="113745"/>
    <n v="233663"/>
    <n v="24845"/>
    <n v="19200"/>
    <n v="14758"/>
    <n v="11910"/>
    <n v="8659"/>
    <n v="7693"/>
    <n v="7406"/>
    <n v="6304"/>
    <n v="5520"/>
    <n v="3662"/>
    <n v="3423"/>
    <n v="1676"/>
    <n v="1940"/>
    <n v="780"/>
    <n v="1226"/>
    <n v="498"/>
    <n v="418"/>
    <n v="22011"/>
    <n v="17615"/>
    <n v="13507"/>
    <n v="11846"/>
    <n v="10119"/>
    <n v="8595"/>
    <n v="7261"/>
    <n v="5476"/>
    <n v="4817"/>
    <n v="3284"/>
    <n v="3156"/>
    <n v="1359"/>
    <n v="1931"/>
    <n v="1033"/>
    <n v="880"/>
    <n v="370"/>
    <n v="485"/>
    <n v="46856"/>
    <n v="36815"/>
    <n v="28265"/>
    <n v="23756"/>
    <n v="18778"/>
    <n v="16288"/>
    <n v="14667"/>
    <n v="11780"/>
    <n v="10337"/>
    <n v="6946"/>
    <n v="6579"/>
    <n v="3035"/>
    <n v="3871"/>
    <n v="1813"/>
    <n v="2106"/>
    <n v="868"/>
    <n v="903"/>
  </r>
  <r>
    <s v="NGA"/>
    <x v="0"/>
    <m/>
    <x v="21"/>
    <m/>
    <s v="ALIERO"/>
    <m/>
    <n v="49503"/>
    <n v="46578"/>
    <n v="96081"/>
    <n v="9674"/>
    <n v="8213"/>
    <n v="6661"/>
    <n v="5219"/>
    <n v="3626"/>
    <n v="3169"/>
    <n v="3014"/>
    <n v="2415"/>
    <n v="2084"/>
    <n v="1320"/>
    <n v="1312"/>
    <n v="852"/>
    <n v="869"/>
    <n v="438"/>
    <n v="389"/>
    <n v="146"/>
    <n v="102"/>
    <n v="9156"/>
    <n v="7892"/>
    <n v="5702"/>
    <n v="4705"/>
    <n v="3838"/>
    <n v="3450"/>
    <n v="2956"/>
    <n v="2147"/>
    <n v="1925"/>
    <n v="1156"/>
    <n v="1150"/>
    <n v="620"/>
    <n v="772"/>
    <n v="394"/>
    <n v="393"/>
    <n v="182"/>
    <n v="140"/>
    <n v="18830"/>
    <n v="16105"/>
    <n v="12363"/>
    <n v="9924"/>
    <n v="7464"/>
    <n v="6619"/>
    <n v="5970"/>
    <n v="4562"/>
    <n v="4009"/>
    <n v="2476"/>
    <n v="2462"/>
    <n v="1472"/>
    <n v="1641"/>
    <n v="832"/>
    <n v="782"/>
    <n v="328"/>
    <n v="242"/>
  </r>
  <r>
    <s v="NGA"/>
    <x v="0"/>
    <m/>
    <x v="21"/>
    <m/>
    <s v="AREWA-DANDI"/>
    <m/>
    <n v="114485"/>
    <n v="113672"/>
    <n v="228157"/>
    <n v="23989"/>
    <n v="19119"/>
    <n v="13605"/>
    <n v="11036"/>
    <n v="8113"/>
    <n v="7916"/>
    <n v="7055"/>
    <n v="5725"/>
    <n v="4802"/>
    <n v="3282"/>
    <n v="2813"/>
    <n v="2159"/>
    <n v="1867"/>
    <n v="1107"/>
    <n v="1050"/>
    <n v="445"/>
    <n v="402"/>
    <n v="22312"/>
    <n v="18696"/>
    <n v="13019"/>
    <n v="11615"/>
    <n v="10151"/>
    <n v="8511"/>
    <n v="7034"/>
    <n v="5167"/>
    <n v="4651"/>
    <n v="2913"/>
    <n v="2933"/>
    <n v="1845"/>
    <n v="1936"/>
    <n v="964"/>
    <n v="1035"/>
    <n v="475"/>
    <n v="415"/>
    <n v="46301"/>
    <n v="37815"/>
    <n v="26624"/>
    <n v="22651"/>
    <n v="18264"/>
    <n v="16427"/>
    <n v="14089"/>
    <n v="10892"/>
    <n v="9453"/>
    <n v="6195"/>
    <n v="5746"/>
    <n v="4004"/>
    <n v="3803"/>
    <n v="2071"/>
    <n v="2085"/>
    <n v="920"/>
    <n v="817"/>
  </r>
  <r>
    <s v="NGA"/>
    <x v="0"/>
    <m/>
    <x v="21"/>
    <m/>
    <s v="ARGUNGU"/>
    <m/>
    <n v="135381"/>
    <n v="135090"/>
    <n v="270471"/>
    <n v="26914"/>
    <n v="22311"/>
    <n v="17611"/>
    <n v="14062"/>
    <n v="10035"/>
    <n v="9040"/>
    <n v="7795"/>
    <n v="6753"/>
    <n v="5534"/>
    <n v="3877"/>
    <n v="3614"/>
    <n v="2629"/>
    <n v="2173"/>
    <n v="1153"/>
    <n v="989"/>
    <n v="550"/>
    <n v="341"/>
    <n v="25984"/>
    <n v="22137"/>
    <n v="15971"/>
    <n v="13484"/>
    <n v="11685"/>
    <n v="10480"/>
    <n v="8367"/>
    <n v="6291"/>
    <n v="5773"/>
    <n v="3385"/>
    <n v="3455"/>
    <n v="2106"/>
    <n v="2359"/>
    <n v="1244"/>
    <n v="1322"/>
    <n v="544"/>
    <n v="503"/>
    <n v="52898"/>
    <n v="44448"/>
    <n v="33582"/>
    <n v="27546"/>
    <n v="21720"/>
    <n v="19520"/>
    <n v="16162"/>
    <n v="13044"/>
    <n v="11307"/>
    <n v="7262"/>
    <n v="7069"/>
    <n v="4735"/>
    <n v="4532"/>
    <n v="2397"/>
    <n v="2311"/>
    <n v="1094"/>
    <n v="844"/>
  </r>
  <r>
    <s v="NGA"/>
    <x v="0"/>
    <m/>
    <x v="21"/>
    <m/>
    <s v="AUGIE"/>
    <m/>
    <n v="79030"/>
    <n v="78146"/>
    <n v="157176"/>
    <n v="16272"/>
    <n v="13212"/>
    <n v="9393"/>
    <n v="7445"/>
    <n v="5192"/>
    <n v="5169"/>
    <n v="5023"/>
    <n v="4174"/>
    <n v="3585"/>
    <n v="2439"/>
    <n v="2280"/>
    <n v="1449"/>
    <n v="1392"/>
    <n v="904"/>
    <n v="629"/>
    <n v="278"/>
    <n v="194"/>
    <n v="15257"/>
    <n v="12790"/>
    <n v="9044"/>
    <n v="7823"/>
    <n v="6932"/>
    <n v="5894"/>
    <n v="5112"/>
    <n v="3577"/>
    <n v="3463"/>
    <n v="1856"/>
    <n v="2142"/>
    <n v="1036"/>
    <n v="1314"/>
    <n v="770"/>
    <n v="651"/>
    <n v="264"/>
    <n v="221"/>
    <n v="31529"/>
    <n v="26002"/>
    <n v="18437"/>
    <n v="15268"/>
    <n v="12124"/>
    <n v="11063"/>
    <n v="10135"/>
    <n v="7751"/>
    <n v="7048"/>
    <n v="4295"/>
    <n v="4422"/>
    <n v="2485"/>
    <n v="2706"/>
    <n v="1674"/>
    <n v="1280"/>
    <n v="542"/>
    <n v="415"/>
  </r>
  <r>
    <s v="NGA"/>
    <x v="0"/>
    <m/>
    <x v="21"/>
    <m/>
    <s v="BAGUDO"/>
    <m/>
    <n v="160779"/>
    <n v="159938"/>
    <n v="320717"/>
    <n v="32374"/>
    <n v="26985"/>
    <n v="19340"/>
    <n v="14820"/>
    <n v="10468"/>
    <n v="10806"/>
    <n v="10389"/>
    <n v="8405"/>
    <n v="7251"/>
    <n v="4989"/>
    <n v="4601"/>
    <n v="2979"/>
    <n v="3014"/>
    <n v="1677"/>
    <n v="1499"/>
    <n v="707"/>
    <n v="475"/>
    <n v="31070"/>
    <n v="27448"/>
    <n v="18125"/>
    <n v="15909"/>
    <n v="14346"/>
    <n v="11910"/>
    <n v="10148"/>
    <n v="7106"/>
    <n v="6829"/>
    <n v="3693"/>
    <n v="4415"/>
    <n v="2319"/>
    <n v="2618"/>
    <n v="1336"/>
    <n v="1618"/>
    <n v="550"/>
    <n v="498"/>
    <n v="63444"/>
    <n v="54433"/>
    <n v="37465"/>
    <n v="30729"/>
    <n v="24814"/>
    <n v="22716"/>
    <n v="20537"/>
    <n v="15511"/>
    <n v="14080"/>
    <n v="8682"/>
    <n v="9016"/>
    <n v="5298"/>
    <n v="5632"/>
    <n v="3013"/>
    <n v="3117"/>
    <n v="1257"/>
    <n v="973"/>
  </r>
  <r>
    <s v="NGA"/>
    <x v="0"/>
    <m/>
    <x v="21"/>
    <m/>
    <s v="BIRNIN KEBBI"/>
    <m/>
    <n v="211701"/>
    <n v="205889"/>
    <n v="417590"/>
    <n v="40466"/>
    <n v="32473"/>
    <n v="26970"/>
    <n v="21527"/>
    <n v="17049"/>
    <n v="15146"/>
    <n v="12220"/>
    <n v="11302"/>
    <n v="9053"/>
    <n v="7021"/>
    <n v="5516"/>
    <n v="4717"/>
    <n v="3190"/>
    <n v="2300"/>
    <n v="1498"/>
    <n v="794"/>
    <n v="459"/>
    <n v="39000"/>
    <n v="32902"/>
    <n v="24744"/>
    <n v="20651"/>
    <n v="17402"/>
    <n v="15393"/>
    <n v="12590"/>
    <n v="10381"/>
    <n v="8870"/>
    <n v="5294"/>
    <n v="5386"/>
    <n v="3652"/>
    <n v="3699"/>
    <n v="2156"/>
    <n v="2023"/>
    <n v="1002"/>
    <n v="744"/>
    <n v="79466"/>
    <n v="65375"/>
    <n v="51714"/>
    <n v="42178"/>
    <n v="34451"/>
    <n v="30539"/>
    <n v="24810"/>
    <n v="21683"/>
    <n v="17923"/>
    <n v="12315"/>
    <n v="10902"/>
    <n v="8369"/>
    <n v="6889"/>
    <n v="4456"/>
    <n v="3521"/>
    <n v="1796"/>
    <n v="1203"/>
  </r>
  <r>
    <s v="NGA"/>
    <x v="0"/>
    <m/>
    <x v="21"/>
    <m/>
    <s v="BUNZA"/>
    <m/>
    <n v="87617"/>
    <n v="88244"/>
    <n v="175861"/>
    <n v="17879"/>
    <n v="14557"/>
    <n v="11043"/>
    <n v="8541"/>
    <n v="6011"/>
    <n v="6080"/>
    <n v="5088"/>
    <n v="4138"/>
    <n v="3563"/>
    <n v="2571"/>
    <n v="2424"/>
    <n v="1888"/>
    <n v="1520"/>
    <n v="1008"/>
    <n v="692"/>
    <n v="407"/>
    <n v="207"/>
    <n v="16719"/>
    <n v="14780"/>
    <n v="10839"/>
    <n v="8527"/>
    <n v="7475"/>
    <n v="6440"/>
    <n v="5349"/>
    <n v="4073"/>
    <n v="3917"/>
    <n v="2175"/>
    <n v="2428"/>
    <n v="1453"/>
    <n v="1555"/>
    <n v="893"/>
    <n v="946"/>
    <n v="391"/>
    <n v="284"/>
    <n v="34598"/>
    <n v="29337"/>
    <n v="21882"/>
    <n v="17068"/>
    <n v="13486"/>
    <n v="12520"/>
    <n v="10437"/>
    <n v="8211"/>
    <n v="7480"/>
    <n v="4746"/>
    <n v="4852"/>
    <n v="3341"/>
    <n v="3075"/>
    <n v="1901"/>
    <n v="1638"/>
    <n v="798"/>
    <n v="491"/>
  </r>
  <r>
    <s v="NGA"/>
    <x v="0"/>
    <m/>
    <x v="21"/>
    <m/>
    <s v="DANDI"/>
    <m/>
    <n v="91654"/>
    <n v="91180"/>
    <n v="182834"/>
    <n v="18717"/>
    <n v="15334"/>
    <n v="11218"/>
    <n v="8893"/>
    <n v="6473"/>
    <n v="6220"/>
    <n v="5658"/>
    <n v="4592"/>
    <n v="3783"/>
    <n v="2655"/>
    <n v="2433"/>
    <n v="1858"/>
    <n v="1541"/>
    <n v="908"/>
    <n v="708"/>
    <n v="398"/>
    <n v="265"/>
    <n v="17438"/>
    <n v="15500"/>
    <n v="10496"/>
    <n v="8780"/>
    <n v="8028"/>
    <n v="6882"/>
    <n v="5866"/>
    <n v="4185"/>
    <n v="3888"/>
    <n v="2187"/>
    <n v="2502"/>
    <n v="1405"/>
    <n v="1558"/>
    <n v="827"/>
    <n v="925"/>
    <n v="380"/>
    <n v="333"/>
    <n v="36155"/>
    <n v="30834"/>
    <n v="21714"/>
    <n v="17673"/>
    <n v="14501"/>
    <n v="13102"/>
    <n v="11524"/>
    <n v="8777"/>
    <n v="7671"/>
    <n v="4842"/>
    <n v="4935"/>
    <n v="3263"/>
    <n v="3099"/>
    <n v="1735"/>
    <n v="1633"/>
    <n v="778"/>
    <n v="598"/>
  </r>
  <r>
    <s v="NGA"/>
    <x v="0"/>
    <m/>
    <x v="21"/>
    <m/>
    <s v="FAKAI"/>
    <m/>
    <n v="88685"/>
    <n v="86562"/>
    <n v="175247"/>
    <n v="18049"/>
    <n v="14484"/>
    <n v="11245"/>
    <n v="9082"/>
    <n v="6466"/>
    <n v="6053"/>
    <n v="5484"/>
    <n v="4295"/>
    <n v="3599"/>
    <n v="2456"/>
    <n v="2312"/>
    <n v="1520"/>
    <n v="1351"/>
    <n v="755"/>
    <n v="757"/>
    <n v="409"/>
    <n v="368"/>
    <n v="17151"/>
    <n v="13953"/>
    <n v="10445"/>
    <n v="9066"/>
    <n v="7466"/>
    <n v="6374"/>
    <n v="5016"/>
    <n v="3756"/>
    <n v="3568"/>
    <n v="2310"/>
    <n v="2301"/>
    <n v="1331"/>
    <n v="1364"/>
    <n v="744"/>
    <n v="934"/>
    <n v="396"/>
    <n v="387"/>
    <n v="35200"/>
    <n v="28437"/>
    <n v="21690"/>
    <n v="18148"/>
    <n v="13932"/>
    <n v="12427"/>
    <n v="10500"/>
    <n v="8051"/>
    <n v="7167"/>
    <n v="4766"/>
    <n v="4613"/>
    <n v="2851"/>
    <n v="2715"/>
    <n v="1499"/>
    <n v="1691"/>
    <n v="805"/>
    <n v="755"/>
  </r>
  <r>
    <s v="NGA"/>
    <x v="0"/>
    <m/>
    <x v="21"/>
    <m/>
    <s v="GWANDU"/>
    <m/>
    <n v="91647"/>
    <n v="93555"/>
    <n v="185202"/>
    <n v="19069"/>
    <n v="15296"/>
    <n v="11001"/>
    <n v="8386"/>
    <n v="5664"/>
    <n v="5790"/>
    <n v="5473"/>
    <n v="4692"/>
    <n v="4171"/>
    <n v="2789"/>
    <n v="2738"/>
    <n v="2089"/>
    <n v="1778"/>
    <n v="1109"/>
    <n v="866"/>
    <n v="463"/>
    <n v="273"/>
    <n v="18105"/>
    <n v="15359"/>
    <n v="11634"/>
    <n v="9523"/>
    <n v="7556"/>
    <n v="6596"/>
    <n v="5646"/>
    <n v="4080"/>
    <n v="4261"/>
    <n v="2297"/>
    <n v="2514"/>
    <n v="1537"/>
    <n v="1671"/>
    <n v="951"/>
    <n v="1042"/>
    <n v="463"/>
    <n v="320"/>
    <n v="37174"/>
    <n v="30655"/>
    <n v="22635"/>
    <n v="17909"/>
    <n v="13220"/>
    <n v="12386"/>
    <n v="11119"/>
    <n v="8772"/>
    <n v="8432"/>
    <n v="5086"/>
    <n v="5252"/>
    <n v="3626"/>
    <n v="3449"/>
    <n v="2060"/>
    <n v="1908"/>
    <n v="926"/>
    <n v="593"/>
  </r>
  <r>
    <s v="NGA"/>
    <x v="0"/>
    <m/>
    <x v="21"/>
    <m/>
    <s v="JEGA"/>
    <m/>
    <n v="142586"/>
    <n v="140688"/>
    <n v="283274"/>
    <n v="27974"/>
    <n v="24700"/>
    <n v="18482"/>
    <n v="14483"/>
    <n v="10188"/>
    <n v="9222"/>
    <n v="8372"/>
    <n v="6973"/>
    <n v="6077"/>
    <n v="4176"/>
    <n v="3792"/>
    <n v="2690"/>
    <n v="2326"/>
    <n v="1293"/>
    <n v="1051"/>
    <n v="462"/>
    <n v="325"/>
    <n v="26286"/>
    <n v="24262"/>
    <n v="17360"/>
    <n v="14030"/>
    <n v="12273"/>
    <n v="10779"/>
    <n v="8910"/>
    <n v="6587"/>
    <n v="5913"/>
    <n v="3181"/>
    <n v="3587"/>
    <n v="1911"/>
    <n v="2333"/>
    <n v="1157"/>
    <n v="1289"/>
    <n v="436"/>
    <n v="394"/>
    <n v="54260"/>
    <n v="48962"/>
    <n v="35842"/>
    <n v="28513"/>
    <n v="22461"/>
    <n v="20001"/>
    <n v="17282"/>
    <n v="13560"/>
    <n v="11990"/>
    <n v="7357"/>
    <n v="7379"/>
    <n v="4601"/>
    <n v="4659"/>
    <n v="2450"/>
    <n v="2340"/>
    <n v="898"/>
    <n v="719"/>
  </r>
  <r>
    <s v="NGA"/>
    <x v="0"/>
    <m/>
    <x v="21"/>
    <m/>
    <s v="KALGO"/>
    <m/>
    <n v="60482"/>
    <n v="60414"/>
    <n v="120896"/>
    <n v="12474"/>
    <n v="10515"/>
    <n v="7578"/>
    <n v="5700"/>
    <n v="3758"/>
    <n v="3985"/>
    <n v="3430"/>
    <n v="3186"/>
    <n v="2598"/>
    <n v="1803"/>
    <n v="1638"/>
    <n v="1261"/>
    <n v="1092"/>
    <n v="602"/>
    <n v="463"/>
    <n v="258"/>
    <n v="141"/>
    <n v="11680"/>
    <n v="10358"/>
    <n v="7119"/>
    <n v="5664"/>
    <n v="5185"/>
    <n v="4707"/>
    <n v="3822"/>
    <n v="2872"/>
    <n v="2548"/>
    <n v="1403"/>
    <n v="1629"/>
    <n v="931"/>
    <n v="957"/>
    <n v="590"/>
    <n v="531"/>
    <n v="249"/>
    <n v="169"/>
    <n v="24154"/>
    <n v="20873"/>
    <n v="14697"/>
    <n v="11364"/>
    <n v="8943"/>
    <n v="8692"/>
    <n v="7252"/>
    <n v="6058"/>
    <n v="5146"/>
    <n v="3206"/>
    <n v="3267"/>
    <n v="2192"/>
    <n v="2049"/>
    <n v="1192"/>
    <n v="994"/>
    <n v="507"/>
    <n v="310"/>
  </r>
  <r>
    <s v="NGA"/>
    <x v="0"/>
    <m/>
    <x v="21"/>
    <m/>
    <s v="KOKO/BESSE"/>
    <m/>
    <n v="99311"/>
    <n v="95632"/>
    <n v="194943"/>
    <n v="20028"/>
    <n v="16829"/>
    <n v="12647"/>
    <n v="10113"/>
    <n v="6812"/>
    <n v="6536"/>
    <n v="6178"/>
    <n v="4942"/>
    <n v="4240"/>
    <n v="2682"/>
    <n v="2646"/>
    <n v="1703"/>
    <n v="1634"/>
    <n v="888"/>
    <n v="853"/>
    <n v="334"/>
    <n v="246"/>
    <n v="18733"/>
    <n v="16379"/>
    <n v="11325"/>
    <n v="9646"/>
    <n v="8796"/>
    <n v="7166"/>
    <n v="5780"/>
    <n v="4160"/>
    <n v="3884"/>
    <n v="2170"/>
    <n v="2368"/>
    <n v="1259"/>
    <n v="1693"/>
    <n v="829"/>
    <n v="845"/>
    <n v="315"/>
    <n v="284"/>
    <n v="38761"/>
    <n v="33208"/>
    <n v="23972"/>
    <n v="19759"/>
    <n v="15608"/>
    <n v="13702"/>
    <n v="11958"/>
    <n v="9102"/>
    <n v="8124"/>
    <n v="4852"/>
    <n v="5014"/>
    <n v="2962"/>
    <n v="3327"/>
    <n v="1717"/>
    <n v="1698"/>
    <n v="649"/>
    <n v="530"/>
  </r>
  <r>
    <s v="NGA"/>
    <x v="0"/>
    <m/>
    <x v="21"/>
    <m/>
    <s v="MAIYAMA"/>
    <m/>
    <n v="115373"/>
    <n v="117331"/>
    <n v="232704"/>
    <n v="25718"/>
    <n v="20856"/>
    <n v="13675"/>
    <n v="10277"/>
    <n v="6847"/>
    <n v="6707"/>
    <n v="6968"/>
    <n v="5729"/>
    <n v="5062"/>
    <n v="3456"/>
    <n v="3227"/>
    <n v="2045"/>
    <n v="2068"/>
    <n v="1038"/>
    <n v="958"/>
    <n v="455"/>
    <n v="287"/>
    <n v="23805"/>
    <n v="20580"/>
    <n v="13507"/>
    <n v="10664"/>
    <n v="9907"/>
    <n v="8990"/>
    <n v="7624"/>
    <n v="5493"/>
    <n v="4883"/>
    <n v="2635"/>
    <n v="2894"/>
    <n v="1738"/>
    <n v="2046"/>
    <n v="878"/>
    <n v="1008"/>
    <n v="351"/>
    <n v="328"/>
    <n v="49523"/>
    <n v="41436"/>
    <n v="27182"/>
    <n v="20941"/>
    <n v="16754"/>
    <n v="15697"/>
    <n v="14592"/>
    <n v="11222"/>
    <n v="9945"/>
    <n v="6091"/>
    <n v="6121"/>
    <n v="3783"/>
    <n v="4114"/>
    <n v="1916"/>
    <n v="1966"/>
    <n v="806"/>
    <n v="615"/>
  </r>
  <r>
    <s v="NGA"/>
    <x v="0"/>
    <m/>
    <x v="21"/>
    <m/>
    <s v="NGASKI"/>
    <m/>
    <n v="100145"/>
    <n v="101178"/>
    <n v="201323"/>
    <n v="20440"/>
    <n v="16795"/>
    <n v="12052"/>
    <n v="10080"/>
    <n v="7238"/>
    <n v="6885"/>
    <n v="6149"/>
    <n v="4976"/>
    <n v="4190"/>
    <n v="2740"/>
    <n v="2625"/>
    <n v="1728"/>
    <n v="1660"/>
    <n v="837"/>
    <n v="884"/>
    <n v="471"/>
    <n v="395"/>
    <n v="20285"/>
    <n v="17081"/>
    <n v="11744"/>
    <n v="10622"/>
    <n v="9001"/>
    <n v="7548"/>
    <n v="5915"/>
    <n v="4339"/>
    <n v="4077"/>
    <n v="2350"/>
    <n v="2525"/>
    <n v="1367"/>
    <n v="1593"/>
    <n v="886"/>
    <n v="993"/>
    <n v="452"/>
    <n v="400"/>
    <n v="40725"/>
    <n v="33876"/>
    <n v="23796"/>
    <n v="20702"/>
    <n v="16239"/>
    <n v="14433"/>
    <n v="12064"/>
    <n v="9315"/>
    <n v="8267"/>
    <n v="5090"/>
    <n v="5150"/>
    <n v="3095"/>
    <n v="3253"/>
    <n v="1723"/>
    <n v="1877"/>
    <n v="923"/>
    <n v="795"/>
  </r>
  <r>
    <s v="NGA"/>
    <x v="0"/>
    <m/>
    <x v="21"/>
    <m/>
    <s v="SAKABA"/>
    <m/>
    <n v="76717"/>
    <n v="75224"/>
    <n v="151941"/>
    <n v="15303"/>
    <n v="12613"/>
    <n v="9832"/>
    <n v="7519"/>
    <n v="5545"/>
    <n v="5174"/>
    <n v="4934"/>
    <n v="3910"/>
    <n v="3191"/>
    <n v="2140"/>
    <n v="1981"/>
    <n v="1232"/>
    <n v="1229"/>
    <n v="722"/>
    <n v="776"/>
    <n v="331"/>
    <n v="285"/>
    <n v="14922"/>
    <n v="12230"/>
    <n v="9557"/>
    <n v="7854"/>
    <n v="6464"/>
    <n v="5283"/>
    <n v="4276"/>
    <n v="3342"/>
    <n v="3066"/>
    <n v="1802"/>
    <n v="1888"/>
    <n v="1193"/>
    <n v="1195"/>
    <n v="639"/>
    <n v="806"/>
    <n v="358"/>
    <n v="349"/>
    <n v="30225"/>
    <n v="24843"/>
    <n v="19389"/>
    <n v="15373"/>
    <n v="12009"/>
    <n v="10457"/>
    <n v="9210"/>
    <n v="7252"/>
    <n v="6257"/>
    <n v="3942"/>
    <n v="3869"/>
    <n v="2425"/>
    <n v="2424"/>
    <n v="1361"/>
    <n v="1582"/>
    <n v="689"/>
    <n v="634"/>
  </r>
  <r>
    <s v="NGA"/>
    <x v="0"/>
    <m/>
    <x v="21"/>
    <m/>
    <s v="SHANGA"/>
    <m/>
    <n v="84082"/>
    <n v="83708"/>
    <n v="167790"/>
    <n v="17071"/>
    <n v="13901"/>
    <n v="9843"/>
    <n v="7974"/>
    <n v="5777"/>
    <n v="5867"/>
    <n v="5580"/>
    <n v="4376"/>
    <n v="3706"/>
    <n v="2504"/>
    <n v="2357"/>
    <n v="1333"/>
    <n v="1433"/>
    <n v="762"/>
    <n v="889"/>
    <n v="362"/>
    <n v="347"/>
    <n v="16058"/>
    <n v="13403"/>
    <n v="9720"/>
    <n v="8781"/>
    <n v="7769"/>
    <n v="6425"/>
    <n v="5294"/>
    <n v="3748"/>
    <n v="3440"/>
    <n v="1953"/>
    <n v="2255"/>
    <n v="1109"/>
    <n v="1456"/>
    <n v="841"/>
    <n v="782"/>
    <n v="329"/>
    <n v="345"/>
    <n v="33129"/>
    <n v="27304"/>
    <n v="19563"/>
    <n v="16755"/>
    <n v="13546"/>
    <n v="12292"/>
    <n v="10874"/>
    <n v="8124"/>
    <n v="7146"/>
    <n v="4457"/>
    <n v="4612"/>
    <n v="2442"/>
    <n v="2889"/>
    <n v="1603"/>
    <n v="1671"/>
    <n v="691"/>
    <n v="692"/>
  </r>
  <r>
    <s v="NGA"/>
    <x v="0"/>
    <m/>
    <x v="21"/>
    <m/>
    <s v="SURU"/>
    <m/>
    <n v="81033"/>
    <n v="83295"/>
    <n v="164328"/>
    <n v="16437"/>
    <n v="13602"/>
    <n v="9804"/>
    <n v="7620"/>
    <n v="5262"/>
    <n v="5391"/>
    <n v="5143"/>
    <n v="4237"/>
    <n v="3555"/>
    <n v="2367"/>
    <n v="2317"/>
    <n v="1580"/>
    <n v="1605"/>
    <n v="805"/>
    <n v="768"/>
    <n v="328"/>
    <n v="212"/>
    <n v="15621"/>
    <n v="13766"/>
    <n v="10012"/>
    <n v="8055"/>
    <n v="7291"/>
    <n v="6201"/>
    <n v="5339"/>
    <n v="3825"/>
    <n v="3725"/>
    <n v="2193"/>
    <n v="2411"/>
    <n v="1237"/>
    <n v="1505"/>
    <n v="675"/>
    <n v="869"/>
    <n v="310"/>
    <n v="260"/>
    <n v="32058"/>
    <n v="27368"/>
    <n v="19816"/>
    <n v="15675"/>
    <n v="12553"/>
    <n v="11592"/>
    <n v="10482"/>
    <n v="8062"/>
    <n v="7280"/>
    <n v="4560"/>
    <n v="4728"/>
    <n v="2817"/>
    <n v="3110"/>
    <n v="1480"/>
    <n v="1637"/>
    <n v="638"/>
    <n v="472"/>
  </r>
  <r>
    <s v="NGA"/>
    <x v="0"/>
    <m/>
    <x v="21"/>
    <m/>
    <s v="WASAGU/DANKO"/>
    <m/>
    <n v="203234"/>
    <n v="206075"/>
    <n v="409309"/>
    <n v="42324"/>
    <n v="34122"/>
    <n v="24198"/>
    <n v="18796"/>
    <n v="13885"/>
    <n v="14127"/>
    <n v="13264"/>
    <n v="10398"/>
    <n v="8470"/>
    <n v="5519"/>
    <n v="5257"/>
    <n v="3519"/>
    <n v="3395"/>
    <n v="2029"/>
    <n v="1995"/>
    <n v="1095"/>
    <n v="841"/>
    <n v="41543"/>
    <n v="34252"/>
    <n v="24277"/>
    <n v="22132"/>
    <n v="18705"/>
    <n v="14584"/>
    <n v="11606"/>
    <n v="8343"/>
    <n v="7925"/>
    <n v="4614"/>
    <n v="5183"/>
    <n v="3188"/>
    <n v="3662"/>
    <n v="1937"/>
    <n v="2323"/>
    <n v="920"/>
    <n v="881"/>
    <n v="83867"/>
    <n v="68374"/>
    <n v="48475"/>
    <n v="40928"/>
    <n v="32590"/>
    <n v="28711"/>
    <n v="24870"/>
    <n v="18741"/>
    <n v="16395"/>
    <n v="10133"/>
    <n v="10440"/>
    <n v="6707"/>
    <n v="7057"/>
    <n v="3966"/>
    <n v="4318"/>
    <n v="2015"/>
    <n v="1722"/>
  </r>
  <r>
    <s v="NGA"/>
    <x v="0"/>
    <m/>
    <x v="21"/>
    <m/>
    <s v="YAURI"/>
    <m/>
    <n v="70558"/>
    <n v="62156"/>
    <n v="132714"/>
    <n v="13054"/>
    <n v="10163"/>
    <n v="8995"/>
    <n v="8076"/>
    <n v="5998"/>
    <n v="5630"/>
    <n v="4528"/>
    <n v="3848"/>
    <n v="2812"/>
    <n v="2034"/>
    <n v="1560"/>
    <n v="1332"/>
    <n v="882"/>
    <n v="620"/>
    <n v="513"/>
    <n v="273"/>
    <n v="240"/>
    <n v="12232"/>
    <n v="9922"/>
    <n v="7166"/>
    <n v="6418"/>
    <n v="5786"/>
    <n v="5169"/>
    <n v="3658"/>
    <n v="2852"/>
    <n v="2425"/>
    <n v="1489"/>
    <n v="1541"/>
    <n v="906"/>
    <n v="896"/>
    <n v="492"/>
    <n v="692"/>
    <n v="236"/>
    <n v="276"/>
    <n v="25286"/>
    <n v="20085"/>
    <n v="16161"/>
    <n v="14494"/>
    <n v="11784"/>
    <n v="10799"/>
    <n v="8186"/>
    <n v="6700"/>
    <n v="5237"/>
    <n v="3523"/>
    <n v="3101"/>
    <n v="2238"/>
    <n v="1778"/>
    <n v="1112"/>
    <n v="1205"/>
    <n v="509"/>
    <n v="516"/>
  </r>
  <r>
    <s v="NGA"/>
    <x v="0"/>
    <m/>
    <x v="21"/>
    <m/>
    <s v="ZURU"/>
    <m/>
    <n v="126117"/>
    <n v="115799"/>
    <n v="241916"/>
    <n v="26589"/>
    <n v="19059"/>
    <n v="16123"/>
    <n v="13192"/>
    <n v="9576"/>
    <n v="8429"/>
    <n v="7018"/>
    <n v="6155"/>
    <n v="4685"/>
    <n v="3587"/>
    <n v="3107"/>
    <n v="2862"/>
    <n v="2066"/>
    <n v="1364"/>
    <n v="1142"/>
    <n v="582"/>
    <n v="581"/>
    <n v="21235"/>
    <n v="18026"/>
    <n v="14859"/>
    <n v="11864"/>
    <n v="9236"/>
    <n v="7855"/>
    <n v="6126"/>
    <n v="5342"/>
    <n v="4931"/>
    <n v="3625"/>
    <n v="3462"/>
    <n v="2667"/>
    <n v="2103"/>
    <n v="1569"/>
    <n v="1457"/>
    <n v="765"/>
    <n v="677"/>
    <n v="47824"/>
    <n v="37085"/>
    <n v="30982"/>
    <n v="25056"/>
    <n v="18812"/>
    <n v="16284"/>
    <n v="13144"/>
    <n v="11497"/>
    <n v="9616"/>
    <n v="7212"/>
    <n v="6569"/>
    <n v="5529"/>
    <n v="4169"/>
    <n v="2933"/>
    <n v="2599"/>
    <n v="1347"/>
    <n v="1258"/>
  </r>
  <r>
    <s v="NGA"/>
    <x v="0"/>
    <m/>
    <x v="22"/>
    <m/>
    <s v="ADAVI"/>
    <m/>
    <n v="131693"/>
    <n v="130148"/>
    <n v="261841"/>
    <n v="25612"/>
    <n v="19766"/>
    <n v="16754"/>
    <n v="14323"/>
    <n v="10533"/>
    <n v="8628"/>
    <n v="7783"/>
    <n v="6921"/>
    <n v="5617"/>
    <n v="4562"/>
    <n v="3515"/>
    <n v="2159"/>
    <n v="2061"/>
    <n v="1605"/>
    <n v="854"/>
    <n v="706"/>
    <n v="294"/>
    <n v="24989"/>
    <n v="19134"/>
    <n v="16038"/>
    <n v="13647"/>
    <n v="10707"/>
    <n v="9549"/>
    <n v="8233"/>
    <n v="6737"/>
    <n v="5452"/>
    <n v="4113"/>
    <n v="3257"/>
    <n v="2386"/>
    <n v="2121"/>
    <n v="1895"/>
    <n v="874"/>
    <n v="613"/>
    <n v="403"/>
    <n v="50601"/>
    <n v="38900"/>
    <n v="32792"/>
    <n v="27970"/>
    <n v="21240"/>
    <n v="18177"/>
    <n v="16016"/>
    <n v="13658"/>
    <n v="11069"/>
    <n v="8675"/>
    <n v="6772"/>
    <n v="4545"/>
    <n v="4182"/>
    <n v="3500"/>
    <n v="1728"/>
    <n v="1319"/>
    <n v="697"/>
  </r>
  <r>
    <s v="NGA"/>
    <x v="0"/>
    <m/>
    <x v="22"/>
    <m/>
    <s v="AJAOKUTA"/>
    <m/>
    <n v="69080"/>
    <n v="64426"/>
    <n v="133506"/>
    <n v="12176"/>
    <n v="9902"/>
    <n v="8768"/>
    <n v="7574"/>
    <n v="5654"/>
    <n v="4770"/>
    <n v="4260"/>
    <n v="3855"/>
    <n v="3428"/>
    <n v="2904"/>
    <n v="1920"/>
    <n v="1451"/>
    <n v="983"/>
    <n v="662"/>
    <n v="366"/>
    <n v="255"/>
    <n v="152"/>
    <n v="11287"/>
    <n v="9478"/>
    <n v="8276"/>
    <n v="7017"/>
    <n v="5514"/>
    <n v="4934"/>
    <n v="4204"/>
    <n v="3770"/>
    <n v="2934"/>
    <n v="2131"/>
    <n v="1535"/>
    <n v="1126"/>
    <n v="895"/>
    <n v="594"/>
    <n v="359"/>
    <n v="221"/>
    <n v="151"/>
    <n v="23463"/>
    <n v="19380"/>
    <n v="17044"/>
    <n v="14591"/>
    <n v="11168"/>
    <n v="9704"/>
    <n v="8464"/>
    <n v="7625"/>
    <n v="6362"/>
    <n v="5035"/>
    <n v="3455"/>
    <n v="2577"/>
    <n v="1878"/>
    <n v="1256"/>
    <n v="725"/>
    <n v="476"/>
    <n v="303"/>
  </r>
  <r>
    <s v="NGA"/>
    <x v="0"/>
    <m/>
    <x v="22"/>
    <m/>
    <s v="ANKPA"/>
    <m/>
    <n v="177591"/>
    <n v="175324"/>
    <n v="352915"/>
    <n v="34567"/>
    <n v="26727"/>
    <n v="22610"/>
    <n v="19220"/>
    <n v="14482"/>
    <n v="11952"/>
    <n v="10646"/>
    <n v="9185"/>
    <n v="7576"/>
    <n v="5781"/>
    <n v="4790"/>
    <n v="2836"/>
    <n v="2822"/>
    <n v="1709"/>
    <n v="1250"/>
    <n v="794"/>
    <n v="644"/>
    <n v="33015"/>
    <n v="25509"/>
    <n v="21273"/>
    <n v="18783"/>
    <n v="14761"/>
    <n v="13004"/>
    <n v="10809"/>
    <n v="9054"/>
    <n v="7579"/>
    <n v="5522"/>
    <n v="4688"/>
    <n v="3119"/>
    <n v="3283"/>
    <n v="2081"/>
    <n v="1345"/>
    <n v="865"/>
    <n v="634"/>
    <n v="67582"/>
    <n v="52236"/>
    <n v="43883"/>
    <n v="38003"/>
    <n v="29243"/>
    <n v="24956"/>
    <n v="21455"/>
    <n v="18239"/>
    <n v="15155"/>
    <n v="11303"/>
    <n v="9478"/>
    <n v="5955"/>
    <n v="6105"/>
    <n v="3790"/>
    <n v="2595"/>
    <n v="1659"/>
    <n v="1278"/>
  </r>
  <r>
    <s v="NGA"/>
    <x v="0"/>
    <m/>
    <x v="22"/>
    <m/>
    <s v="BASSA"/>
    <m/>
    <n v="96636"/>
    <n v="95506"/>
    <n v="192142"/>
    <n v="18244"/>
    <n v="14389"/>
    <n v="12185"/>
    <n v="10304"/>
    <n v="7687"/>
    <n v="6517"/>
    <n v="5863"/>
    <n v="5085"/>
    <n v="4213"/>
    <n v="3311"/>
    <n v="2701"/>
    <n v="1763"/>
    <n v="1571"/>
    <n v="1061"/>
    <n v="826"/>
    <n v="547"/>
    <n v="369"/>
    <n v="17547"/>
    <n v="13772"/>
    <n v="11419"/>
    <n v="9980"/>
    <n v="8042"/>
    <n v="7011"/>
    <n v="5919"/>
    <n v="4932"/>
    <n v="4128"/>
    <n v="3136"/>
    <n v="2581"/>
    <n v="2016"/>
    <n v="1651"/>
    <n v="1604"/>
    <n v="826"/>
    <n v="616"/>
    <n v="326"/>
    <n v="35791"/>
    <n v="28161"/>
    <n v="23604"/>
    <n v="20284"/>
    <n v="15729"/>
    <n v="13528"/>
    <n v="11782"/>
    <n v="10017"/>
    <n v="8341"/>
    <n v="6447"/>
    <n v="5282"/>
    <n v="3779"/>
    <n v="3222"/>
    <n v="2665"/>
    <n v="1652"/>
    <n v="1163"/>
    <n v="695"/>
  </r>
  <r>
    <s v="NGA"/>
    <x v="0"/>
    <m/>
    <x v="22"/>
    <m/>
    <s v="DEKINA"/>
    <m/>
    <n v="168377"/>
    <n v="166024"/>
    <n v="334401"/>
    <n v="31348"/>
    <n v="25458"/>
    <n v="21795"/>
    <n v="18704"/>
    <n v="14156"/>
    <n v="11699"/>
    <n v="10151"/>
    <n v="8618"/>
    <n v="7063"/>
    <n v="5313"/>
    <n v="4743"/>
    <n v="2368"/>
    <n v="2627"/>
    <n v="1406"/>
    <n v="1435"/>
    <n v="655"/>
    <n v="838"/>
    <n v="29804"/>
    <n v="24077"/>
    <n v="20540"/>
    <n v="17631"/>
    <n v="14453"/>
    <n v="12017"/>
    <n v="10213"/>
    <n v="8241"/>
    <n v="7407"/>
    <n v="5338"/>
    <n v="4993"/>
    <n v="2718"/>
    <n v="3042"/>
    <n v="1965"/>
    <n v="1873"/>
    <n v="875"/>
    <n v="837"/>
    <n v="61152"/>
    <n v="49535"/>
    <n v="42335"/>
    <n v="36335"/>
    <n v="28609"/>
    <n v="23716"/>
    <n v="20364"/>
    <n v="16859"/>
    <n v="14470"/>
    <n v="10651"/>
    <n v="9736"/>
    <n v="5086"/>
    <n v="5669"/>
    <n v="3371"/>
    <n v="3308"/>
    <n v="1530"/>
    <n v="1675"/>
  </r>
  <r>
    <s v="NGA"/>
    <x v="0"/>
    <m/>
    <x v="22"/>
    <m/>
    <s v="IBAJI"/>
    <m/>
    <n v="88735"/>
    <n v="86598"/>
    <n v="175333"/>
    <n v="17339"/>
    <n v="13592"/>
    <n v="11267"/>
    <n v="9338"/>
    <n v="6926"/>
    <n v="5875"/>
    <n v="5282"/>
    <n v="4475"/>
    <n v="3986"/>
    <n v="2846"/>
    <n v="2518"/>
    <n v="1350"/>
    <n v="1644"/>
    <n v="1013"/>
    <n v="554"/>
    <n v="557"/>
    <n v="173"/>
    <n v="16481"/>
    <n v="12897"/>
    <n v="10731"/>
    <n v="8930"/>
    <n v="7040"/>
    <n v="6285"/>
    <n v="5404"/>
    <n v="4444"/>
    <n v="3678"/>
    <n v="2730"/>
    <n v="2364"/>
    <n v="1503"/>
    <n v="1694"/>
    <n v="1005"/>
    <n v="785"/>
    <n v="446"/>
    <n v="181"/>
    <n v="33820"/>
    <n v="26489"/>
    <n v="21998"/>
    <n v="18268"/>
    <n v="13966"/>
    <n v="12160"/>
    <n v="10686"/>
    <n v="8919"/>
    <n v="7664"/>
    <n v="5576"/>
    <n v="4882"/>
    <n v="2853"/>
    <n v="3338"/>
    <n v="2018"/>
    <n v="1339"/>
    <n v="1003"/>
    <n v="354"/>
  </r>
  <r>
    <s v="NGA"/>
    <x v="0"/>
    <m/>
    <x v="22"/>
    <m/>
    <s v="IDAH"/>
    <m/>
    <n v="55310"/>
    <n v="54299"/>
    <n v="109609"/>
    <n v="9592"/>
    <n v="8073"/>
    <n v="6965"/>
    <n v="6448"/>
    <n v="4897"/>
    <n v="4175"/>
    <n v="3380"/>
    <n v="2927"/>
    <n v="2349"/>
    <n v="1893"/>
    <n v="1386"/>
    <n v="979"/>
    <n v="774"/>
    <n v="602"/>
    <n v="427"/>
    <n v="248"/>
    <n v="195"/>
    <n v="9095"/>
    <n v="7751"/>
    <n v="6884"/>
    <n v="6147"/>
    <n v="5018"/>
    <n v="4015"/>
    <n v="3338"/>
    <n v="2685"/>
    <n v="2375"/>
    <n v="1806"/>
    <n v="1432"/>
    <n v="1057"/>
    <n v="800"/>
    <n v="755"/>
    <n v="543"/>
    <n v="344"/>
    <n v="254"/>
    <n v="18687"/>
    <n v="15824"/>
    <n v="13849"/>
    <n v="12595"/>
    <n v="9915"/>
    <n v="8190"/>
    <n v="6718"/>
    <n v="5612"/>
    <n v="4724"/>
    <n v="3699"/>
    <n v="2818"/>
    <n v="2036"/>
    <n v="1574"/>
    <n v="1357"/>
    <n v="970"/>
    <n v="592"/>
    <n v="449"/>
  </r>
  <r>
    <s v="NGA"/>
    <x v="0"/>
    <m/>
    <x v="22"/>
    <m/>
    <s v="IGALAMELA/ODOLU"/>
    <m/>
    <n v="102681"/>
    <n v="99421"/>
    <n v="202102"/>
    <n v="17823"/>
    <n v="14415"/>
    <n v="13242"/>
    <n v="11817"/>
    <n v="9298"/>
    <n v="7353"/>
    <n v="6305"/>
    <n v="5192"/>
    <n v="4504"/>
    <n v="3460"/>
    <n v="2838"/>
    <n v="1885"/>
    <n v="1642"/>
    <n v="1175"/>
    <n v="922"/>
    <n v="459"/>
    <n v="351"/>
    <n v="16973"/>
    <n v="13682"/>
    <n v="12289"/>
    <n v="11100"/>
    <n v="9264"/>
    <n v="7495"/>
    <n v="6186"/>
    <n v="5211"/>
    <n v="4546"/>
    <n v="3269"/>
    <n v="2848"/>
    <n v="1882"/>
    <n v="1851"/>
    <n v="1199"/>
    <n v="836"/>
    <n v="444"/>
    <n v="346"/>
    <n v="34796"/>
    <n v="28097"/>
    <n v="25531"/>
    <n v="22917"/>
    <n v="18562"/>
    <n v="14848"/>
    <n v="12491"/>
    <n v="10403"/>
    <n v="9050"/>
    <n v="6729"/>
    <n v="5686"/>
    <n v="3767"/>
    <n v="3493"/>
    <n v="2374"/>
    <n v="1758"/>
    <n v="903"/>
    <n v="697"/>
  </r>
  <r>
    <s v="NGA"/>
    <x v="0"/>
    <m/>
    <x v="22"/>
    <m/>
    <s v="IJUMU"/>
    <m/>
    <n v="92645"/>
    <n v="91306"/>
    <n v="183951"/>
    <n v="17821"/>
    <n v="13673"/>
    <n v="11506"/>
    <n v="9964"/>
    <n v="7626"/>
    <n v="6354"/>
    <n v="5097"/>
    <n v="4883"/>
    <n v="3952"/>
    <n v="3122"/>
    <n v="2436"/>
    <n v="1888"/>
    <n v="1592"/>
    <n v="1337"/>
    <n v="694"/>
    <n v="474"/>
    <n v="226"/>
    <n v="17274"/>
    <n v="13071"/>
    <n v="10995"/>
    <n v="9558"/>
    <n v="7637"/>
    <n v="6721"/>
    <n v="5582"/>
    <n v="4577"/>
    <n v="3803"/>
    <n v="2968"/>
    <n v="2381"/>
    <n v="2170"/>
    <n v="1456"/>
    <n v="1317"/>
    <n v="832"/>
    <n v="594"/>
    <n v="370"/>
    <n v="35095"/>
    <n v="26744"/>
    <n v="22501"/>
    <n v="19522"/>
    <n v="15263"/>
    <n v="13075"/>
    <n v="10679"/>
    <n v="9460"/>
    <n v="7755"/>
    <n v="6090"/>
    <n v="4817"/>
    <n v="4058"/>
    <n v="3048"/>
    <n v="2654"/>
    <n v="1526"/>
    <n v="1068"/>
    <n v="596"/>
  </r>
  <r>
    <s v="NGA"/>
    <x v="0"/>
    <m/>
    <x v="22"/>
    <m/>
    <s v="KABBA BUNU"/>
    <m/>
    <n v="115097"/>
    <n v="113691"/>
    <n v="228788"/>
    <n v="21283"/>
    <n v="16620"/>
    <n v="14412"/>
    <n v="12480"/>
    <n v="9482"/>
    <n v="8216"/>
    <n v="7121"/>
    <n v="6075"/>
    <n v="5003"/>
    <n v="4087"/>
    <n v="3044"/>
    <n v="2295"/>
    <n v="1877"/>
    <n v="1403"/>
    <n v="949"/>
    <n v="454"/>
    <n v="296"/>
    <n v="20437"/>
    <n v="16151"/>
    <n v="14851"/>
    <n v="12580"/>
    <n v="9379"/>
    <n v="8252"/>
    <n v="6928"/>
    <n v="5785"/>
    <n v="4718"/>
    <n v="3729"/>
    <n v="2992"/>
    <n v="2381"/>
    <n v="1840"/>
    <n v="1632"/>
    <n v="1045"/>
    <n v="643"/>
    <n v="348"/>
    <n v="41720"/>
    <n v="32771"/>
    <n v="29263"/>
    <n v="25060"/>
    <n v="18861"/>
    <n v="16468"/>
    <n v="14049"/>
    <n v="11860"/>
    <n v="9721"/>
    <n v="7816"/>
    <n v="6036"/>
    <n v="4676"/>
    <n v="3717"/>
    <n v="3035"/>
    <n v="1994"/>
    <n v="1097"/>
    <n v="644"/>
  </r>
  <r>
    <s v="NGA"/>
    <x v="0"/>
    <m/>
    <x v="22"/>
    <m/>
    <s v="KOGI"/>
    <m/>
    <n v="71849"/>
    <n v="68165"/>
    <n v="140014"/>
    <n v="13898"/>
    <n v="10869"/>
    <n v="9090"/>
    <n v="7691"/>
    <n v="5655"/>
    <n v="4859"/>
    <n v="4430"/>
    <n v="3733"/>
    <n v="3156"/>
    <n v="2418"/>
    <n v="1975"/>
    <n v="1095"/>
    <n v="1016"/>
    <n v="767"/>
    <n v="550"/>
    <n v="430"/>
    <n v="217"/>
    <n v="13039"/>
    <n v="10039"/>
    <n v="8235"/>
    <n v="7018"/>
    <n v="5846"/>
    <n v="5128"/>
    <n v="4385"/>
    <n v="3533"/>
    <n v="2894"/>
    <n v="2051"/>
    <n v="1699"/>
    <n v="1307"/>
    <n v="1211"/>
    <n v="634"/>
    <n v="504"/>
    <n v="406"/>
    <n v="236"/>
    <n v="26937"/>
    <n v="20908"/>
    <n v="17325"/>
    <n v="14709"/>
    <n v="11501"/>
    <n v="9987"/>
    <n v="8815"/>
    <n v="7266"/>
    <n v="6050"/>
    <n v="4469"/>
    <n v="3674"/>
    <n v="2402"/>
    <n v="2227"/>
    <n v="1401"/>
    <n v="1054"/>
    <n v="836"/>
    <n v="453"/>
  </r>
  <r>
    <s v="NGA"/>
    <x v="0"/>
    <m/>
    <x v="22"/>
    <m/>
    <s v="LOKOJA"/>
    <m/>
    <n v="344378"/>
    <n v="320601"/>
    <n v="664979"/>
    <n v="54762"/>
    <n v="45345"/>
    <n v="40198"/>
    <n v="36902"/>
    <n v="33819"/>
    <n v="29573"/>
    <n v="24341"/>
    <n v="20523"/>
    <n v="15972"/>
    <n v="13628"/>
    <n v="9272"/>
    <n v="7220"/>
    <n v="4590"/>
    <n v="3809"/>
    <n v="2247"/>
    <n v="1386"/>
    <n v="791"/>
    <n v="51613"/>
    <n v="43603"/>
    <n v="39255"/>
    <n v="35845"/>
    <n v="30732"/>
    <n v="26707"/>
    <n v="21293"/>
    <n v="18111"/>
    <n v="14235"/>
    <n v="11323"/>
    <n v="7843"/>
    <n v="6879"/>
    <n v="4913"/>
    <n v="3463"/>
    <n v="2262"/>
    <n v="1439"/>
    <n v="1085"/>
    <n v="106375"/>
    <n v="88948"/>
    <n v="79453"/>
    <n v="72747"/>
    <n v="64551"/>
    <n v="56280"/>
    <n v="45634"/>
    <n v="38634"/>
    <n v="30207"/>
    <n v="24951"/>
    <n v="17115"/>
    <n v="14099"/>
    <n v="9503"/>
    <n v="7272"/>
    <n v="4509"/>
    <n v="2825"/>
    <n v="1876"/>
  </r>
  <r>
    <s v="NGA"/>
    <x v="0"/>
    <m/>
    <x v="22"/>
    <m/>
    <s v="MOPA-MURO"/>
    <m/>
    <n v="41925"/>
    <n v="40212"/>
    <n v="82137"/>
    <n v="6709"/>
    <n v="5923"/>
    <n v="5604"/>
    <n v="5057"/>
    <n v="3386"/>
    <n v="2906"/>
    <n v="2584"/>
    <n v="2257"/>
    <n v="1946"/>
    <n v="1617"/>
    <n v="1135"/>
    <n v="879"/>
    <n v="750"/>
    <n v="544"/>
    <n v="372"/>
    <n v="179"/>
    <n v="77"/>
    <n v="6443"/>
    <n v="5606"/>
    <n v="5366"/>
    <n v="4391"/>
    <n v="3192"/>
    <n v="3002"/>
    <n v="2513"/>
    <n v="2315"/>
    <n v="1956"/>
    <n v="1549"/>
    <n v="1033"/>
    <n v="895"/>
    <n v="703"/>
    <n v="642"/>
    <n v="393"/>
    <n v="132"/>
    <n v="81"/>
    <n v="13152"/>
    <n v="11529"/>
    <n v="10970"/>
    <n v="9448"/>
    <n v="6578"/>
    <n v="5908"/>
    <n v="5097"/>
    <n v="4572"/>
    <n v="3902"/>
    <n v="3166"/>
    <n v="2168"/>
    <n v="1774"/>
    <n v="1453"/>
    <n v="1186"/>
    <n v="765"/>
    <n v="311"/>
    <n v="158"/>
  </r>
  <r>
    <s v="NGA"/>
    <x v="0"/>
    <m/>
    <x v="22"/>
    <m/>
    <s v="OFU"/>
    <m/>
    <n v="149293"/>
    <n v="146179"/>
    <n v="295472"/>
    <n v="28693"/>
    <n v="22636"/>
    <n v="19341"/>
    <n v="16333"/>
    <n v="11619"/>
    <n v="9942"/>
    <n v="8960"/>
    <n v="7756"/>
    <n v="6555"/>
    <n v="4904"/>
    <n v="4078"/>
    <n v="2264"/>
    <n v="2428"/>
    <n v="1474"/>
    <n v="1113"/>
    <n v="611"/>
    <n v="586"/>
    <n v="27052"/>
    <n v="21539"/>
    <n v="17946"/>
    <n v="15360"/>
    <n v="12153"/>
    <n v="10678"/>
    <n v="9061"/>
    <n v="7631"/>
    <n v="6388"/>
    <n v="4623"/>
    <n v="4019"/>
    <n v="2622"/>
    <n v="2682"/>
    <n v="1790"/>
    <n v="1344"/>
    <n v="727"/>
    <n v="564"/>
    <n v="55745"/>
    <n v="44175"/>
    <n v="37287"/>
    <n v="31693"/>
    <n v="23772"/>
    <n v="20620"/>
    <n v="18021"/>
    <n v="15387"/>
    <n v="12943"/>
    <n v="9527"/>
    <n v="8097"/>
    <n v="4886"/>
    <n v="5110"/>
    <n v="3264"/>
    <n v="2457"/>
    <n v="1338"/>
    <n v="1150"/>
  </r>
  <r>
    <s v="NGA"/>
    <x v="0"/>
    <m/>
    <x v="22"/>
    <m/>
    <s v="OGORI/MAGONGO"/>
    <m/>
    <n v="18153"/>
    <n v="17881"/>
    <n v="36034"/>
    <n v="3302"/>
    <n v="2657"/>
    <n v="2231"/>
    <n v="2025"/>
    <n v="1560"/>
    <n v="1326"/>
    <n v="1090"/>
    <n v="966"/>
    <n v="811"/>
    <n v="576"/>
    <n v="478"/>
    <n v="351"/>
    <n v="274"/>
    <n v="233"/>
    <n v="126"/>
    <n v="90"/>
    <n v="57"/>
    <n v="3159"/>
    <n v="2508"/>
    <n v="2181"/>
    <n v="1916"/>
    <n v="1570"/>
    <n v="1337"/>
    <n v="1126"/>
    <n v="943"/>
    <n v="776"/>
    <n v="554"/>
    <n v="422"/>
    <n v="480"/>
    <n v="340"/>
    <n v="295"/>
    <n v="106"/>
    <n v="122"/>
    <n v="46"/>
    <n v="6461"/>
    <n v="5165"/>
    <n v="4412"/>
    <n v="3941"/>
    <n v="3130"/>
    <n v="2663"/>
    <n v="2216"/>
    <n v="1909"/>
    <n v="1587"/>
    <n v="1130"/>
    <n v="900"/>
    <n v="831"/>
    <n v="614"/>
    <n v="528"/>
    <n v="232"/>
    <n v="212"/>
    <n v="103"/>
  </r>
  <r>
    <s v="NGA"/>
    <x v="0"/>
    <m/>
    <x v="22"/>
    <m/>
    <s v="OKEHI"/>
    <m/>
    <n v="150726"/>
    <n v="147109"/>
    <n v="297835"/>
    <n v="29285"/>
    <n v="22652"/>
    <n v="19020"/>
    <n v="15956"/>
    <n v="11928"/>
    <n v="9914"/>
    <n v="8766"/>
    <n v="8014"/>
    <n v="6909"/>
    <n v="5318"/>
    <n v="4052"/>
    <n v="2829"/>
    <n v="2510"/>
    <n v="1612"/>
    <n v="1127"/>
    <n v="458"/>
    <n v="376"/>
    <n v="28254"/>
    <n v="21561"/>
    <n v="17907"/>
    <n v="15075"/>
    <n v="12348"/>
    <n v="10859"/>
    <n v="9338"/>
    <n v="8004"/>
    <n v="6511"/>
    <n v="4935"/>
    <n v="3491"/>
    <n v="3220"/>
    <n v="2191"/>
    <n v="1717"/>
    <n v="866"/>
    <n v="520"/>
    <n v="312"/>
    <n v="57539"/>
    <n v="44213"/>
    <n v="36927"/>
    <n v="31031"/>
    <n v="24276"/>
    <n v="20773"/>
    <n v="18104"/>
    <n v="16018"/>
    <n v="13420"/>
    <n v="10253"/>
    <n v="7543"/>
    <n v="6049"/>
    <n v="4701"/>
    <n v="3329"/>
    <n v="1993"/>
    <n v="978"/>
    <n v="688"/>
  </r>
  <r>
    <s v="NGA"/>
    <x v="0"/>
    <m/>
    <x v="22"/>
    <m/>
    <s v="OKENE"/>
    <m/>
    <n v="148693"/>
    <n v="145964"/>
    <n v="294657"/>
    <n v="29453"/>
    <n v="21917"/>
    <n v="18449"/>
    <n v="16001"/>
    <n v="12116"/>
    <n v="10197"/>
    <n v="8883"/>
    <n v="7625"/>
    <n v="6343"/>
    <n v="4987"/>
    <n v="3783"/>
    <n v="2666"/>
    <n v="2415"/>
    <n v="1813"/>
    <n v="998"/>
    <n v="737"/>
    <n v="310"/>
    <n v="27861"/>
    <n v="21022"/>
    <n v="17511"/>
    <n v="15455"/>
    <n v="12315"/>
    <n v="10780"/>
    <n v="8890"/>
    <n v="7526"/>
    <n v="6218"/>
    <n v="4599"/>
    <n v="3532"/>
    <n v="3255"/>
    <n v="2627"/>
    <n v="2176"/>
    <n v="1036"/>
    <n v="748"/>
    <n v="413"/>
    <n v="57314"/>
    <n v="42939"/>
    <n v="35960"/>
    <n v="31456"/>
    <n v="24431"/>
    <n v="20977"/>
    <n v="17773"/>
    <n v="15151"/>
    <n v="12561"/>
    <n v="9586"/>
    <n v="7315"/>
    <n v="5921"/>
    <n v="5042"/>
    <n v="3989"/>
    <n v="2034"/>
    <n v="1485"/>
    <n v="723"/>
  </r>
  <r>
    <s v="NGA"/>
    <x v="0"/>
    <m/>
    <x v="22"/>
    <m/>
    <s v="OLAMABORO"/>
    <m/>
    <n v="103469"/>
    <n v="105613"/>
    <n v="209082"/>
    <n v="19193"/>
    <n v="15527"/>
    <n v="13197"/>
    <n v="11403"/>
    <n v="8235"/>
    <n v="6823"/>
    <n v="6055"/>
    <n v="5239"/>
    <n v="4440"/>
    <n v="3531"/>
    <n v="2822"/>
    <n v="1969"/>
    <n v="1880"/>
    <n v="1459"/>
    <n v="826"/>
    <n v="535"/>
    <n v="335"/>
    <n v="18487"/>
    <n v="14645"/>
    <n v="12900"/>
    <n v="11573"/>
    <n v="8751"/>
    <n v="7608"/>
    <n v="6599"/>
    <n v="5456"/>
    <n v="4960"/>
    <n v="3851"/>
    <n v="2956"/>
    <n v="2184"/>
    <n v="2288"/>
    <n v="1652"/>
    <n v="894"/>
    <n v="476"/>
    <n v="333"/>
    <n v="37680"/>
    <n v="30172"/>
    <n v="26097"/>
    <n v="22976"/>
    <n v="16986"/>
    <n v="14431"/>
    <n v="12654"/>
    <n v="10695"/>
    <n v="9400"/>
    <n v="7382"/>
    <n v="5778"/>
    <n v="4153"/>
    <n v="4168"/>
    <n v="3111"/>
    <n v="1720"/>
    <n v="1011"/>
    <n v="668"/>
  </r>
  <r>
    <s v="NGA"/>
    <x v="0"/>
    <m/>
    <x v="22"/>
    <m/>
    <s v="OMALA"/>
    <m/>
    <n v="72192"/>
    <n v="70959"/>
    <n v="143151"/>
    <n v="14066"/>
    <n v="10904"/>
    <n v="9137"/>
    <n v="7788"/>
    <n v="5751"/>
    <n v="4829"/>
    <n v="4290"/>
    <n v="3764"/>
    <n v="3125"/>
    <n v="2461"/>
    <n v="1907"/>
    <n v="1166"/>
    <n v="1117"/>
    <n v="709"/>
    <n v="618"/>
    <n v="308"/>
    <n v="252"/>
    <n v="13665"/>
    <n v="10418"/>
    <n v="8601"/>
    <n v="7402"/>
    <n v="5905"/>
    <n v="5168"/>
    <n v="4411"/>
    <n v="3673"/>
    <n v="3007"/>
    <n v="2220"/>
    <n v="1931"/>
    <n v="1215"/>
    <n v="1277"/>
    <n v="826"/>
    <n v="763"/>
    <n v="267"/>
    <n v="210"/>
    <n v="27731"/>
    <n v="21322"/>
    <n v="17738"/>
    <n v="15190"/>
    <n v="11656"/>
    <n v="9997"/>
    <n v="8701"/>
    <n v="7437"/>
    <n v="6132"/>
    <n v="4681"/>
    <n v="3838"/>
    <n v="2381"/>
    <n v="2394"/>
    <n v="1535"/>
    <n v="1381"/>
    <n v="575"/>
    <n v="462"/>
  </r>
  <r>
    <s v="NGA"/>
    <x v="0"/>
    <m/>
    <x v="22"/>
    <m/>
    <s v="YAGBA EAST"/>
    <m/>
    <n v="140064"/>
    <n v="137035"/>
    <n v="277099"/>
    <n v="24719"/>
    <n v="19857"/>
    <n v="17683"/>
    <n v="15615"/>
    <n v="11857"/>
    <n v="9616"/>
    <n v="8451"/>
    <n v="7244"/>
    <n v="6149"/>
    <n v="5230"/>
    <n v="4048"/>
    <n v="3032"/>
    <n v="2623"/>
    <n v="1917"/>
    <n v="1046"/>
    <n v="616"/>
    <n v="361"/>
    <n v="23550"/>
    <n v="18810"/>
    <n v="17359"/>
    <n v="15118"/>
    <n v="11699"/>
    <n v="9899"/>
    <n v="8061"/>
    <n v="7221"/>
    <n v="6248"/>
    <n v="5032"/>
    <n v="3489"/>
    <n v="3767"/>
    <n v="2044"/>
    <n v="2472"/>
    <n v="1077"/>
    <n v="641"/>
    <n v="548"/>
    <n v="48269"/>
    <n v="38667"/>
    <n v="35042"/>
    <n v="30733"/>
    <n v="23556"/>
    <n v="19515"/>
    <n v="16512"/>
    <n v="14465"/>
    <n v="12397"/>
    <n v="10262"/>
    <n v="7537"/>
    <n v="6799"/>
    <n v="4667"/>
    <n v="4389"/>
    <n v="2123"/>
    <n v="1257"/>
    <n v="909"/>
  </r>
  <r>
    <s v="NGA"/>
    <x v="0"/>
    <m/>
    <x v="22"/>
    <m/>
    <s v="YAGBA WEST"/>
    <m/>
    <n v="112720"/>
    <n v="108956"/>
    <n v="221676"/>
    <n v="20161"/>
    <n v="16657"/>
    <n v="14170"/>
    <n v="12356"/>
    <n v="9304"/>
    <n v="7819"/>
    <n v="7064"/>
    <n v="5574"/>
    <n v="4992"/>
    <n v="3933"/>
    <n v="3064"/>
    <n v="2453"/>
    <n v="2072"/>
    <n v="1683"/>
    <n v="724"/>
    <n v="439"/>
    <n v="255"/>
    <n v="17954"/>
    <n v="15873"/>
    <n v="13445"/>
    <n v="11883"/>
    <n v="9609"/>
    <n v="8344"/>
    <n v="6584"/>
    <n v="5585"/>
    <n v="4638"/>
    <n v="3979"/>
    <n v="2714"/>
    <n v="3171"/>
    <n v="1508"/>
    <n v="1824"/>
    <n v="838"/>
    <n v="637"/>
    <n v="370"/>
    <n v="38115"/>
    <n v="32530"/>
    <n v="27615"/>
    <n v="24239"/>
    <n v="18913"/>
    <n v="16163"/>
    <n v="13648"/>
    <n v="11159"/>
    <n v="9630"/>
    <n v="7912"/>
    <n v="5778"/>
    <n v="5624"/>
    <n v="3580"/>
    <n v="3507"/>
    <n v="1562"/>
    <n v="1076"/>
    <n v="625"/>
  </r>
  <r>
    <s v="NGA"/>
    <x v="0"/>
    <m/>
    <x v="23"/>
    <m/>
    <s v="ASA"/>
    <m/>
    <n v="86406"/>
    <n v="85637"/>
    <n v="172043"/>
    <n v="16265"/>
    <n v="13276"/>
    <n v="11207"/>
    <n v="8966"/>
    <n v="6700"/>
    <n v="5716"/>
    <n v="5038"/>
    <n v="4293"/>
    <n v="3686"/>
    <n v="2828"/>
    <n v="2390"/>
    <n v="1572"/>
    <n v="1498"/>
    <n v="1171"/>
    <n v="910"/>
    <n v="546"/>
    <n v="344"/>
    <n v="15589"/>
    <n v="12835"/>
    <n v="10347"/>
    <n v="8176"/>
    <n v="6763"/>
    <n v="6156"/>
    <n v="5089"/>
    <n v="4219"/>
    <n v="3741"/>
    <n v="2910"/>
    <n v="2543"/>
    <n v="2225"/>
    <n v="1724"/>
    <n v="1342"/>
    <n v="918"/>
    <n v="627"/>
    <n v="433"/>
    <n v="31854"/>
    <n v="26111"/>
    <n v="21554"/>
    <n v="17142"/>
    <n v="13463"/>
    <n v="11872"/>
    <n v="10127"/>
    <n v="8512"/>
    <n v="7427"/>
    <n v="5738"/>
    <n v="4933"/>
    <n v="3797"/>
    <n v="3222"/>
    <n v="2513"/>
    <n v="1828"/>
    <n v="1173"/>
    <n v="777"/>
  </r>
  <r>
    <s v="NGA"/>
    <x v="0"/>
    <m/>
    <x v="23"/>
    <m/>
    <s v="BARUTEN"/>
    <m/>
    <n v="170887"/>
    <n v="165572"/>
    <n v="336459"/>
    <n v="34369"/>
    <n v="25907"/>
    <n v="20837"/>
    <n v="17440"/>
    <n v="13601"/>
    <n v="11734"/>
    <n v="10584"/>
    <n v="9032"/>
    <n v="7495"/>
    <n v="5806"/>
    <n v="4709"/>
    <n v="2657"/>
    <n v="2782"/>
    <n v="1582"/>
    <n v="1196"/>
    <n v="573"/>
    <n v="583"/>
    <n v="33451"/>
    <n v="24685"/>
    <n v="19493"/>
    <n v="16575"/>
    <n v="13995"/>
    <n v="12373"/>
    <n v="10164"/>
    <n v="8263"/>
    <n v="6893"/>
    <n v="4999"/>
    <n v="4318"/>
    <n v="2888"/>
    <n v="2822"/>
    <n v="1903"/>
    <n v="1301"/>
    <n v="873"/>
    <n v="576"/>
    <n v="67820"/>
    <n v="50592"/>
    <n v="40330"/>
    <n v="34015"/>
    <n v="27596"/>
    <n v="24107"/>
    <n v="20748"/>
    <n v="17295"/>
    <n v="14388"/>
    <n v="10805"/>
    <n v="9027"/>
    <n v="5545"/>
    <n v="5604"/>
    <n v="3485"/>
    <n v="2497"/>
    <n v="1446"/>
    <n v="1159"/>
  </r>
  <r>
    <s v="NGA"/>
    <x v="0"/>
    <m/>
    <x v="23"/>
    <m/>
    <s v="EDU"/>
    <m/>
    <n v="204719"/>
    <n v="190591"/>
    <n v="395310"/>
    <n v="35960"/>
    <n v="32087"/>
    <n v="27117"/>
    <n v="22442"/>
    <n v="16408"/>
    <n v="13922"/>
    <n v="12698"/>
    <n v="10807"/>
    <n v="9431"/>
    <n v="6734"/>
    <n v="5686"/>
    <n v="3071"/>
    <n v="3463"/>
    <n v="1990"/>
    <n v="1557"/>
    <n v="774"/>
    <n v="572"/>
    <n v="33537"/>
    <n v="28824"/>
    <n v="23718"/>
    <n v="20054"/>
    <n v="16518"/>
    <n v="14708"/>
    <n v="12475"/>
    <n v="10062"/>
    <n v="8633"/>
    <n v="5895"/>
    <n v="5016"/>
    <n v="3264"/>
    <n v="3033"/>
    <n v="1891"/>
    <n v="1525"/>
    <n v="860"/>
    <n v="578"/>
    <n v="69497"/>
    <n v="60911"/>
    <n v="50835"/>
    <n v="42496"/>
    <n v="32926"/>
    <n v="28630"/>
    <n v="25173"/>
    <n v="20869"/>
    <n v="18064"/>
    <n v="12629"/>
    <n v="10702"/>
    <n v="6335"/>
    <n v="6496"/>
    <n v="3881"/>
    <n v="3082"/>
    <n v="1634"/>
    <n v="1150"/>
  </r>
  <r>
    <s v="NGA"/>
    <x v="0"/>
    <m/>
    <x v="23"/>
    <m/>
    <s v="EKITI"/>
    <m/>
    <n v="35044"/>
    <n v="34141"/>
    <n v="69185"/>
    <n v="5675"/>
    <n v="4944"/>
    <n v="4457"/>
    <n v="3931"/>
    <n v="3056"/>
    <n v="2420"/>
    <n v="2132"/>
    <n v="1873"/>
    <n v="1606"/>
    <n v="1250"/>
    <n v="965"/>
    <n v="907"/>
    <n v="511"/>
    <n v="589"/>
    <n v="375"/>
    <n v="216"/>
    <n v="137"/>
    <n v="5644"/>
    <n v="4631"/>
    <n v="4233"/>
    <n v="3698"/>
    <n v="2867"/>
    <n v="2447"/>
    <n v="1993"/>
    <n v="1872"/>
    <n v="1493"/>
    <n v="1301"/>
    <n v="865"/>
    <n v="1044"/>
    <n v="619"/>
    <n v="652"/>
    <n v="423"/>
    <n v="205"/>
    <n v="154"/>
    <n v="11319"/>
    <n v="9575"/>
    <n v="8690"/>
    <n v="7629"/>
    <n v="5923"/>
    <n v="4867"/>
    <n v="4125"/>
    <n v="3745"/>
    <n v="3099"/>
    <n v="2551"/>
    <n v="1830"/>
    <n v="1951"/>
    <n v="1130"/>
    <n v="1241"/>
    <n v="798"/>
    <n v="421"/>
    <n v="291"/>
  </r>
  <r>
    <s v="NGA"/>
    <x v="0"/>
    <m/>
    <x v="23"/>
    <m/>
    <s v="IFELODUN"/>
    <m/>
    <n v="119036"/>
    <n v="116454"/>
    <n v="235490"/>
    <n v="22005"/>
    <n v="17184"/>
    <n v="15131"/>
    <n v="13087"/>
    <n v="9149"/>
    <n v="8240"/>
    <n v="7196"/>
    <n v="6146"/>
    <n v="5222"/>
    <n v="4087"/>
    <n v="3295"/>
    <n v="2428"/>
    <n v="1981"/>
    <n v="1855"/>
    <n v="1057"/>
    <n v="657"/>
    <n v="316"/>
    <n v="21154"/>
    <n v="16503"/>
    <n v="14210"/>
    <n v="12478"/>
    <n v="9578"/>
    <n v="8293"/>
    <n v="6941"/>
    <n v="6006"/>
    <n v="5049"/>
    <n v="3922"/>
    <n v="2899"/>
    <n v="3242"/>
    <n v="1814"/>
    <n v="2025"/>
    <n v="1086"/>
    <n v="813"/>
    <n v="441"/>
    <n v="43159"/>
    <n v="33687"/>
    <n v="29341"/>
    <n v="25565"/>
    <n v="18727"/>
    <n v="16533"/>
    <n v="14137"/>
    <n v="12152"/>
    <n v="10271"/>
    <n v="8009"/>
    <n v="6194"/>
    <n v="5670"/>
    <n v="3795"/>
    <n v="3880"/>
    <n v="2143"/>
    <n v="1470"/>
    <n v="757"/>
  </r>
  <r>
    <s v="NGA"/>
    <x v="0"/>
    <m/>
    <x v="23"/>
    <m/>
    <s v="ILORIN EAST"/>
    <m/>
    <n v="102696"/>
    <n v="100613"/>
    <n v="203309"/>
    <n v="15962"/>
    <n v="13704"/>
    <n v="12340"/>
    <n v="11098"/>
    <n v="9883"/>
    <n v="8526"/>
    <n v="6643"/>
    <n v="5691"/>
    <n v="4744"/>
    <n v="3843"/>
    <n v="2955"/>
    <n v="2415"/>
    <n v="1747"/>
    <n v="1460"/>
    <n v="834"/>
    <n v="557"/>
    <n v="294"/>
    <n v="15528"/>
    <n v="13404"/>
    <n v="12131"/>
    <n v="10650"/>
    <n v="8737"/>
    <n v="7517"/>
    <n v="6167"/>
    <n v="5463"/>
    <n v="4875"/>
    <n v="3766"/>
    <n v="3064"/>
    <n v="2829"/>
    <n v="2201"/>
    <n v="1758"/>
    <n v="1196"/>
    <n v="846"/>
    <n v="481"/>
    <n v="31490"/>
    <n v="27108"/>
    <n v="24471"/>
    <n v="21748"/>
    <n v="18620"/>
    <n v="16043"/>
    <n v="12810"/>
    <n v="11154"/>
    <n v="9619"/>
    <n v="7609"/>
    <n v="6019"/>
    <n v="5244"/>
    <n v="3948"/>
    <n v="3218"/>
    <n v="2030"/>
    <n v="1403"/>
    <n v="775"/>
  </r>
  <r>
    <s v="NGA"/>
    <x v="0"/>
    <m/>
    <x v="23"/>
    <m/>
    <s v="ILORIN SOUTH"/>
    <m/>
    <n v="101808"/>
    <n v="103252"/>
    <n v="205060"/>
    <n v="14029"/>
    <n v="12817"/>
    <n v="12480"/>
    <n v="11977"/>
    <n v="11931"/>
    <n v="8397"/>
    <n v="5963"/>
    <n v="5347"/>
    <n v="4669"/>
    <n v="4275"/>
    <n v="3052"/>
    <n v="2911"/>
    <n v="1586"/>
    <n v="1273"/>
    <n v="579"/>
    <n v="328"/>
    <n v="194"/>
    <n v="13481"/>
    <n v="12710"/>
    <n v="13022"/>
    <n v="11634"/>
    <n v="10064"/>
    <n v="7782"/>
    <n v="6486"/>
    <n v="6133"/>
    <n v="5425"/>
    <n v="4520"/>
    <n v="3326"/>
    <n v="3036"/>
    <n v="1840"/>
    <n v="1683"/>
    <n v="978"/>
    <n v="686"/>
    <n v="446"/>
    <n v="27510"/>
    <n v="25527"/>
    <n v="25502"/>
    <n v="23611"/>
    <n v="21995"/>
    <n v="16179"/>
    <n v="12449"/>
    <n v="11480"/>
    <n v="10094"/>
    <n v="8795"/>
    <n v="6378"/>
    <n v="5947"/>
    <n v="3426"/>
    <n v="2956"/>
    <n v="1557"/>
    <n v="1014"/>
    <n v="640"/>
  </r>
  <r>
    <s v="NGA"/>
    <x v="0"/>
    <m/>
    <x v="23"/>
    <m/>
    <s v="ILORIN WEST"/>
    <m/>
    <n v="278851"/>
    <n v="286382"/>
    <n v="565233"/>
    <n v="42026"/>
    <n v="36716"/>
    <n v="33925"/>
    <n v="30188"/>
    <n v="27793"/>
    <n v="22318"/>
    <n v="17206"/>
    <n v="15398"/>
    <n v="12938"/>
    <n v="11306"/>
    <n v="8543"/>
    <n v="7121"/>
    <n v="4770"/>
    <n v="3830"/>
    <n v="2443"/>
    <n v="1422"/>
    <n v="908"/>
    <n v="40982"/>
    <n v="35796"/>
    <n v="34862"/>
    <n v="28611"/>
    <n v="24563"/>
    <n v="21539"/>
    <n v="18535"/>
    <n v="16664"/>
    <n v="14967"/>
    <n v="11501"/>
    <n v="9979"/>
    <n v="8124"/>
    <n v="6667"/>
    <n v="5277"/>
    <n v="4040"/>
    <n v="2655"/>
    <n v="1620"/>
    <n v="83008"/>
    <n v="72512"/>
    <n v="68787"/>
    <n v="58799"/>
    <n v="52356"/>
    <n v="43857"/>
    <n v="35741"/>
    <n v="32062"/>
    <n v="27905"/>
    <n v="22807"/>
    <n v="18522"/>
    <n v="15245"/>
    <n v="11437"/>
    <n v="9107"/>
    <n v="6483"/>
    <n v="4077"/>
    <n v="2528"/>
  </r>
  <r>
    <s v="NGA"/>
    <x v="0"/>
    <m/>
    <x v="23"/>
    <m/>
    <s v="IREPODUN"/>
    <m/>
    <n v="87814"/>
    <n v="88587"/>
    <n v="176401"/>
    <n v="14979"/>
    <n v="12452"/>
    <n v="11241"/>
    <n v="10059"/>
    <n v="8068"/>
    <n v="5987"/>
    <n v="5059"/>
    <n v="4381"/>
    <n v="3790"/>
    <n v="3144"/>
    <n v="2247"/>
    <n v="2129"/>
    <n v="1459"/>
    <n v="1272"/>
    <n v="723"/>
    <n v="525"/>
    <n v="299"/>
    <n v="14425"/>
    <n v="11998"/>
    <n v="11703"/>
    <n v="10120"/>
    <n v="7934"/>
    <n v="6139"/>
    <n v="5064"/>
    <n v="4358"/>
    <n v="3783"/>
    <n v="3166"/>
    <n v="2245"/>
    <n v="2545"/>
    <n v="1532"/>
    <n v="1583"/>
    <n v="895"/>
    <n v="679"/>
    <n v="418"/>
    <n v="29404"/>
    <n v="24450"/>
    <n v="22944"/>
    <n v="20179"/>
    <n v="16002"/>
    <n v="12126"/>
    <n v="10123"/>
    <n v="8739"/>
    <n v="7573"/>
    <n v="6310"/>
    <n v="4492"/>
    <n v="4674"/>
    <n v="2991"/>
    <n v="2855"/>
    <n v="1618"/>
    <n v="1204"/>
    <n v="717"/>
  </r>
  <r>
    <s v="NGA"/>
    <x v="0"/>
    <m/>
    <x v="23"/>
    <m/>
    <s v="ISIN"/>
    <m/>
    <n v="35877"/>
    <n v="35212"/>
    <n v="71089"/>
    <n v="6109"/>
    <n v="5389"/>
    <n v="4629"/>
    <n v="3960"/>
    <n v="3011"/>
    <n v="2430"/>
    <n v="2058"/>
    <n v="1891"/>
    <n v="1561"/>
    <n v="1274"/>
    <n v="965"/>
    <n v="816"/>
    <n v="567"/>
    <n v="627"/>
    <n v="278"/>
    <n v="190"/>
    <n v="122"/>
    <n v="6240"/>
    <n v="4897"/>
    <n v="4413"/>
    <n v="3738"/>
    <n v="2843"/>
    <n v="2539"/>
    <n v="2082"/>
    <n v="1833"/>
    <n v="1463"/>
    <n v="1244"/>
    <n v="818"/>
    <n v="1110"/>
    <n v="651"/>
    <n v="660"/>
    <n v="311"/>
    <n v="253"/>
    <n v="117"/>
    <n v="12349"/>
    <n v="10286"/>
    <n v="9042"/>
    <n v="7698"/>
    <n v="5854"/>
    <n v="4969"/>
    <n v="4140"/>
    <n v="3724"/>
    <n v="3024"/>
    <n v="2518"/>
    <n v="1783"/>
    <n v="1926"/>
    <n v="1218"/>
    <n v="1287"/>
    <n v="589"/>
    <n v="443"/>
    <n v="239"/>
  </r>
  <r>
    <s v="NGA"/>
    <x v="0"/>
    <m/>
    <x v="23"/>
    <m/>
    <s v="KAIAMA"/>
    <m/>
    <n v="163409"/>
    <n v="146438"/>
    <n v="309847"/>
    <n v="31002"/>
    <n v="24795"/>
    <n v="19621"/>
    <n v="16748"/>
    <n v="12760"/>
    <n v="11513"/>
    <n v="11322"/>
    <n v="8946"/>
    <n v="8030"/>
    <n v="5431"/>
    <n v="4328"/>
    <n v="2445"/>
    <n v="2978"/>
    <n v="1721"/>
    <n v="921"/>
    <n v="496"/>
    <n v="352"/>
    <n v="28738"/>
    <n v="22925"/>
    <n v="17348"/>
    <n v="15069"/>
    <n v="13501"/>
    <n v="11992"/>
    <n v="9852"/>
    <n v="7186"/>
    <n v="6007"/>
    <n v="4203"/>
    <n v="3268"/>
    <n v="2222"/>
    <n v="1733"/>
    <n v="950"/>
    <n v="740"/>
    <n v="446"/>
    <n v="258"/>
    <n v="59740"/>
    <n v="47720"/>
    <n v="36969"/>
    <n v="31817"/>
    <n v="26261"/>
    <n v="23505"/>
    <n v="21174"/>
    <n v="16132"/>
    <n v="14037"/>
    <n v="9634"/>
    <n v="7596"/>
    <n v="4667"/>
    <n v="4711"/>
    <n v="2671"/>
    <n v="1661"/>
    <n v="942"/>
    <n v="610"/>
  </r>
  <r>
    <s v="NGA"/>
    <x v="0"/>
    <m/>
    <x v="23"/>
    <m/>
    <s v="MORO"/>
    <m/>
    <n v="59751"/>
    <n v="58791"/>
    <n v="118542"/>
    <n v="10355"/>
    <n v="9115"/>
    <n v="7447"/>
    <n v="6076"/>
    <n v="4860"/>
    <n v="3996"/>
    <n v="3553"/>
    <n v="3145"/>
    <n v="2856"/>
    <n v="2126"/>
    <n v="1838"/>
    <n v="1181"/>
    <n v="1162"/>
    <n v="854"/>
    <n v="626"/>
    <n v="347"/>
    <n v="214"/>
    <n v="10006"/>
    <n v="8632"/>
    <n v="6940"/>
    <n v="5639"/>
    <n v="4979"/>
    <n v="4328"/>
    <n v="3676"/>
    <n v="2969"/>
    <n v="2683"/>
    <n v="2042"/>
    <n v="1745"/>
    <n v="1502"/>
    <n v="1218"/>
    <n v="1033"/>
    <n v="663"/>
    <n v="427"/>
    <n v="309"/>
    <n v="20361"/>
    <n v="17747"/>
    <n v="14387"/>
    <n v="11715"/>
    <n v="9839"/>
    <n v="8324"/>
    <n v="7229"/>
    <n v="6114"/>
    <n v="5539"/>
    <n v="4168"/>
    <n v="3583"/>
    <n v="2683"/>
    <n v="2380"/>
    <n v="1887"/>
    <n v="1289"/>
    <n v="774"/>
    <n v="523"/>
  </r>
  <r>
    <s v="NGA"/>
    <x v="0"/>
    <m/>
    <x v="23"/>
    <m/>
    <s v="OFFA"/>
    <m/>
    <n v="46587"/>
    <n v="45563"/>
    <n v="92150"/>
    <n v="8823"/>
    <n v="6610"/>
    <n v="5732"/>
    <n v="4925"/>
    <n v="4173"/>
    <n v="3367"/>
    <n v="2817"/>
    <n v="2429"/>
    <n v="1976"/>
    <n v="1559"/>
    <n v="1140"/>
    <n v="1004"/>
    <n v="625"/>
    <n v="673"/>
    <n v="359"/>
    <n v="248"/>
    <n v="127"/>
    <n v="8410"/>
    <n v="6386"/>
    <n v="5485"/>
    <n v="4820"/>
    <n v="4025"/>
    <n v="3440"/>
    <n v="2697"/>
    <n v="2238"/>
    <n v="1962"/>
    <n v="1437"/>
    <n v="1184"/>
    <n v="1033"/>
    <n v="758"/>
    <n v="655"/>
    <n v="470"/>
    <n v="341"/>
    <n v="222"/>
    <n v="17233"/>
    <n v="12996"/>
    <n v="11217"/>
    <n v="9745"/>
    <n v="8198"/>
    <n v="6807"/>
    <n v="5514"/>
    <n v="4667"/>
    <n v="3938"/>
    <n v="2996"/>
    <n v="2324"/>
    <n v="2037"/>
    <n v="1383"/>
    <n v="1328"/>
    <n v="829"/>
    <n v="589"/>
    <n v="349"/>
  </r>
  <r>
    <s v="NGA"/>
    <x v="0"/>
    <m/>
    <x v="23"/>
    <m/>
    <s v="OKE-ERO"/>
    <m/>
    <n v="36101"/>
    <n v="36360"/>
    <n v="72461"/>
    <n v="7231"/>
    <n v="5517"/>
    <n v="4546"/>
    <n v="4048"/>
    <n v="2508"/>
    <n v="2307"/>
    <n v="2034"/>
    <n v="1799"/>
    <n v="1856"/>
    <n v="1203"/>
    <n v="818"/>
    <n v="733"/>
    <n v="534"/>
    <n v="435"/>
    <n v="262"/>
    <n v="175"/>
    <n v="95"/>
    <n v="6972"/>
    <n v="5249"/>
    <n v="4352"/>
    <n v="3748"/>
    <n v="2763"/>
    <n v="2626"/>
    <n v="2329"/>
    <n v="1769"/>
    <n v="1449"/>
    <n v="1068"/>
    <n v="919"/>
    <n v="754"/>
    <n v="1268"/>
    <n v="549"/>
    <n v="218"/>
    <n v="199"/>
    <n v="128"/>
    <n v="14203"/>
    <n v="10766"/>
    <n v="8898"/>
    <n v="7796"/>
    <n v="5271"/>
    <n v="4933"/>
    <n v="4363"/>
    <n v="3568"/>
    <n v="3305"/>
    <n v="2271"/>
    <n v="1737"/>
    <n v="1487"/>
    <n v="1802"/>
    <n v="984"/>
    <n v="480"/>
    <n v="374"/>
    <n v="223"/>
  </r>
  <r>
    <s v="NGA"/>
    <x v="0"/>
    <m/>
    <x v="23"/>
    <m/>
    <s v="OYUN"/>
    <m/>
    <n v="70296"/>
    <n v="68493"/>
    <n v="138789"/>
    <n v="11843"/>
    <n v="9972"/>
    <n v="8740"/>
    <n v="7861"/>
    <n v="6050"/>
    <n v="4993"/>
    <n v="4267"/>
    <n v="3705"/>
    <n v="3147"/>
    <n v="2562"/>
    <n v="1964"/>
    <n v="1598"/>
    <n v="1169"/>
    <n v="1144"/>
    <n v="662"/>
    <n v="427"/>
    <n v="192"/>
    <n v="11207"/>
    <n v="9452"/>
    <n v="8404"/>
    <n v="7368"/>
    <n v="5731"/>
    <n v="5186"/>
    <n v="4199"/>
    <n v="3773"/>
    <n v="3040"/>
    <n v="2506"/>
    <n v="1737"/>
    <n v="2141"/>
    <n v="1071"/>
    <n v="1360"/>
    <n v="657"/>
    <n v="434"/>
    <n v="227"/>
    <n v="23050"/>
    <n v="19424"/>
    <n v="17144"/>
    <n v="15229"/>
    <n v="11781"/>
    <n v="10179"/>
    <n v="8466"/>
    <n v="7478"/>
    <n v="6187"/>
    <n v="5068"/>
    <n v="3701"/>
    <n v="3739"/>
    <n v="2240"/>
    <n v="2504"/>
    <n v="1319"/>
    <n v="861"/>
    <n v="419"/>
  </r>
  <r>
    <s v="NGA"/>
    <x v="0"/>
    <m/>
    <x v="23"/>
    <m/>
    <s v="PATIGI"/>
    <m/>
    <n v="113587"/>
    <n v="103752"/>
    <n v="217339"/>
    <n v="20321"/>
    <n v="17787"/>
    <n v="15124"/>
    <n v="12775"/>
    <n v="8686"/>
    <n v="7305"/>
    <n v="6938"/>
    <n v="5998"/>
    <n v="5317"/>
    <n v="3852"/>
    <n v="3022"/>
    <n v="1833"/>
    <n v="1934"/>
    <n v="1170"/>
    <n v="872"/>
    <n v="363"/>
    <n v="290"/>
    <n v="18460"/>
    <n v="15601"/>
    <n v="12962"/>
    <n v="10666"/>
    <n v="8583"/>
    <n v="8103"/>
    <n v="6936"/>
    <n v="5823"/>
    <n v="4670"/>
    <n v="3369"/>
    <n v="2566"/>
    <n v="1814"/>
    <n v="1674"/>
    <n v="1195"/>
    <n v="672"/>
    <n v="428"/>
    <n v="230"/>
    <n v="38781"/>
    <n v="33388"/>
    <n v="28086"/>
    <n v="23441"/>
    <n v="17269"/>
    <n v="15408"/>
    <n v="13874"/>
    <n v="11821"/>
    <n v="9987"/>
    <n v="7221"/>
    <n v="5588"/>
    <n v="3647"/>
    <n v="3608"/>
    <n v="2365"/>
    <n v="1544"/>
    <n v="791"/>
    <n v="520"/>
  </r>
  <r>
    <s v="NGA"/>
    <x v="0"/>
    <m/>
    <x v="24"/>
    <m/>
    <s v="AGEGE"/>
    <m/>
    <n v="286745"/>
    <n v="262954"/>
    <n v="549699"/>
    <n v="34075"/>
    <n v="29000"/>
    <n v="26589"/>
    <n v="26766"/>
    <n v="34546"/>
    <n v="33314"/>
    <n v="26922"/>
    <n v="22956"/>
    <n v="15024"/>
    <n v="12786"/>
    <n v="7320"/>
    <n v="7744"/>
    <n v="3463"/>
    <n v="3473"/>
    <n v="1314"/>
    <n v="1025"/>
    <n v="428"/>
    <n v="34151"/>
    <n v="29585"/>
    <n v="29592"/>
    <n v="27302"/>
    <n v="27766"/>
    <n v="24851"/>
    <n v="20160"/>
    <n v="18124"/>
    <n v="13209"/>
    <n v="11010"/>
    <n v="7530"/>
    <n v="7142"/>
    <n v="4339"/>
    <n v="3634"/>
    <n v="2227"/>
    <n v="1455"/>
    <n v="877"/>
    <n v="68226"/>
    <n v="58585"/>
    <n v="56181"/>
    <n v="54068"/>
    <n v="62312"/>
    <n v="58165"/>
    <n v="47082"/>
    <n v="41080"/>
    <n v="28233"/>
    <n v="23796"/>
    <n v="14850"/>
    <n v="14886"/>
    <n v="7802"/>
    <n v="7107"/>
    <n v="3541"/>
    <n v="2480"/>
    <n v="1305"/>
  </r>
  <r>
    <s v="NGA"/>
    <x v="0"/>
    <m/>
    <x v="24"/>
    <m/>
    <s v="AJEROMI-IFELODUN"/>
    <m/>
    <n v="741424"/>
    <n v="690331"/>
    <n v="1431755"/>
    <n v="90218"/>
    <n v="75292"/>
    <n v="74126"/>
    <n v="77147"/>
    <n v="87966"/>
    <n v="80268"/>
    <n v="63495"/>
    <n v="52011"/>
    <n v="35451"/>
    <n v="34140"/>
    <n v="22258"/>
    <n v="22506"/>
    <n v="10187"/>
    <n v="9006"/>
    <n v="3783"/>
    <n v="2435"/>
    <n v="1135"/>
    <n v="86985"/>
    <n v="75709"/>
    <n v="80676"/>
    <n v="78762"/>
    <n v="77442"/>
    <n v="64364"/>
    <n v="50366"/>
    <n v="43729"/>
    <n v="34621"/>
    <n v="30277"/>
    <n v="20656"/>
    <n v="18541"/>
    <n v="10698"/>
    <n v="8267"/>
    <n v="4333"/>
    <n v="2932"/>
    <n v="1973"/>
    <n v="177203"/>
    <n v="151001"/>
    <n v="154802"/>
    <n v="155909"/>
    <n v="165408"/>
    <n v="144632"/>
    <n v="113861"/>
    <n v="95740"/>
    <n v="70072"/>
    <n v="64417"/>
    <n v="42914"/>
    <n v="41047"/>
    <n v="20885"/>
    <n v="17273"/>
    <n v="8116"/>
    <n v="5367"/>
    <n v="3108"/>
  </r>
  <r>
    <s v="NGA"/>
    <x v="0"/>
    <m/>
    <x v="24"/>
    <m/>
    <s v="ALIMOSHO"/>
    <m/>
    <n v="1786291"/>
    <n v="1713518"/>
    <n v="3499809"/>
    <n v="242599"/>
    <n v="196590"/>
    <n v="175867"/>
    <n v="166058"/>
    <n v="186837"/>
    <n v="181380"/>
    <n v="160248"/>
    <n v="148728"/>
    <n v="99964"/>
    <n v="81320"/>
    <n v="46701"/>
    <n v="49143"/>
    <n v="20451"/>
    <n v="18227"/>
    <n v="5992"/>
    <n v="3978"/>
    <n v="2208"/>
    <n v="244714"/>
    <n v="199526"/>
    <n v="192694"/>
    <n v="168179"/>
    <n v="166374"/>
    <n v="163619"/>
    <n v="143016"/>
    <n v="123750"/>
    <n v="87222"/>
    <n v="71082"/>
    <n v="45092"/>
    <n v="44444"/>
    <n v="21474"/>
    <n v="19540"/>
    <n v="9955"/>
    <n v="7683"/>
    <n v="5154"/>
    <n v="487313"/>
    <n v="396116"/>
    <n v="368561"/>
    <n v="334237"/>
    <n v="353211"/>
    <n v="344999"/>
    <n v="303264"/>
    <n v="272478"/>
    <n v="187186"/>
    <n v="152402"/>
    <n v="91793"/>
    <n v="93587"/>
    <n v="41925"/>
    <n v="37767"/>
    <n v="15947"/>
    <n v="11661"/>
    <n v="7362"/>
  </r>
  <r>
    <s v="NGA"/>
    <x v="0"/>
    <m/>
    <x v="24"/>
    <m/>
    <s v="AMUWO-ODOFIN"/>
    <m/>
    <n v="138780"/>
    <n v="121247"/>
    <n v="260027"/>
    <n v="13446"/>
    <n v="11042"/>
    <n v="10987"/>
    <n v="12996"/>
    <n v="18846"/>
    <n v="18946"/>
    <n v="14283"/>
    <n v="11091"/>
    <n v="7545"/>
    <n v="6416"/>
    <n v="3821"/>
    <n v="4237"/>
    <n v="1960"/>
    <n v="1913"/>
    <n v="676"/>
    <n v="430"/>
    <n v="145"/>
    <n v="13446"/>
    <n v="11574"/>
    <n v="13718"/>
    <n v="14016"/>
    <n v="14185"/>
    <n v="12439"/>
    <n v="9312"/>
    <n v="7683"/>
    <n v="5845"/>
    <n v="5501"/>
    <n v="3828"/>
    <n v="4277"/>
    <n v="2052"/>
    <n v="1688"/>
    <n v="781"/>
    <n v="595"/>
    <n v="307"/>
    <n v="26892"/>
    <n v="22616"/>
    <n v="24705"/>
    <n v="27012"/>
    <n v="33031"/>
    <n v="31385"/>
    <n v="23595"/>
    <n v="18774"/>
    <n v="13390"/>
    <n v="11917"/>
    <n v="7649"/>
    <n v="8514"/>
    <n v="4012"/>
    <n v="3601"/>
    <n v="1457"/>
    <n v="1025"/>
    <n v="452"/>
  </r>
  <r>
    <s v="NGA"/>
    <x v="0"/>
    <m/>
    <x v="24"/>
    <m/>
    <s v="APAPA"/>
    <m/>
    <n v="259487"/>
    <n v="205287"/>
    <n v="464774"/>
    <n v="26546"/>
    <n v="21424"/>
    <n v="20619"/>
    <n v="22271"/>
    <n v="32587"/>
    <n v="33227"/>
    <n v="25508"/>
    <n v="22511"/>
    <n v="15392"/>
    <n v="14147"/>
    <n v="8754"/>
    <n v="7985"/>
    <n v="3305"/>
    <n v="2990"/>
    <n v="1072"/>
    <n v="734"/>
    <n v="415"/>
    <n v="26117"/>
    <n v="22228"/>
    <n v="22656"/>
    <n v="23031"/>
    <n v="23891"/>
    <n v="19366"/>
    <n v="14971"/>
    <n v="13325"/>
    <n v="10766"/>
    <n v="8925"/>
    <n v="6240"/>
    <n v="5116"/>
    <n v="3385"/>
    <n v="2511"/>
    <n v="1333"/>
    <n v="869"/>
    <n v="557"/>
    <n v="52663"/>
    <n v="43652"/>
    <n v="43275"/>
    <n v="45302"/>
    <n v="56478"/>
    <n v="52593"/>
    <n v="40479"/>
    <n v="35836"/>
    <n v="26158"/>
    <n v="23072"/>
    <n v="14994"/>
    <n v="13101"/>
    <n v="6690"/>
    <n v="5501"/>
    <n v="2405"/>
    <n v="1603"/>
    <n v="972"/>
  </r>
  <r>
    <s v="NGA"/>
    <x v="0"/>
    <m/>
    <x v="24"/>
    <m/>
    <s v="BADAGRY"/>
    <m/>
    <n v="209793"/>
    <n v="202825"/>
    <n v="412618"/>
    <n v="30443"/>
    <n v="24429"/>
    <n v="22048"/>
    <n v="20513"/>
    <n v="21422"/>
    <n v="20047"/>
    <n v="17129"/>
    <n v="16108"/>
    <n v="10902"/>
    <n v="9679"/>
    <n v="5458"/>
    <n v="5212"/>
    <n v="2401"/>
    <n v="2130"/>
    <n v="921"/>
    <n v="618"/>
    <n v="333"/>
    <n v="29969"/>
    <n v="25045"/>
    <n v="23620"/>
    <n v="19807"/>
    <n v="20011"/>
    <n v="18563"/>
    <n v="14872"/>
    <n v="13222"/>
    <n v="9389"/>
    <n v="8142"/>
    <n v="5466"/>
    <n v="5110"/>
    <n v="3004"/>
    <n v="2961"/>
    <n v="1632"/>
    <n v="1274"/>
    <n v="738"/>
    <n v="60412"/>
    <n v="49474"/>
    <n v="45668"/>
    <n v="40320"/>
    <n v="41433"/>
    <n v="38610"/>
    <n v="32001"/>
    <n v="29330"/>
    <n v="20291"/>
    <n v="17821"/>
    <n v="10924"/>
    <n v="10322"/>
    <n v="5405"/>
    <n v="5091"/>
    <n v="2553"/>
    <n v="1892"/>
    <n v="1071"/>
  </r>
  <r>
    <s v="NGA"/>
    <x v="0"/>
    <m/>
    <x v="24"/>
    <m/>
    <s v="EPE"/>
    <m/>
    <n v="143428"/>
    <n v="140121"/>
    <n v="283549"/>
    <n v="17637"/>
    <n v="16704"/>
    <n v="18367"/>
    <n v="17234"/>
    <n v="14662"/>
    <n v="11582"/>
    <n v="9205"/>
    <n v="8359"/>
    <n v="7389"/>
    <n v="6109"/>
    <n v="4546"/>
    <n v="3840"/>
    <n v="2773"/>
    <n v="2369"/>
    <n v="1367"/>
    <n v="875"/>
    <n v="410"/>
    <n v="17272"/>
    <n v="16225"/>
    <n v="17788"/>
    <n v="15741"/>
    <n v="12793"/>
    <n v="10713"/>
    <n v="9014"/>
    <n v="8477"/>
    <n v="7037"/>
    <n v="6358"/>
    <n v="4724"/>
    <n v="4340"/>
    <n v="3005"/>
    <n v="2687"/>
    <n v="1811"/>
    <n v="1305"/>
    <n v="831"/>
    <n v="34909"/>
    <n v="32929"/>
    <n v="36155"/>
    <n v="32975"/>
    <n v="27455"/>
    <n v="22295"/>
    <n v="18219"/>
    <n v="16836"/>
    <n v="14426"/>
    <n v="12467"/>
    <n v="9270"/>
    <n v="8180"/>
    <n v="5778"/>
    <n v="5056"/>
    <n v="3178"/>
    <n v="2180"/>
    <n v="1241"/>
  </r>
  <r>
    <s v="NGA"/>
    <x v="0"/>
    <m/>
    <x v="24"/>
    <m/>
    <s v="ETI-OSA"/>
    <m/>
    <n v="227283"/>
    <n v="172137"/>
    <n v="399420"/>
    <n v="20642"/>
    <n v="16022"/>
    <n v="13804"/>
    <n v="15806"/>
    <n v="30556"/>
    <n v="37534"/>
    <n v="27458"/>
    <n v="21927"/>
    <n v="13942"/>
    <n v="11370"/>
    <n v="6369"/>
    <n v="5900"/>
    <n v="2363"/>
    <n v="2114"/>
    <n v="704"/>
    <n v="547"/>
    <n v="225"/>
    <n v="20793"/>
    <n v="16699"/>
    <n v="16511"/>
    <n v="18042"/>
    <n v="22497"/>
    <n v="20784"/>
    <n v="14190"/>
    <n v="12001"/>
    <n v="8229"/>
    <n v="6833"/>
    <n v="4574"/>
    <n v="4279"/>
    <n v="2273"/>
    <n v="2137"/>
    <n v="922"/>
    <n v="948"/>
    <n v="425"/>
    <n v="41435"/>
    <n v="32721"/>
    <n v="30315"/>
    <n v="33848"/>
    <n v="53053"/>
    <n v="58318"/>
    <n v="41648"/>
    <n v="33928"/>
    <n v="22171"/>
    <n v="18203"/>
    <n v="10943"/>
    <n v="10179"/>
    <n v="4636"/>
    <n v="4251"/>
    <n v="1626"/>
    <n v="1495"/>
    <n v="650"/>
  </r>
  <r>
    <s v="NGA"/>
    <x v="0"/>
    <m/>
    <x v="24"/>
    <m/>
    <s v="IBEJU-LEKKI"/>
    <m/>
    <n v="249612"/>
    <n v="233181"/>
    <n v="482793"/>
    <n v="30082"/>
    <n v="30355"/>
    <n v="30034"/>
    <n v="29148"/>
    <n v="25769"/>
    <n v="22353"/>
    <n v="17936"/>
    <n v="15704"/>
    <n v="12961"/>
    <n v="10610"/>
    <n v="7769"/>
    <n v="5466"/>
    <n v="3891"/>
    <n v="3201"/>
    <n v="2101"/>
    <n v="1582"/>
    <n v="650"/>
    <n v="28530"/>
    <n v="28448"/>
    <n v="28388"/>
    <n v="25883"/>
    <n v="21825"/>
    <n v="19544"/>
    <n v="16460"/>
    <n v="15614"/>
    <n v="11957"/>
    <n v="10346"/>
    <n v="7427"/>
    <n v="6086"/>
    <n v="4047"/>
    <n v="3758"/>
    <n v="2186"/>
    <n v="1783"/>
    <n v="899"/>
    <n v="58612"/>
    <n v="58803"/>
    <n v="58422"/>
    <n v="55031"/>
    <n v="47594"/>
    <n v="41897"/>
    <n v="34396"/>
    <n v="31318"/>
    <n v="24918"/>
    <n v="20956"/>
    <n v="15196"/>
    <n v="11552"/>
    <n v="7938"/>
    <n v="6959"/>
    <n v="4287"/>
    <n v="3365"/>
    <n v="1549"/>
  </r>
  <r>
    <s v="NGA"/>
    <x v="0"/>
    <m/>
    <x v="24"/>
    <m/>
    <s v="IFAKO-IJAYE"/>
    <m/>
    <n v="264070"/>
    <n v="245147"/>
    <n v="509217"/>
    <n v="33550"/>
    <n v="26008"/>
    <n v="22392"/>
    <n v="22221"/>
    <n v="29540"/>
    <n v="30041"/>
    <n v="27197"/>
    <n v="24512"/>
    <n v="15419"/>
    <n v="11980"/>
    <n v="6667"/>
    <n v="6906"/>
    <n v="3015"/>
    <n v="2813"/>
    <n v="929"/>
    <n v="604"/>
    <n v="276"/>
    <n v="33349"/>
    <n v="26897"/>
    <n v="25938"/>
    <n v="23342"/>
    <n v="24564"/>
    <n v="24700"/>
    <n v="21703"/>
    <n v="18805"/>
    <n v="12534"/>
    <n v="9998"/>
    <n v="6578"/>
    <n v="6884"/>
    <n v="3376"/>
    <n v="3162"/>
    <n v="1468"/>
    <n v="1174"/>
    <n v="675"/>
    <n v="66899"/>
    <n v="52905"/>
    <n v="48330"/>
    <n v="45563"/>
    <n v="54104"/>
    <n v="54741"/>
    <n v="48900"/>
    <n v="43317"/>
    <n v="27953"/>
    <n v="21978"/>
    <n v="13245"/>
    <n v="13790"/>
    <n v="6391"/>
    <n v="5975"/>
    <n v="2397"/>
    <n v="1778"/>
    <n v="951"/>
  </r>
  <r>
    <s v="NGA"/>
    <x v="0"/>
    <m/>
    <x v="24"/>
    <m/>
    <s v="IKEJA"/>
    <m/>
    <n v="237103"/>
    <n v="195144"/>
    <n v="432247"/>
    <n v="21289"/>
    <n v="17221"/>
    <n v="16555"/>
    <n v="19822"/>
    <n v="31693"/>
    <n v="34357"/>
    <n v="26882"/>
    <n v="22666"/>
    <n v="14952"/>
    <n v="11578"/>
    <n v="6467"/>
    <n v="6711"/>
    <n v="2596"/>
    <n v="2637"/>
    <n v="837"/>
    <n v="597"/>
    <n v="243"/>
    <n v="21300"/>
    <n v="17885"/>
    <n v="19694"/>
    <n v="21392"/>
    <n v="23655"/>
    <n v="21709"/>
    <n v="17144"/>
    <n v="14801"/>
    <n v="9966"/>
    <n v="8051"/>
    <n v="5231"/>
    <n v="5868"/>
    <n v="2660"/>
    <n v="2886"/>
    <n v="1362"/>
    <n v="1039"/>
    <n v="501"/>
    <n v="42589"/>
    <n v="35106"/>
    <n v="36249"/>
    <n v="41214"/>
    <n v="55348"/>
    <n v="56066"/>
    <n v="44026"/>
    <n v="37467"/>
    <n v="24918"/>
    <n v="19629"/>
    <n v="11698"/>
    <n v="12579"/>
    <n v="5256"/>
    <n v="5523"/>
    <n v="2199"/>
    <n v="1636"/>
    <n v="744"/>
  </r>
  <r>
    <s v="NGA"/>
    <x v="0"/>
    <m/>
    <x v="24"/>
    <m/>
    <s v="IKORODU"/>
    <m/>
    <n v="673852"/>
    <n v="637191"/>
    <n v="1311043"/>
    <n v="95755"/>
    <n v="74575"/>
    <n v="66500"/>
    <n v="62369"/>
    <n v="71610"/>
    <n v="68579"/>
    <n v="59822"/>
    <n v="56368"/>
    <n v="37814"/>
    <n v="29840"/>
    <n v="16558"/>
    <n v="15488"/>
    <n v="6744"/>
    <n v="6569"/>
    <n v="2416"/>
    <n v="1934"/>
    <n v="911"/>
    <n v="94697"/>
    <n v="76276"/>
    <n v="71691"/>
    <n v="61607"/>
    <n v="60816"/>
    <n v="58669"/>
    <n v="52911"/>
    <n v="46054"/>
    <n v="31962"/>
    <n v="24319"/>
    <n v="15069"/>
    <n v="14612"/>
    <n v="9136"/>
    <n v="8780"/>
    <n v="4885"/>
    <n v="3485"/>
    <n v="2222"/>
    <n v="190452"/>
    <n v="150851"/>
    <n v="138191"/>
    <n v="123976"/>
    <n v="132426"/>
    <n v="127248"/>
    <n v="112733"/>
    <n v="102422"/>
    <n v="69776"/>
    <n v="54159"/>
    <n v="31627"/>
    <n v="30100"/>
    <n v="15880"/>
    <n v="15349"/>
    <n v="7301"/>
    <n v="5419"/>
    <n v="3133"/>
  </r>
  <r>
    <s v="NGA"/>
    <x v="0"/>
    <m/>
    <x v="24"/>
    <m/>
    <s v="KOSOFE"/>
    <m/>
    <n v="445978"/>
    <n v="392382"/>
    <n v="838360"/>
    <n v="50662"/>
    <n v="39193"/>
    <n v="36143"/>
    <n v="39280"/>
    <n v="55267"/>
    <n v="56924"/>
    <n v="48080"/>
    <n v="40319"/>
    <n v="26389"/>
    <n v="19497"/>
    <n v="11167"/>
    <n v="10433"/>
    <n v="4665"/>
    <n v="4438"/>
    <n v="1762"/>
    <n v="1222"/>
    <n v="537"/>
    <n v="48979"/>
    <n v="40352"/>
    <n v="41234"/>
    <n v="40821"/>
    <n v="42699"/>
    <n v="40266"/>
    <n v="34043"/>
    <n v="28705"/>
    <n v="20309"/>
    <n v="16436"/>
    <n v="10834"/>
    <n v="11326"/>
    <n v="5699"/>
    <n v="5225"/>
    <n v="2580"/>
    <n v="1841"/>
    <n v="1033"/>
    <n v="99641"/>
    <n v="79545"/>
    <n v="77377"/>
    <n v="80101"/>
    <n v="97966"/>
    <n v="97190"/>
    <n v="82123"/>
    <n v="69024"/>
    <n v="46698"/>
    <n v="35933"/>
    <n v="22001"/>
    <n v="21759"/>
    <n v="10364"/>
    <n v="9663"/>
    <n v="4342"/>
    <n v="3063"/>
    <n v="1570"/>
  </r>
  <r>
    <s v="NGA"/>
    <x v="0"/>
    <m/>
    <x v="24"/>
    <m/>
    <s v="LAGOS ISLAND"/>
    <m/>
    <n v="123613"/>
    <n v="114019"/>
    <n v="237632"/>
    <n v="12400"/>
    <n v="9444"/>
    <n v="8915"/>
    <n v="10582"/>
    <n v="18338"/>
    <n v="17748"/>
    <n v="13263"/>
    <n v="10711"/>
    <n v="6604"/>
    <n v="4910"/>
    <n v="2906"/>
    <n v="2841"/>
    <n v="1481"/>
    <n v="1718"/>
    <n v="840"/>
    <n v="647"/>
    <n v="265"/>
    <n v="12391"/>
    <n v="10012"/>
    <n v="10149"/>
    <n v="11087"/>
    <n v="13264"/>
    <n v="11237"/>
    <n v="8853"/>
    <n v="7680"/>
    <n v="6370"/>
    <n v="5186"/>
    <n v="3904"/>
    <n v="4354"/>
    <n v="2870"/>
    <n v="2869"/>
    <n v="1764"/>
    <n v="1348"/>
    <n v="681"/>
    <n v="24791"/>
    <n v="19456"/>
    <n v="19064"/>
    <n v="21669"/>
    <n v="31602"/>
    <n v="28985"/>
    <n v="22116"/>
    <n v="18391"/>
    <n v="12974"/>
    <n v="10096"/>
    <n v="6810"/>
    <n v="7195"/>
    <n v="4351"/>
    <n v="4587"/>
    <n v="2604"/>
    <n v="1995"/>
    <n v="946"/>
  </r>
  <r>
    <s v="NGA"/>
    <x v="0"/>
    <m/>
    <x v="24"/>
    <m/>
    <s v="LAGOS MAINLAND"/>
    <m/>
    <n v="173667"/>
    <n v="156898"/>
    <n v="330565"/>
    <n v="17909"/>
    <n v="14925"/>
    <n v="14553"/>
    <n v="16753"/>
    <n v="23713"/>
    <n v="22519"/>
    <n v="16400"/>
    <n v="13349"/>
    <n v="8897"/>
    <n v="7570"/>
    <n v="4823"/>
    <n v="5220"/>
    <n v="2459"/>
    <n v="2458"/>
    <n v="1042"/>
    <n v="789"/>
    <n v="288"/>
    <n v="17954"/>
    <n v="15451"/>
    <n v="17711"/>
    <n v="16932"/>
    <n v="17328"/>
    <n v="14579"/>
    <n v="11488"/>
    <n v="9916"/>
    <n v="7924"/>
    <n v="7041"/>
    <n v="5120"/>
    <n v="5704"/>
    <n v="3129"/>
    <n v="3048"/>
    <n v="1686"/>
    <n v="1218"/>
    <n v="669"/>
    <n v="35863"/>
    <n v="30376"/>
    <n v="32264"/>
    <n v="33685"/>
    <n v="41041"/>
    <n v="37098"/>
    <n v="27888"/>
    <n v="23265"/>
    <n v="16821"/>
    <n v="14611"/>
    <n v="9943"/>
    <n v="10924"/>
    <n v="5588"/>
    <n v="5506"/>
    <n v="2728"/>
    <n v="2007"/>
    <n v="957"/>
  </r>
  <r>
    <s v="NGA"/>
    <x v="0"/>
    <m/>
    <x v="24"/>
    <m/>
    <s v="MUSHIN"/>
    <m/>
    <n v="335556"/>
    <n v="309286"/>
    <n v="644842"/>
    <n v="36038"/>
    <n v="29460"/>
    <n v="27809"/>
    <n v="30909"/>
    <n v="44881"/>
    <n v="41148"/>
    <n v="32184"/>
    <n v="26314"/>
    <n v="17483"/>
    <n v="14697"/>
    <n v="9487"/>
    <n v="10961"/>
    <n v="4973"/>
    <n v="5078"/>
    <n v="2074"/>
    <n v="1492"/>
    <n v="568"/>
    <n v="35369"/>
    <n v="30589"/>
    <n v="31638"/>
    <n v="31337"/>
    <n v="33400"/>
    <n v="29177"/>
    <n v="23429"/>
    <n v="20754"/>
    <n v="15978"/>
    <n v="14595"/>
    <n v="11048"/>
    <n v="11852"/>
    <n v="6895"/>
    <n v="6213"/>
    <n v="3316"/>
    <n v="2459"/>
    <n v="1237"/>
    <n v="71407"/>
    <n v="60049"/>
    <n v="59447"/>
    <n v="62246"/>
    <n v="78281"/>
    <n v="70325"/>
    <n v="55613"/>
    <n v="47068"/>
    <n v="33461"/>
    <n v="29292"/>
    <n v="20535"/>
    <n v="22813"/>
    <n v="11868"/>
    <n v="11291"/>
    <n v="5390"/>
    <n v="3951"/>
    <n v="1805"/>
  </r>
  <r>
    <s v="NGA"/>
    <x v="0"/>
    <m/>
    <x v="24"/>
    <m/>
    <s v="OJO"/>
    <m/>
    <n v="252829"/>
    <n v="228361"/>
    <n v="481190"/>
    <n v="34476"/>
    <n v="26641"/>
    <n v="24654"/>
    <n v="24034"/>
    <n v="29392"/>
    <n v="28765"/>
    <n v="23561"/>
    <n v="19967"/>
    <n v="13424"/>
    <n v="10749"/>
    <n v="6114"/>
    <n v="5745"/>
    <n v="2218"/>
    <n v="1794"/>
    <n v="642"/>
    <n v="434"/>
    <n v="219"/>
    <n v="34487"/>
    <n v="27539"/>
    <n v="27509"/>
    <n v="23826"/>
    <n v="24651"/>
    <n v="22733"/>
    <n v="18119"/>
    <n v="14978"/>
    <n v="10205"/>
    <n v="8362"/>
    <n v="5176"/>
    <n v="4512"/>
    <n v="2251"/>
    <n v="1844"/>
    <n v="986"/>
    <n v="734"/>
    <n v="449"/>
    <n v="68963"/>
    <n v="54180"/>
    <n v="52163"/>
    <n v="47860"/>
    <n v="54043"/>
    <n v="51498"/>
    <n v="41680"/>
    <n v="34945"/>
    <n v="23629"/>
    <n v="19111"/>
    <n v="11290"/>
    <n v="10257"/>
    <n v="4469"/>
    <n v="3638"/>
    <n v="1628"/>
    <n v="1168"/>
    <n v="668"/>
  </r>
  <r>
    <s v="NGA"/>
    <x v="0"/>
    <m/>
    <x v="24"/>
    <m/>
    <s v="OSHODI-ISOLO"/>
    <m/>
    <n v="401347"/>
    <n v="365559"/>
    <n v="766906"/>
    <n v="45757"/>
    <n v="36349"/>
    <n v="34367"/>
    <n v="37218"/>
    <n v="49730"/>
    <n v="48896"/>
    <n v="40752"/>
    <n v="34567"/>
    <n v="22298"/>
    <n v="18122"/>
    <n v="10496"/>
    <n v="10619"/>
    <n v="4444"/>
    <n v="4349"/>
    <n v="1681"/>
    <n v="1127"/>
    <n v="575"/>
    <n v="45952"/>
    <n v="37747"/>
    <n v="40344"/>
    <n v="39082"/>
    <n v="40647"/>
    <n v="37768"/>
    <n v="29875"/>
    <n v="25218"/>
    <n v="17577"/>
    <n v="15332"/>
    <n v="10168"/>
    <n v="10342"/>
    <n v="5277"/>
    <n v="4858"/>
    <n v="2455"/>
    <n v="1845"/>
    <n v="1072"/>
    <n v="91709"/>
    <n v="74096"/>
    <n v="74711"/>
    <n v="76300"/>
    <n v="90377"/>
    <n v="86664"/>
    <n v="70627"/>
    <n v="59785"/>
    <n v="39875"/>
    <n v="33454"/>
    <n v="20664"/>
    <n v="20961"/>
    <n v="9721"/>
    <n v="9207"/>
    <n v="4136"/>
    <n v="2972"/>
    <n v="1647"/>
  </r>
  <r>
    <s v="NGA"/>
    <x v="0"/>
    <m/>
    <x v="24"/>
    <m/>
    <s v="SOMOLU"/>
    <m/>
    <n v="256945"/>
    <n v="238596"/>
    <n v="495541"/>
    <n v="27619"/>
    <n v="22684"/>
    <n v="21943"/>
    <n v="23909"/>
    <n v="33106"/>
    <n v="32161"/>
    <n v="25536"/>
    <n v="20797"/>
    <n v="13400"/>
    <n v="11275"/>
    <n v="6743"/>
    <n v="7614"/>
    <n v="3630"/>
    <n v="3530"/>
    <n v="1398"/>
    <n v="1081"/>
    <n v="519"/>
    <n v="27783"/>
    <n v="23568"/>
    <n v="25181"/>
    <n v="24416"/>
    <n v="26420"/>
    <n v="23676"/>
    <n v="18752"/>
    <n v="16336"/>
    <n v="12145"/>
    <n v="10861"/>
    <n v="7896"/>
    <n v="8578"/>
    <n v="4203"/>
    <n v="4079"/>
    <n v="2103"/>
    <n v="1635"/>
    <n v="964"/>
    <n v="55402"/>
    <n v="46252"/>
    <n v="47124"/>
    <n v="48325"/>
    <n v="59526"/>
    <n v="55837"/>
    <n v="44288"/>
    <n v="37133"/>
    <n v="25545"/>
    <n v="22136"/>
    <n v="14639"/>
    <n v="16192"/>
    <n v="7833"/>
    <n v="7609"/>
    <n v="3501"/>
    <n v="2716"/>
    <n v="1483"/>
  </r>
  <r>
    <s v="NGA"/>
    <x v="0"/>
    <m/>
    <x v="24"/>
    <m/>
    <s v="SURULERE"/>
    <m/>
    <n v="547580"/>
    <n v="500187"/>
    <n v="1047767"/>
    <n v="56984"/>
    <n v="46766"/>
    <n v="45399"/>
    <n v="51136"/>
    <n v="69834"/>
    <n v="69047"/>
    <n v="56835"/>
    <n v="46226"/>
    <n v="30689"/>
    <n v="25145"/>
    <n v="14661"/>
    <n v="14517"/>
    <n v="6670"/>
    <n v="7019"/>
    <n v="3161"/>
    <n v="2513"/>
    <n v="978"/>
    <n v="55710"/>
    <n v="47701"/>
    <n v="53650"/>
    <n v="54646"/>
    <n v="54701"/>
    <n v="50433"/>
    <n v="40950"/>
    <n v="35548"/>
    <n v="25667"/>
    <n v="21772"/>
    <n v="14487"/>
    <n v="15912"/>
    <n v="9056"/>
    <n v="9215"/>
    <n v="4991"/>
    <n v="3848"/>
    <n v="1900"/>
    <n v="112694"/>
    <n v="94467"/>
    <n v="99049"/>
    <n v="105782"/>
    <n v="124535"/>
    <n v="119480"/>
    <n v="97785"/>
    <n v="81774"/>
    <n v="56356"/>
    <n v="46917"/>
    <n v="29148"/>
    <n v="30429"/>
    <n v="15726"/>
    <n v="16234"/>
    <n v="8152"/>
    <n v="6361"/>
    <n v="2878"/>
  </r>
  <r>
    <s v="NGA"/>
    <x v="0"/>
    <m/>
    <x v="25"/>
    <m/>
    <s v="AKWANGA"/>
    <m/>
    <n v="83961"/>
    <n v="82733"/>
    <n v="166694"/>
    <n v="13907"/>
    <n v="11584"/>
    <n v="10226"/>
    <n v="9611"/>
    <n v="8326"/>
    <n v="7007"/>
    <n v="5263"/>
    <n v="4528"/>
    <n v="3416"/>
    <n v="3015"/>
    <n v="2000"/>
    <n v="1723"/>
    <n v="972"/>
    <n v="1016"/>
    <n v="588"/>
    <n v="486"/>
    <n v="293"/>
    <n v="13744"/>
    <n v="11624"/>
    <n v="10349"/>
    <n v="9559"/>
    <n v="7938"/>
    <n v="6405"/>
    <n v="4830"/>
    <n v="4158"/>
    <n v="3492"/>
    <n v="2805"/>
    <n v="1986"/>
    <n v="1721"/>
    <n v="1367"/>
    <n v="1117"/>
    <n v="748"/>
    <n v="541"/>
    <n v="349"/>
    <n v="27651"/>
    <n v="23208"/>
    <n v="20575"/>
    <n v="19170"/>
    <n v="16264"/>
    <n v="13412"/>
    <n v="10093"/>
    <n v="8686"/>
    <n v="6908"/>
    <n v="5820"/>
    <n v="3986"/>
    <n v="3444"/>
    <n v="2339"/>
    <n v="2133"/>
    <n v="1336"/>
    <n v="1027"/>
    <n v="642"/>
  </r>
  <r>
    <s v="NGA"/>
    <x v="0"/>
    <m/>
    <x v="25"/>
    <m/>
    <s v="AWE"/>
    <m/>
    <n v="79371"/>
    <n v="76890"/>
    <n v="156261"/>
    <n v="16255"/>
    <n v="12479"/>
    <n v="10057"/>
    <n v="8475"/>
    <n v="6285"/>
    <n v="5298"/>
    <n v="4634"/>
    <n v="3935"/>
    <n v="3209"/>
    <n v="2488"/>
    <n v="2121"/>
    <n v="1191"/>
    <n v="1177"/>
    <n v="652"/>
    <n v="560"/>
    <n v="265"/>
    <n v="290"/>
    <n v="15572"/>
    <n v="11710"/>
    <n v="9461"/>
    <n v="7965"/>
    <n v="6466"/>
    <n v="5588"/>
    <n v="4685"/>
    <n v="3661"/>
    <n v="3031"/>
    <n v="2254"/>
    <n v="1889"/>
    <n v="1314"/>
    <n v="1225"/>
    <n v="761"/>
    <n v="581"/>
    <n v="446"/>
    <n v="281"/>
    <n v="31827"/>
    <n v="24189"/>
    <n v="19518"/>
    <n v="16440"/>
    <n v="12751"/>
    <n v="10886"/>
    <n v="9319"/>
    <n v="7596"/>
    <n v="6240"/>
    <n v="4742"/>
    <n v="4010"/>
    <n v="2505"/>
    <n v="2402"/>
    <n v="1413"/>
    <n v="1141"/>
    <n v="711"/>
    <n v="571"/>
  </r>
  <r>
    <s v="NGA"/>
    <x v="0"/>
    <m/>
    <x v="25"/>
    <m/>
    <s v="DOMA"/>
    <m/>
    <n v="95617"/>
    <n v="89968"/>
    <n v="185585"/>
    <n v="18600"/>
    <n v="14380"/>
    <n v="12627"/>
    <n v="11364"/>
    <n v="8014"/>
    <n v="6522"/>
    <n v="5599"/>
    <n v="4770"/>
    <n v="3697"/>
    <n v="2883"/>
    <n v="2386"/>
    <n v="1376"/>
    <n v="1337"/>
    <n v="764"/>
    <n v="597"/>
    <n v="376"/>
    <n v="325"/>
    <n v="17630"/>
    <n v="13597"/>
    <n v="11072"/>
    <n v="9798"/>
    <n v="7714"/>
    <n v="6684"/>
    <n v="5406"/>
    <n v="4326"/>
    <n v="3604"/>
    <n v="2608"/>
    <n v="2245"/>
    <n v="1398"/>
    <n v="1380"/>
    <n v="982"/>
    <n v="710"/>
    <n v="543"/>
    <n v="271"/>
    <n v="36230"/>
    <n v="27977"/>
    <n v="23699"/>
    <n v="21162"/>
    <n v="15728"/>
    <n v="13206"/>
    <n v="11005"/>
    <n v="9096"/>
    <n v="7301"/>
    <n v="5491"/>
    <n v="4631"/>
    <n v="2774"/>
    <n v="2717"/>
    <n v="1746"/>
    <n v="1307"/>
    <n v="919"/>
    <n v="596"/>
  </r>
  <r>
    <s v="NGA"/>
    <x v="0"/>
    <m/>
    <x v="25"/>
    <m/>
    <s v="KARU"/>
    <m/>
    <n v="173334"/>
    <n v="165705"/>
    <n v="339039"/>
    <n v="31089"/>
    <n v="23289"/>
    <n v="18651"/>
    <n v="15629"/>
    <n v="14443"/>
    <n v="15464"/>
    <n v="14241"/>
    <n v="12388"/>
    <n v="8550"/>
    <n v="6466"/>
    <n v="3882"/>
    <n v="3335"/>
    <n v="1764"/>
    <n v="1653"/>
    <n v="1151"/>
    <n v="803"/>
    <n v="536"/>
    <n v="30657"/>
    <n v="23675"/>
    <n v="19663"/>
    <n v="16284"/>
    <n v="16124"/>
    <n v="15370"/>
    <n v="11470"/>
    <n v="8720"/>
    <n v="6074"/>
    <n v="4587"/>
    <n v="3517"/>
    <n v="2924"/>
    <n v="1995"/>
    <n v="1993"/>
    <n v="1229"/>
    <n v="834"/>
    <n v="589"/>
    <n v="61746"/>
    <n v="46964"/>
    <n v="38314"/>
    <n v="31913"/>
    <n v="30567"/>
    <n v="30834"/>
    <n v="25711"/>
    <n v="21108"/>
    <n v="14624"/>
    <n v="11053"/>
    <n v="7399"/>
    <n v="6259"/>
    <n v="3759"/>
    <n v="3646"/>
    <n v="2380"/>
    <n v="1637"/>
    <n v="1125"/>
  </r>
  <r>
    <s v="NGA"/>
    <x v="0"/>
    <m/>
    <x v="25"/>
    <m/>
    <s v="KEANA"/>
    <m/>
    <n v="56589"/>
    <n v="56444"/>
    <n v="113033"/>
    <n v="10781"/>
    <n v="8817"/>
    <n v="7098"/>
    <n v="6249"/>
    <n v="4716"/>
    <n v="3946"/>
    <n v="3335"/>
    <n v="2762"/>
    <n v="2324"/>
    <n v="1763"/>
    <n v="1479"/>
    <n v="900"/>
    <n v="922"/>
    <n v="669"/>
    <n v="398"/>
    <n v="236"/>
    <n v="194"/>
    <n v="10425"/>
    <n v="8375"/>
    <n v="7117"/>
    <n v="6750"/>
    <n v="4920"/>
    <n v="3987"/>
    <n v="3349"/>
    <n v="2623"/>
    <n v="2238"/>
    <n v="1626"/>
    <n v="1395"/>
    <n v="1046"/>
    <n v="1137"/>
    <n v="505"/>
    <n v="403"/>
    <n v="349"/>
    <n v="199"/>
    <n v="21206"/>
    <n v="17192"/>
    <n v="14215"/>
    <n v="12999"/>
    <n v="9636"/>
    <n v="7933"/>
    <n v="6684"/>
    <n v="5385"/>
    <n v="4562"/>
    <n v="3389"/>
    <n v="2874"/>
    <n v="1946"/>
    <n v="2059"/>
    <n v="1174"/>
    <n v="801"/>
    <n v="585"/>
    <n v="393"/>
  </r>
  <r>
    <s v="NGA"/>
    <x v="0"/>
    <m/>
    <x v="25"/>
    <m/>
    <s v="KEFFI"/>
    <m/>
    <n v="62847"/>
    <n v="58327"/>
    <n v="121174"/>
    <n v="10054"/>
    <n v="8611"/>
    <n v="7829"/>
    <n v="7311"/>
    <n v="6483"/>
    <n v="5538"/>
    <n v="4177"/>
    <n v="3595"/>
    <n v="2574"/>
    <n v="2121"/>
    <n v="1391"/>
    <n v="1097"/>
    <n v="700"/>
    <n v="578"/>
    <n v="404"/>
    <n v="230"/>
    <n v="154"/>
    <n v="10337"/>
    <n v="8466"/>
    <n v="7453"/>
    <n v="6750"/>
    <n v="5973"/>
    <n v="4713"/>
    <n v="3518"/>
    <n v="2911"/>
    <n v="2368"/>
    <n v="1615"/>
    <n v="1277"/>
    <n v="884"/>
    <n v="673"/>
    <n v="492"/>
    <n v="438"/>
    <n v="222"/>
    <n v="237"/>
    <n v="20391"/>
    <n v="17077"/>
    <n v="15282"/>
    <n v="14061"/>
    <n v="12456"/>
    <n v="10251"/>
    <n v="7695"/>
    <n v="6506"/>
    <n v="4942"/>
    <n v="3736"/>
    <n v="2668"/>
    <n v="1981"/>
    <n v="1373"/>
    <n v="1070"/>
    <n v="842"/>
    <n v="452"/>
    <n v="391"/>
  </r>
  <r>
    <s v="NGA"/>
    <x v="0"/>
    <m/>
    <x v="25"/>
    <m/>
    <s v="KOKONA"/>
    <m/>
    <n v="71397"/>
    <n v="70735"/>
    <n v="142132"/>
    <n v="13792"/>
    <n v="11218"/>
    <n v="8705"/>
    <n v="7631"/>
    <n v="5543"/>
    <n v="5046"/>
    <n v="4413"/>
    <n v="3893"/>
    <n v="2930"/>
    <n v="2286"/>
    <n v="1730"/>
    <n v="1219"/>
    <n v="900"/>
    <n v="759"/>
    <n v="631"/>
    <n v="423"/>
    <n v="278"/>
    <n v="13287"/>
    <n v="10693"/>
    <n v="8466"/>
    <n v="7334"/>
    <n v="6229"/>
    <n v="5418"/>
    <n v="4313"/>
    <n v="3498"/>
    <n v="2843"/>
    <n v="2117"/>
    <n v="1735"/>
    <n v="1350"/>
    <n v="1105"/>
    <n v="894"/>
    <n v="731"/>
    <n v="398"/>
    <n v="324"/>
    <n v="27079"/>
    <n v="21911"/>
    <n v="17171"/>
    <n v="14965"/>
    <n v="11772"/>
    <n v="10464"/>
    <n v="8726"/>
    <n v="7391"/>
    <n v="5773"/>
    <n v="4403"/>
    <n v="3465"/>
    <n v="2569"/>
    <n v="2005"/>
    <n v="1653"/>
    <n v="1362"/>
    <n v="821"/>
    <n v="602"/>
  </r>
  <r>
    <s v="NGA"/>
    <x v="0"/>
    <m/>
    <x v="25"/>
    <m/>
    <s v="LAFIA"/>
    <m/>
    <n v="199169"/>
    <n v="195120"/>
    <n v="394289"/>
    <n v="36926"/>
    <n v="29963"/>
    <n v="24727"/>
    <n v="21543"/>
    <n v="16667"/>
    <n v="14731"/>
    <n v="12965"/>
    <n v="10804"/>
    <n v="8655"/>
    <n v="6561"/>
    <n v="4993"/>
    <n v="3425"/>
    <n v="2472"/>
    <n v="1977"/>
    <n v="1343"/>
    <n v="827"/>
    <n v="590"/>
    <n v="35887"/>
    <n v="29629"/>
    <n v="24391"/>
    <n v="21780"/>
    <n v="18238"/>
    <n v="15374"/>
    <n v="12043"/>
    <n v="9491"/>
    <n v="7771"/>
    <n v="5411"/>
    <n v="4366"/>
    <n v="2981"/>
    <n v="2592"/>
    <n v="2120"/>
    <n v="1571"/>
    <n v="837"/>
    <n v="638"/>
    <n v="72813"/>
    <n v="59592"/>
    <n v="49118"/>
    <n v="43323"/>
    <n v="34905"/>
    <n v="30105"/>
    <n v="25008"/>
    <n v="20295"/>
    <n v="16426"/>
    <n v="11972"/>
    <n v="9359"/>
    <n v="6406"/>
    <n v="5064"/>
    <n v="4097"/>
    <n v="2914"/>
    <n v="1664"/>
    <n v="1228"/>
  </r>
  <r>
    <s v="NGA"/>
    <x v="0"/>
    <m/>
    <x v="25"/>
    <m/>
    <s v="NASARAWA"/>
    <m/>
    <n v="121884"/>
    <n v="117093"/>
    <n v="238977"/>
    <n v="22600"/>
    <n v="17874"/>
    <n v="15075"/>
    <n v="13138"/>
    <n v="10795"/>
    <n v="8973"/>
    <n v="7577"/>
    <n v="6254"/>
    <n v="5279"/>
    <n v="4012"/>
    <n v="3123"/>
    <n v="2226"/>
    <n v="1559"/>
    <n v="1408"/>
    <n v="964"/>
    <n v="608"/>
    <n v="419"/>
    <n v="22016"/>
    <n v="17158"/>
    <n v="14341"/>
    <n v="12637"/>
    <n v="10502"/>
    <n v="8822"/>
    <n v="7390"/>
    <n v="5741"/>
    <n v="4833"/>
    <n v="3442"/>
    <n v="2795"/>
    <n v="2175"/>
    <n v="1852"/>
    <n v="1289"/>
    <n v="924"/>
    <n v="735"/>
    <n v="441"/>
    <n v="44616"/>
    <n v="35032"/>
    <n v="29416"/>
    <n v="25775"/>
    <n v="21297"/>
    <n v="17795"/>
    <n v="14967"/>
    <n v="11995"/>
    <n v="10112"/>
    <n v="7454"/>
    <n v="5918"/>
    <n v="4401"/>
    <n v="3411"/>
    <n v="2697"/>
    <n v="1888"/>
    <n v="1343"/>
    <n v="860"/>
  </r>
  <r>
    <s v="NGA"/>
    <x v="0"/>
    <m/>
    <x v="25"/>
    <m/>
    <s v="NASARAWA EGON"/>
    <m/>
    <n v="132018"/>
    <n v="130214"/>
    <n v="262232"/>
    <n v="25354"/>
    <n v="19766"/>
    <n v="16537"/>
    <n v="14400"/>
    <n v="10789"/>
    <n v="9335"/>
    <n v="8103"/>
    <n v="7011"/>
    <n v="5547"/>
    <n v="4312"/>
    <n v="3200"/>
    <n v="2494"/>
    <n v="1781"/>
    <n v="1298"/>
    <n v="991"/>
    <n v="613"/>
    <n v="487"/>
    <n v="24834"/>
    <n v="19194"/>
    <n v="15819"/>
    <n v="13808"/>
    <n v="11369"/>
    <n v="9782"/>
    <n v="7977"/>
    <n v="6337"/>
    <n v="5296"/>
    <n v="3845"/>
    <n v="3236"/>
    <n v="2445"/>
    <n v="1872"/>
    <n v="1699"/>
    <n v="1256"/>
    <n v="984"/>
    <n v="461"/>
    <n v="50188"/>
    <n v="38960"/>
    <n v="32356"/>
    <n v="28208"/>
    <n v="22158"/>
    <n v="19117"/>
    <n v="16080"/>
    <n v="13348"/>
    <n v="10843"/>
    <n v="8157"/>
    <n v="6436"/>
    <n v="4939"/>
    <n v="3653"/>
    <n v="2997"/>
    <n v="2247"/>
    <n v="1597"/>
    <n v="948"/>
  </r>
  <r>
    <s v="NGA"/>
    <x v="0"/>
    <m/>
    <x v="25"/>
    <m/>
    <s v="OBI"/>
    <m/>
    <n v="96172"/>
    <n v="95217"/>
    <n v="191389"/>
    <n v="18868"/>
    <n v="14586"/>
    <n v="12948"/>
    <n v="11242"/>
    <n v="7584"/>
    <n v="6362"/>
    <n v="5614"/>
    <n v="4685"/>
    <n v="3865"/>
    <n v="2958"/>
    <n v="2371"/>
    <n v="1493"/>
    <n v="1224"/>
    <n v="852"/>
    <n v="711"/>
    <n v="459"/>
    <n v="350"/>
    <n v="18418"/>
    <n v="14146"/>
    <n v="11814"/>
    <n v="10640"/>
    <n v="8401"/>
    <n v="6932"/>
    <n v="5575"/>
    <n v="4505"/>
    <n v="3678"/>
    <n v="2763"/>
    <n v="2274"/>
    <n v="1765"/>
    <n v="1558"/>
    <n v="1247"/>
    <n v="736"/>
    <n v="390"/>
    <n v="375"/>
    <n v="37286"/>
    <n v="28732"/>
    <n v="24762"/>
    <n v="21882"/>
    <n v="15985"/>
    <n v="13294"/>
    <n v="11189"/>
    <n v="9190"/>
    <n v="7543"/>
    <n v="5721"/>
    <n v="4645"/>
    <n v="3258"/>
    <n v="2782"/>
    <n v="2099"/>
    <n v="1447"/>
    <n v="849"/>
    <n v="725"/>
  </r>
  <r>
    <s v="NGA"/>
    <x v="0"/>
    <m/>
    <x v="25"/>
    <m/>
    <s v="TOTO"/>
    <m/>
    <n v="69571"/>
    <n v="68344"/>
    <n v="137915"/>
    <n v="13923"/>
    <n v="10585"/>
    <n v="8665"/>
    <n v="7416"/>
    <n v="5590"/>
    <n v="4714"/>
    <n v="4110"/>
    <n v="3632"/>
    <n v="2883"/>
    <n v="2246"/>
    <n v="1677"/>
    <n v="1311"/>
    <n v="906"/>
    <n v="797"/>
    <n v="533"/>
    <n v="351"/>
    <n v="232"/>
    <n v="13403"/>
    <n v="10077"/>
    <n v="8232"/>
    <n v="7244"/>
    <n v="5822"/>
    <n v="5069"/>
    <n v="4123"/>
    <n v="3371"/>
    <n v="2771"/>
    <n v="2062"/>
    <n v="1661"/>
    <n v="1322"/>
    <n v="945"/>
    <n v="923"/>
    <n v="518"/>
    <n v="514"/>
    <n v="287"/>
    <n v="27326"/>
    <n v="20662"/>
    <n v="16897"/>
    <n v="14660"/>
    <n v="11412"/>
    <n v="9783"/>
    <n v="8233"/>
    <n v="7003"/>
    <n v="5654"/>
    <n v="4308"/>
    <n v="3338"/>
    <n v="2633"/>
    <n v="1851"/>
    <n v="1720"/>
    <n v="1051"/>
    <n v="865"/>
    <n v="519"/>
  </r>
  <r>
    <s v="NGA"/>
    <x v="0"/>
    <m/>
    <x v="25"/>
    <m/>
    <s v="WAMBA"/>
    <m/>
    <n v="54849"/>
    <n v="53431"/>
    <n v="108280"/>
    <n v="10692"/>
    <n v="8197"/>
    <n v="6676"/>
    <n v="5745"/>
    <n v="4528"/>
    <n v="3882"/>
    <n v="3417"/>
    <n v="2954"/>
    <n v="2314"/>
    <n v="1834"/>
    <n v="1317"/>
    <n v="1041"/>
    <n v="680"/>
    <n v="688"/>
    <n v="397"/>
    <n v="257"/>
    <n v="230"/>
    <n v="10354"/>
    <n v="7810"/>
    <n v="6409"/>
    <n v="5589"/>
    <n v="4398"/>
    <n v="3974"/>
    <n v="3208"/>
    <n v="2624"/>
    <n v="2170"/>
    <n v="1653"/>
    <n v="1253"/>
    <n v="1262"/>
    <n v="840"/>
    <n v="870"/>
    <n v="433"/>
    <n v="370"/>
    <n v="214"/>
    <n v="21046"/>
    <n v="16007"/>
    <n v="13085"/>
    <n v="11334"/>
    <n v="8926"/>
    <n v="7856"/>
    <n v="6625"/>
    <n v="5578"/>
    <n v="4484"/>
    <n v="3487"/>
    <n v="2570"/>
    <n v="2303"/>
    <n v="1520"/>
    <n v="1558"/>
    <n v="830"/>
    <n v="627"/>
    <n v="444"/>
  </r>
  <r>
    <s v="NGA"/>
    <x v="0"/>
    <m/>
    <x v="26"/>
    <m/>
    <s v="AGAIE"/>
    <m/>
    <n v="96222"/>
    <n v="93984"/>
    <n v="190206"/>
    <n v="19839"/>
    <n v="14859"/>
    <n v="12062"/>
    <n v="9775"/>
    <n v="7332"/>
    <n v="6497"/>
    <n v="5811"/>
    <n v="5068"/>
    <n v="4058"/>
    <n v="3112"/>
    <n v="2530"/>
    <n v="1454"/>
    <n v="1501"/>
    <n v="909"/>
    <n v="756"/>
    <n v="379"/>
    <n v="280"/>
    <n v="18783"/>
    <n v="14080"/>
    <n v="11378"/>
    <n v="9906"/>
    <n v="7984"/>
    <n v="6882"/>
    <n v="5761"/>
    <n v="4581"/>
    <n v="3795"/>
    <n v="2713"/>
    <n v="2310"/>
    <n v="1728"/>
    <n v="1485"/>
    <n v="1208"/>
    <n v="668"/>
    <n v="468"/>
    <n v="254"/>
    <n v="38622"/>
    <n v="28939"/>
    <n v="23440"/>
    <n v="19681"/>
    <n v="15316"/>
    <n v="13379"/>
    <n v="11572"/>
    <n v="9649"/>
    <n v="7853"/>
    <n v="5825"/>
    <n v="4840"/>
    <n v="3182"/>
    <n v="2986"/>
    <n v="2117"/>
    <n v="1424"/>
    <n v="847"/>
    <n v="534"/>
  </r>
  <r>
    <s v="NGA"/>
    <x v="0"/>
    <m/>
    <x v="26"/>
    <m/>
    <s v="AGWARA"/>
    <m/>
    <n v="37760"/>
    <n v="35897"/>
    <n v="73657"/>
    <n v="8013"/>
    <n v="5965"/>
    <n v="4230"/>
    <n v="3788"/>
    <n v="2803"/>
    <n v="2660"/>
    <n v="2343"/>
    <n v="2010"/>
    <n v="1599"/>
    <n v="1227"/>
    <n v="932"/>
    <n v="641"/>
    <n v="495"/>
    <n v="416"/>
    <n v="333"/>
    <n v="186"/>
    <n v="119"/>
    <n v="7664"/>
    <n v="5752"/>
    <n v="4067"/>
    <n v="3503"/>
    <n v="3142"/>
    <n v="2586"/>
    <n v="2086"/>
    <n v="1793"/>
    <n v="1329"/>
    <n v="994"/>
    <n v="756"/>
    <n v="723"/>
    <n v="456"/>
    <n v="390"/>
    <n v="322"/>
    <n v="181"/>
    <n v="153"/>
    <n v="15677"/>
    <n v="11717"/>
    <n v="8297"/>
    <n v="7291"/>
    <n v="5945"/>
    <n v="5246"/>
    <n v="4429"/>
    <n v="3803"/>
    <n v="2928"/>
    <n v="2221"/>
    <n v="1688"/>
    <n v="1364"/>
    <n v="951"/>
    <n v="806"/>
    <n v="655"/>
    <n v="367"/>
    <n v="272"/>
  </r>
  <r>
    <s v="NGA"/>
    <x v="0"/>
    <m/>
    <x v="26"/>
    <m/>
    <s v="BIDA"/>
    <m/>
    <n v="145818"/>
    <n v="140672"/>
    <n v="286490"/>
    <n v="28434"/>
    <n v="22332"/>
    <n v="17856"/>
    <n v="15479"/>
    <n v="12295"/>
    <n v="10694"/>
    <n v="9051"/>
    <n v="7729"/>
    <n v="6268"/>
    <n v="4749"/>
    <n v="3326"/>
    <n v="2529"/>
    <n v="1883"/>
    <n v="1419"/>
    <n v="902"/>
    <n v="568"/>
    <n v="304"/>
    <n v="26164"/>
    <n v="20590"/>
    <n v="17595"/>
    <n v="16182"/>
    <n v="13664"/>
    <n v="11427"/>
    <n v="8556"/>
    <n v="7029"/>
    <n v="5349"/>
    <n v="3985"/>
    <n v="3005"/>
    <n v="2398"/>
    <n v="1708"/>
    <n v="1335"/>
    <n v="794"/>
    <n v="518"/>
    <n v="373"/>
    <n v="54598"/>
    <n v="42922"/>
    <n v="35451"/>
    <n v="31661"/>
    <n v="25959"/>
    <n v="22121"/>
    <n v="17607"/>
    <n v="14758"/>
    <n v="11617"/>
    <n v="8734"/>
    <n v="6331"/>
    <n v="4927"/>
    <n v="3591"/>
    <n v="2754"/>
    <n v="1696"/>
    <n v="1086"/>
    <n v="677"/>
  </r>
  <r>
    <s v="NGA"/>
    <x v="0"/>
    <m/>
    <x v="26"/>
    <m/>
    <s v="BORGU"/>
    <m/>
    <n v="119777"/>
    <n v="116153"/>
    <n v="235930"/>
    <n v="23364"/>
    <n v="18282"/>
    <n v="14224"/>
    <n v="11726"/>
    <n v="8819"/>
    <n v="8513"/>
    <n v="7762"/>
    <n v="6857"/>
    <n v="5395"/>
    <n v="4099"/>
    <n v="3252"/>
    <n v="2433"/>
    <n v="1947"/>
    <n v="1248"/>
    <n v="978"/>
    <n v="502"/>
    <n v="376"/>
    <n v="22714"/>
    <n v="18202"/>
    <n v="14070"/>
    <n v="12169"/>
    <n v="10382"/>
    <n v="8739"/>
    <n v="7162"/>
    <n v="5549"/>
    <n v="4659"/>
    <n v="3294"/>
    <n v="2839"/>
    <n v="1875"/>
    <n v="1595"/>
    <n v="1184"/>
    <n v="852"/>
    <n v="498"/>
    <n v="370"/>
    <n v="46078"/>
    <n v="36484"/>
    <n v="28294"/>
    <n v="23895"/>
    <n v="19201"/>
    <n v="17252"/>
    <n v="14924"/>
    <n v="12406"/>
    <n v="10054"/>
    <n v="7393"/>
    <n v="6091"/>
    <n v="4308"/>
    <n v="3542"/>
    <n v="2432"/>
    <n v="1830"/>
    <n v="1000"/>
    <n v="746"/>
  </r>
  <r>
    <s v="NGA"/>
    <x v="0"/>
    <m/>
    <x v="26"/>
    <m/>
    <s v="BOSSO"/>
    <m/>
    <n v="113129"/>
    <n v="108472"/>
    <n v="221601"/>
    <n v="20823"/>
    <n v="16112"/>
    <n v="13894"/>
    <n v="12188"/>
    <n v="10365"/>
    <n v="9028"/>
    <n v="7040"/>
    <n v="6445"/>
    <n v="4504"/>
    <n v="3911"/>
    <n v="2765"/>
    <n v="2321"/>
    <n v="1187"/>
    <n v="1111"/>
    <n v="553"/>
    <n v="475"/>
    <n v="407"/>
    <n v="20664"/>
    <n v="16457"/>
    <n v="13737"/>
    <n v="12462"/>
    <n v="10045"/>
    <n v="8542"/>
    <n v="6739"/>
    <n v="5077"/>
    <n v="4054"/>
    <n v="3048"/>
    <n v="2206"/>
    <n v="1634"/>
    <n v="1132"/>
    <n v="920"/>
    <n v="735"/>
    <n v="566"/>
    <n v="454"/>
    <n v="41487"/>
    <n v="32569"/>
    <n v="27631"/>
    <n v="24650"/>
    <n v="20410"/>
    <n v="17570"/>
    <n v="13779"/>
    <n v="11522"/>
    <n v="8558"/>
    <n v="6959"/>
    <n v="4971"/>
    <n v="3955"/>
    <n v="2319"/>
    <n v="2031"/>
    <n v="1288"/>
    <n v="1041"/>
    <n v="861"/>
  </r>
  <r>
    <s v="NGA"/>
    <x v="0"/>
    <m/>
    <x v="26"/>
    <m/>
    <s v="CHANCHAGA"/>
    <m/>
    <n v="130277"/>
    <n v="117278"/>
    <n v="247555"/>
    <n v="19833"/>
    <n v="16274"/>
    <n v="15846"/>
    <n v="14497"/>
    <n v="13653"/>
    <n v="12015"/>
    <n v="9218"/>
    <n v="8639"/>
    <n v="5721"/>
    <n v="5209"/>
    <n v="3067"/>
    <n v="2866"/>
    <n v="1304"/>
    <n v="1081"/>
    <n v="496"/>
    <n v="359"/>
    <n v="199"/>
    <n v="20052"/>
    <n v="16806"/>
    <n v="16268"/>
    <n v="13059"/>
    <n v="11068"/>
    <n v="9785"/>
    <n v="7555"/>
    <n v="6365"/>
    <n v="4822"/>
    <n v="3524"/>
    <n v="2433"/>
    <n v="1914"/>
    <n v="1199"/>
    <n v="1057"/>
    <n v="607"/>
    <n v="438"/>
    <n v="326"/>
    <n v="39885"/>
    <n v="33080"/>
    <n v="32114"/>
    <n v="27556"/>
    <n v="24721"/>
    <n v="21800"/>
    <n v="16773"/>
    <n v="15004"/>
    <n v="10543"/>
    <n v="8733"/>
    <n v="5500"/>
    <n v="4780"/>
    <n v="2503"/>
    <n v="2138"/>
    <n v="1103"/>
    <n v="797"/>
    <n v="525"/>
  </r>
  <r>
    <s v="NGA"/>
    <x v="0"/>
    <m/>
    <x v="26"/>
    <m/>
    <s v="EDATI"/>
    <m/>
    <n v="122254"/>
    <n v="120007"/>
    <n v="242261"/>
    <n v="25318"/>
    <n v="18668"/>
    <n v="14953"/>
    <n v="12431"/>
    <n v="9557"/>
    <n v="8170"/>
    <n v="7280"/>
    <n v="6344"/>
    <n v="5161"/>
    <n v="4071"/>
    <n v="3163"/>
    <n v="2245"/>
    <n v="1600"/>
    <n v="1247"/>
    <n v="970"/>
    <n v="586"/>
    <n v="490"/>
    <n v="24282"/>
    <n v="17774"/>
    <n v="14211"/>
    <n v="12062"/>
    <n v="9779"/>
    <n v="8871"/>
    <n v="7354"/>
    <n v="6076"/>
    <n v="4912"/>
    <n v="3712"/>
    <n v="2987"/>
    <n v="2534"/>
    <n v="2071"/>
    <n v="1461"/>
    <n v="931"/>
    <n v="644"/>
    <n v="346"/>
    <n v="49600"/>
    <n v="36442"/>
    <n v="29164"/>
    <n v="24493"/>
    <n v="19336"/>
    <n v="17041"/>
    <n v="14634"/>
    <n v="12420"/>
    <n v="10073"/>
    <n v="7783"/>
    <n v="6150"/>
    <n v="4779"/>
    <n v="3671"/>
    <n v="2708"/>
    <n v="1901"/>
    <n v="1230"/>
    <n v="836"/>
  </r>
  <r>
    <s v="NGA"/>
    <x v="0"/>
    <m/>
    <x v="26"/>
    <m/>
    <s v="GBAKO"/>
    <m/>
    <n v="79706"/>
    <n v="78288"/>
    <n v="157994"/>
    <n v="16323"/>
    <n v="13137"/>
    <n v="10049"/>
    <n v="7673"/>
    <n v="5636"/>
    <n v="5390"/>
    <n v="4982"/>
    <n v="4225"/>
    <n v="3420"/>
    <n v="2497"/>
    <n v="2194"/>
    <n v="1125"/>
    <n v="1239"/>
    <n v="595"/>
    <n v="666"/>
    <n v="228"/>
    <n v="327"/>
    <n v="15405"/>
    <n v="12359"/>
    <n v="9130"/>
    <n v="7862"/>
    <n v="6904"/>
    <n v="6073"/>
    <n v="4974"/>
    <n v="3837"/>
    <n v="3125"/>
    <n v="2246"/>
    <n v="1917"/>
    <n v="1211"/>
    <n v="1284"/>
    <n v="868"/>
    <n v="539"/>
    <n v="335"/>
    <n v="219"/>
    <n v="31728"/>
    <n v="25496"/>
    <n v="19179"/>
    <n v="15535"/>
    <n v="12540"/>
    <n v="11463"/>
    <n v="9956"/>
    <n v="8062"/>
    <n v="6545"/>
    <n v="4743"/>
    <n v="4111"/>
    <n v="2336"/>
    <n v="2523"/>
    <n v="1463"/>
    <n v="1205"/>
    <n v="563"/>
    <n v="546"/>
  </r>
  <r>
    <s v="NGA"/>
    <x v="0"/>
    <m/>
    <x v="26"/>
    <m/>
    <s v="GURARA"/>
    <m/>
    <n v="73397"/>
    <n v="73704"/>
    <n v="147101"/>
    <n v="14204"/>
    <n v="11889"/>
    <n v="8952"/>
    <n v="7225"/>
    <n v="5515"/>
    <n v="5445"/>
    <n v="4890"/>
    <n v="4107"/>
    <n v="3045"/>
    <n v="2277"/>
    <n v="1818"/>
    <n v="1159"/>
    <n v="931"/>
    <n v="688"/>
    <n v="583"/>
    <n v="350"/>
    <n v="319"/>
    <n v="14090"/>
    <n v="11349"/>
    <n v="8872"/>
    <n v="8426"/>
    <n v="6878"/>
    <n v="5834"/>
    <n v="4473"/>
    <n v="3330"/>
    <n v="2624"/>
    <n v="1996"/>
    <n v="1511"/>
    <n v="1247"/>
    <n v="1050"/>
    <n v="771"/>
    <n v="548"/>
    <n v="375"/>
    <n v="330"/>
    <n v="28294"/>
    <n v="23238"/>
    <n v="17824"/>
    <n v="15651"/>
    <n v="12393"/>
    <n v="11279"/>
    <n v="9363"/>
    <n v="7437"/>
    <n v="5669"/>
    <n v="4273"/>
    <n v="3329"/>
    <n v="2406"/>
    <n v="1981"/>
    <n v="1459"/>
    <n v="1131"/>
    <n v="725"/>
    <n v="649"/>
  </r>
  <r>
    <s v="NGA"/>
    <x v="0"/>
    <m/>
    <x v="26"/>
    <m/>
    <s v="KATCHA"/>
    <m/>
    <n v="93720"/>
    <n v="92938"/>
    <n v="186658"/>
    <n v="18712"/>
    <n v="15386"/>
    <n v="11598"/>
    <n v="9221"/>
    <n v="6859"/>
    <n v="6513"/>
    <n v="5717"/>
    <n v="4911"/>
    <n v="4026"/>
    <n v="2946"/>
    <n v="2561"/>
    <n v="1283"/>
    <n v="1466"/>
    <n v="979"/>
    <n v="796"/>
    <n v="394"/>
    <n v="352"/>
    <n v="18187"/>
    <n v="14690"/>
    <n v="10782"/>
    <n v="9621"/>
    <n v="8313"/>
    <n v="7234"/>
    <n v="5833"/>
    <n v="4544"/>
    <n v="3688"/>
    <n v="2593"/>
    <n v="2128"/>
    <n v="1707"/>
    <n v="1381"/>
    <n v="902"/>
    <n v="678"/>
    <n v="383"/>
    <n v="274"/>
    <n v="36899"/>
    <n v="30076"/>
    <n v="22380"/>
    <n v="18842"/>
    <n v="15172"/>
    <n v="13747"/>
    <n v="11550"/>
    <n v="9455"/>
    <n v="7714"/>
    <n v="5539"/>
    <n v="4689"/>
    <n v="2990"/>
    <n v="2847"/>
    <n v="1881"/>
    <n v="1474"/>
    <n v="777"/>
    <n v="626"/>
  </r>
  <r>
    <s v="NGA"/>
    <x v="0"/>
    <m/>
    <x v="26"/>
    <m/>
    <s v="KONTAGORA"/>
    <m/>
    <n v="98616"/>
    <n v="92483"/>
    <n v="191099"/>
    <n v="17771"/>
    <n v="14192"/>
    <n v="11524"/>
    <n v="10049"/>
    <n v="9337"/>
    <n v="7955"/>
    <n v="6669"/>
    <n v="5644"/>
    <n v="4353"/>
    <n v="3114"/>
    <n v="2422"/>
    <n v="1945"/>
    <n v="1302"/>
    <n v="981"/>
    <n v="685"/>
    <n v="414"/>
    <n v="259"/>
    <n v="17798"/>
    <n v="14503"/>
    <n v="11423"/>
    <n v="10383"/>
    <n v="9029"/>
    <n v="7036"/>
    <n v="5520"/>
    <n v="3928"/>
    <n v="3509"/>
    <n v="2199"/>
    <n v="2269"/>
    <n v="1547"/>
    <n v="1313"/>
    <n v="680"/>
    <n v="696"/>
    <n v="322"/>
    <n v="328"/>
    <n v="35569"/>
    <n v="28695"/>
    <n v="22947"/>
    <n v="20432"/>
    <n v="18366"/>
    <n v="14991"/>
    <n v="12189"/>
    <n v="9572"/>
    <n v="7862"/>
    <n v="5313"/>
    <n v="4691"/>
    <n v="3492"/>
    <n v="2615"/>
    <n v="1661"/>
    <n v="1381"/>
    <n v="736"/>
    <n v="587"/>
  </r>
  <r>
    <s v="NGA"/>
    <x v="0"/>
    <m/>
    <x v="26"/>
    <m/>
    <s v="LAPAI"/>
    <m/>
    <n v="83392"/>
    <n v="78637"/>
    <n v="162029"/>
    <n v="16855"/>
    <n v="13119"/>
    <n v="10348"/>
    <n v="8277"/>
    <n v="6800"/>
    <n v="5732"/>
    <n v="5233"/>
    <n v="4343"/>
    <n v="3526"/>
    <n v="2605"/>
    <n v="2051"/>
    <n v="1402"/>
    <n v="1060"/>
    <n v="851"/>
    <n v="633"/>
    <n v="261"/>
    <n v="296"/>
    <n v="15725"/>
    <n v="11982"/>
    <n v="9402"/>
    <n v="8665"/>
    <n v="7081"/>
    <n v="6081"/>
    <n v="4791"/>
    <n v="3723"/>
    <n v="3094"/>
    <n v="2190"/>
    <n v="1816"/>
    <n v="1416"/>
    <n v="1036"/>
    <n v="708"/>
    <n v="408"/>
    <n v="313"/>
    <n v="206"/>
    <n v="32580"/>
    <n v="25101"/>
    <n v="19750"/>
    <n v="16942"/>
    <n v="13881"/>
    <n v="11813"/>
    <n v="10024"/>
    <n v="8066"/>
    <n v="6620"/>
    <n v="4795"/>
    <n v="3867"/>
    <n v="2818"/>
    <n v="2096"/>
    <n v="1559"/>
    <n v="1041"/>
    <n v="574"/>
    <n v="502"/>
  </r>
  <r>
    <s v="NGA"/>
    <x v="0"/>
    <m/>
    <x v="26"/>
    <m/>
    <s v="LAVUN"/>
    <m/>
    <n v="162709"/>
    <n v="155281"/>
    <n v="317990"/>
    <n v="32109"/>
    <n v="24981"/>
    <n v="20658"/>
    <n v="17940"/>
    <n v="12947"/>
    <n v="10477"/>
    <n v="9613"/>
    <n v="8231"/>
    <n v="6938"/>
    <n v="5276"/>
    <n v="4146"/>
    <n v="2824"/>
    <n v="2310"/>
    <n v="1762"/>
    <n v="1239"/>
    <n v="731"/>
    <n v="527"/>
    <n v="30452"/>
    <n v="23179"/>
    <n v="18574"/>
    <n v="15694"/>
    <n v="12961"/>
    <n v="11619"/>
    <n v="9647"/>
    <n v="7893"/>
    <n v="6430"/>
    <n v="4757"/>
    <n v="3894"/>
    <n v="3014"/>
    <n v="2579"/>
    <n v="2349"/>
    <n v="1231"/>
    <n v="585"/>
    <n v="423"/>
    <n v="62561"/>
    <n v="48160"/>
    <n v="39232"/>
    <n v="33634"/>
    <n v="25908"/>
    <n v="22096"/>
    <n v="19260"/>
    <n v="16124"/>
    <n v="13368"/>
    <n v="10033"/>
    <n v="8040"/>
    <n v="5838"/>
    <n v="4889"/>
    <n v="4111"/>
    <n v="2470"/>
    <n v="1316"/>
    <n v="950"/>
  </r>
  <r>
    <s v="NGA"/>
    <x v="0"/>
    <m/>
    <x v="26"/>
    <m/>
    <s v="MAGAMA"/>
    <m/>
    <n v="111051"/>
    <n v="110198"/>
    <n v="221249"/>
    <n v="22679"/>
    <n v="18178"/>
    <n v="13254"/>
    <n v="10600"/>
    <n v="7898"/>
    <n v="7624"/>
    <n v="7202"/>
    <n v="5810"/>
    <n v="4810"/>
    <n v="3264"/>
    <n v="2988"/>
    <n v="1852"/>
    <n v="1780"/>
    <n v="1156"/>
    <n v="1063"/>
    <n v="484"/>
    <n v="409"/>
    <n v="22271"/>
    <n v="17870"/>
    <n v="12837"/>
    <n v="11106"/>
    <n v="9912"/>
    <n v="8126"/>
    <n v="6566"/>
    <n v="4918"/>
    <n v="4436"/>
    <n v="2901"/>
    <n v="2877"/>
    <n v="1627"/>
    <n v="1852"/>
    <n v="882"/>
    <n v="1147"/>
    <n v="459"/>
    <n v="411"/>
    <n v="44950"/>
    <n v="36048"/>
    <n v="26091"/>
    <n v="21706"/>
    <n v="17810"/>
    <n v="15750"/>
    <n v="13768"/>
    <n v="10728"/>
    <n v="9246"/>
    <n v="6165"/>
    <n v="5865"/>
    <n v="3479"/>
    <n v="3632"/>
    <n v="2038"/>
    <n v="2210"/>
    <n v="943"/>
    <n v="820"/>
  </r>
  <r>
    <s v="NGA"/>
    <x v="0"/>
    <m/>
    <x v="26"/>
    <m/>
    <s v="MARIGA"/>
    <m/>
    <n v="127171"/>
    <n v="123830"/>
    <n v="251001"/>
    <n v="25419"/>
    <n v="20618"/>
    <n v="15324"/>
    <n v="11834"/>
    <n v="9136"/>
    <n v="8708"/>
    <n v="8480"/>
    <n v="6576"/>
    <n v="5696"/>
    <n v="3662"/>
    <n v="3747"/>
    <n v="2093"/>
    <n v="2163"/>
    <n v="1188"/>
    <n v="1261"/>
    <n v="648"/>
    <n v="618"/>
    <n v="25160"/>
    <n v="20016"/>
    <n v="14066"/>
    <n v="13120"/>
    <n v="11066"/>
    <n v="9156"/>
    <n v="7295"/>
    <n v="5263"/>
    <n v="4919"/>
    <n v="2944"/>
    <n v="3213"/>
    <n v="1986"/>
    <n v="2047"/>
    <n v="1111"/>
    <n v="1324"/>
    <n v="566"/>
    <n v="578"/>
    <n v="50579"/>
    <n v="40634"/>
    <n v="29390"/>
    <n v="24954"/>
    <n v="20202"/>
    <n v="17864"/>
    <n v="15775"/>
    <n v="11839"/>
    <n v="10615"/>
    <n v="6606"/>
    <n v="6960"/>
    <n v="4079"/>
    <n v="4210"/>
    <n v="2299"/>
    <n v="2585"/>
    <n v="1214"/>
    <n v="1196"/>
  </r>
  <r>
    <s v="NGA"/>
    <x v="0"/>
    <m/>
    <x v="26"/>
    <m/>
    <s v="MASHEGU"/>
    <m/>
    <n v="144940"/>
    <n v="142249"/>
    <n v="287189"/>
    <n v="30249"/>
    <n v="23297"/>
    <n v="16201"/>
    <n v="12508"/>
    <n v="10126"/>
    <n v="10560"/>
    <n v="10343"/>
    <n v="7841"/>
    <n v="6691"/>
    <n v="4198"/>
    <n v="4071"/>
    <n v="2656"/>
    <n v="2382"/>
    <n v="1328"/>
    <n v="1302"/>
    <n v="697"/>
    <n v="490"/>
    <n v="29942"/>
    <n v="23237"/>
    <n v="15615"/>
    <n v="16066"/>
    <n v="13476"/>
    <n v="10930"/>
    <n v="8284"/>
    <n v="6111"/>
    <n v="5434"/>
    <n v="3105"/>
    <n v="3396"/>
    <n v="1788"/>
    <n v="1891"/>
    <n v="975"/>
    <n v="1074"/>
    <n v="494"/>
    <n v="431"/>
    <n v="60191"/>
    <n v="46534"/>
    <n v="31816"/>
    <n v="28574"/>
    <n v="23602"/>
    <n v="21490"/>
    <n v="18627"/>
    <n v="13952"/>
    <n v="12125"/>
    <n v="7303"/>
    <n v="7467"/>
    <n v="4444"/>
    <n v="4273"/>
    <n v="2303"/>
    <n v="2376"/>
    <n v="1191"/>
    <n v="921"/>
  </r>
  <r>
    <s v="NGA"/>
    <x v="0"/>
    <m/>
    <x v="26"/>
    <m/>
    <s v="MOKWA"/>
    <m/>
    <n v="266618"/>
    <n v="255723"/>
    <n v="522341"/>
    <n v="52252"/>
    <n v="42245"/>
    <n v="33841"/>
    <n v="27669"/>
    <n v="20067"/>
    <n v="17733"/>
    <n v="16158"/>
    <n v="14117"/>
    <n v="11611"/>
    <n v="8755"/>
    <n v="6897"/>
    <n v="4432"/>
    <n v="4232"/>
    <n v="2736"/>
    <n v="2034"/>
    <n v="1011"/>
    <n v="828"/>
    <n v="50016"/>
    <n v="39665"/>
    <n v="30980"/>
    <n v="26629"/>
    <n v="22066"/>
    <n v="19802"/>
    <n v="16041"/>
    <n v="12805"/>
    <n v="10363"/>
    <n v="7495"/>
    <n v="6208"/>
    <n v="4646"/>
    <n v="3465"/>
    <n v="2600"/>
    <n v="1299"/>
    <n v="953"/>
    <n v="690"/>
    <n v="102268"/>
    <n v="81910"/>
    <n v="64821"/>
    <n v="54298"/>
    <n v="42133"/>
    <n v="37535"/>
    <n v="32199"/>
    <n v="26922"/>
    <n v="21974"/>
    <n v="16250"/>
    <n v="13105"/>
    <n v="9078"/>
    <n v="7697"/>
    <n v="5336"/>
    <n v="3333"/>
    <n v="1964"/>
    <n v="1518"/>
  </r>
  <r>
    <s v="NGA"/>
    <x v="0"/>
    <m/>
    <x v="26"/>
    <m/>
    <s v="MUYA"/>
    <m/>
    <n v="77980"/>
    <n v="74615"/>
    <n v="152595"/>
    <n v="15603"/>
    <n v="12451"/>
    <n v="9419"/>
    <n v="7620"/>
    <n v="5647"/>
    <n v="5481"/>
    <n v="5129"/>
    <n v="4283"/>
    <n v="3366"/>
    <n v="2562"/>
    <n v="1860"/>
    <n v="1453"/>
    <n v="871"/>
    <n v="822"/>
    <n v="612"/>
    <n v="490"/>
    <n v="311"/>
    <n v="15149"/>
    <n v="11735"/>
    <n v="8657"/>
    <n v="7323"/>
    <n v="6549"/>
    <n v="5926"/>
    <n v="4568"/>
    <n v="3617"/>
    <n v="2806"/>
    <n v="2114"/>
    <n v="1785"/>
    <n v="1235"/>
    <n v="1077"/>
    <n v="828"/>
    <n v="488"/>
    <n v="389"/>
    <n v="369"/>
    <n v="30752"/>
    <n v="24186"/>
    <n v="18076"/>
    <n v="14943"/>
    <n v="12196"/>
    <n v="11407"/>
    <n v="9697"/>
    <n v="7900"/>
    <n v="6172"/>
    <n v="4676"/>
    <n v="3645"/>
    <n v="2688"/>
    <n v="1948"/>
    <n v="1650"/>
    <n v="1100"/>
    <n v="879"/>
    <n v="680"/>
  </r>
  <r>
    <s v="NGA"/>
    <x v="0"/>
    <m/>
    <x v="26"/>
    <m/>
    <s v="PAIKORO"/>
    <m/>
    <n v="100413"/>
    <n v="99016"/>
    <n v="199429"/>
    <n v="19587"/>
    <n v="15903"/>
    <n v="11928"/>
    <n v="9456"/>
    <n v="7541"/>
    <n v="7272"/>
    <n v="6866"/>
    <n v="5633"/>
    <n v="4353"/>
    <n v="3185"/>
    <n v="2586"/>
    <n v="1650"/>
    <n v="1314"/>
    <n v="1081"/>
    <n v="889"/>
    <n v="620"/>
    <n v="549"/>
    <n v="19589"/>
    <n v="15925"/>
    <n v="11221"/>
    <n v="9473"/>
    <n v="8803"/>
    <n v="7749"/>
    <n v="6100"/>
    <n v="4697"/>
    <n v="3760"/>
    <n v="2704"/>
    <n v="2316"/>
    <n v="1778"/>
    <n v="1545"/>
    <n v="1178"/>
    <n v="923"/>
    <n v="634"/>
    <n v="621"/>
    <n v="39176"/>
    <n v="31828"/>
    <n v="23149"/>
    <n v="18929"/>
    <n v="16344"/>
    <n v="15021"/>
    <n v="12966"/>
    <n v="10330"/>
    <n v="8113"/>
    <n v="5889"/>
    <n v="4902"/>
    <n v="3428"/>
    <n v="2859"/>
    <n v="2259"/>
    <n v="1812"/>
    <n v="1254"/>
    <n v="1170"/>
  </r>
  <r>
    <s v="NGA"/>
    <x v="0"/>
    <m/>
    <x v="26"/>
    <m/>
    <s v="RAFI"/>
    <m/>
    <n v="131404"/>
    <n v="126705"/>
    <n v="258109"/>
    <n v="26173"/>
    <n v="20517"/>
    <n v="16311"/>
    <n v="13832"/>
    <n v="9754"/>
    <n v="8702"/>
    <n v="8362"/>
    <n v="6778"/>
    <n v="5725"/>
    <n v="4158"/>
    <n v="3482"/>
    <n v="2122"/>
    <n v="1841"/>
    <n v="1173"/>
    <n v="1167"/>
    <n v="743"/>
    <n v="564"/>
    <n v="25701"/>
    <n v="19883"/>
    <n v="15044"/>
    <n v="13171"/>
    <n v="11089"/>
    <n v="9415"/>
    <n v="7687"/>
    <n v="5783"/>
    <n v="5040"/>
    <n v="3357"/>
    <n v="3034"/>
    <n v="1932"/>
    <n v="1838"/>
    <n v="1230"/>
    <n v="1191"/>
    <n v="682"/>
    <n v="628"/>
    <n v="51874"/>
    <n v="40400"/>
    <n v="31355"/>
    <n v="27003"/>
    <n v="20843"/>
    <n v="18117"/>
    <n v="16049"/>
    <n v="12561"/>
    <n v="10765"/>
    <n v="7515"/>
    <n v="6516"/>
    <n v="4054"/>
    <n v="3679"/>
    <n v="2403"/>
    <n v="2358"/>
    <n v="1425"/>
    <n v="1192"/>
  </r>
  <r>
    <s v="NGA"/>
    <x v="0"/>
    <m/>
    <x v="26"/>
    <m/>
    <s v="RIJAU"/>
    <m/>
    <n v="112012"/>
    <n v="109715"/>
    <n v="221727"/>
    <n v="22164"/>
    <n v="17759"/>
    <n v="14347"/>
    <n v="11269"/>
    <n v="8274"/>
    <n v="7519"/>
    <n v="6964"/>
    <n v="5843"/>
    <n v="4804"/>
    <n v="3374"/>
    <n v="2900"/>
    <n v="1910"/>
    <n v="1643"/>
    <n v="1228"/>
    <n v="1071"/>
    <n v="535"/>
    <n v="408"/>
    <n v="21368"/>
    <n v="16629"/>
    <n v="13611"/>
    <n v="11748"/>
    <n v="9460"/>
    <n v="7927"/>
    <n v="6410"/>
    <n v="5079"/>
    <n v="4309"/>
    <n v="3095"/>
    <n v="2874"/>
    <n v="1990"/>
    <n v="1824"/>
    <n v="1288"/>
    <n v="1073"/>
    <n v="610"/>
    <n v="420"/>
    <n v="43532"/>
    <n v="34388"/>
    <n v="27958"/>
    <n v="23017"/>
    <n v="17734"/>
    <n v="15446"/>
    <n v="13374"/>
    <n v="10922"/>
    <n v="9113"/>
    <n v="6469"/>
    <n v="5774"/>
    <n v="3900"/>
    <n v="3467"/>
    <n v="2516"/>
    <n v="2144"/>
    <n v="1145"/>
    <n v="828"/>
  </r>
  <r>
    <s v="NGA"/>
    <x v="0"/>
    <m/>
    <x v="26"/>
    <m/>
    <s v="SHIRORO"/>
    <m/>
    <n v="175345"/>
    <n v="172235"/>
    <n v="347580"/>
    <n v="34146"/>
    <n v="27642"/>
    <n v="20706"/>
    <n v="17379"/>
    <n v="13176"/>
    <n v="13064"/>
    <n v="11619"/>
    <n v="9474"/>
    <n v="7526"/>
    <n v="5304"/>
    <n v="4483"/>
    <n v="2847"/>
    <n v="2459"/>
    <n v="1857"/>
    <n v="1622"/>
    <n v="1020"/>
    <n v="1021"/>
    <n v="33690"/>
    <n v="27226"/>
    <n v="19951"/>
    <n v="17172"/>
    <n v="16160"/>
    <n v="13334"/>
    <n v="10363"/>
    <n v="8007"/>
    <n v="6421"/>
    <n v="4654"/>
    <n v="4051"/>
    <n v="2823"/>
    <n v="2635"/>
    <n v="2076"/>
    <n v="1623"/>
    <n v="1147"/>
    <n v="902"/>
    <n v="67836"/>
    <n v="54868"/>
    <n v="40657"/>
    <n v="34551"/>
    <n v="29336"/>
    <n v="26398"/>
    <n v="21982"/>
    <n v="17481"/>
    <n v="13947"/>
    <n v="9958"/>
    <n v="8534"/>
    <n v="5670"/>
    <n v="5094"/>
    <n v="3933"/>
    <n v="3245"/>
    <n v="2167"/>
    <n v="1923"/>
  </r>
  <r>
    <s v="NGA"/>
    <x v="0"/>
    <m/>
    <x v="26"/>
    <m/>
    <s v="SULEJA"/>
    <m/>
    <n v="195203"/>
    <n v="174852"/>
    <n v="370055"/>
    <n v="34246"/>
    <n v="28046"/>
    <n v="23797"/>
    <n v="19680"/>
    <n v="16964"/>
    <n v="15322"/>
    <n v="13846"/>
    <n v="12871"/>
    <n v="9565"/>
    <n v="7584"/>
    <n v="4506"/>
    <n v="3889"/>
    <n v="1832"/>
    <n v="1531"/>
    <n v="683"/>
    <n v="533"/>
    <n v="308"/>
    <n v="33383"/>
    <n v="26514"/>
    <n v="22518"/>
    <n v="18288"/>
    <n v="16642"/>
    <n v="14995"/>
    <n v="12322"/>
    <n v="9801"/>
    <n v="6728"/>
    <n v="4689"/>
    <n v="2793"/>
    <n v="2189"/>
    <n v="1391"/>
    <n v="1065"/>
    <n v="684"/>
    <n v="464"/>
    <n v="386"/>
    <n v="67629"/>
    <n v="54560"/>
    <n v="46315"/>
    <n v="37968"/>
    <n v="33606"/>
    <n v="30317"/>
    <n v="26168"/>
    <n v="22672"/>
    <n v="16293"/>
    <n v="12273"/>
    <n v="7299"/>
    <n v="6078"/>
    <n v="3223"/>
    <n v="2596"/>
    <n v="1367"/>
    <n v="997"/>
    <n v="694"/>
  </r>
  <r>
    <s v="NGA"/>
    <x v="0"/>
    <m/>
    <x v="26"/>
    <m/>
    <s v="TAFA"/>
    <m/>
    <n v="71708"/>
    <n v="72608"/>
    <n v="144316"/>
    <n v="14282"/>
    <n v="10898"/>
    <n v="9380"/>
    <n v="7242"/>
    <n v="5465"/>
    <n v="4844"/>
    <n v="4544"/>
    <n v="4030"/>
    <n v="3177"/>
    <n v="2486"/>
    <n v="1606"/>
    <n v="1334"/>
    <n v="947"/>
    <n v="530"/>
    <n v="400"/>
    <n v="294"/>
    <n v="249"/>
    <n v="13305"/>
    <n v="10228"/>
    <n v="10144"/>
    <n v="10782"/>
    <n v="6126"/>
    <n v="5149"/>
    <n v="4172"/>
    <n v="3362"/>
    <n v="2552"/>
    <n v="1910"/>
    <n v="1342"/>
    <n v="1181"/>
    <n v="838"/>
    <n v="541"/>
    <n v="521"/>
    <n v="210"/>
    <n v="245"/>
    <n v="27587"/>
    <n v="21126"/>
    <n v="19524"/>
    <n v="18024"/>
    <n v="11591"/>
    <n v="9993"/>
    <n v="8716"/>
    <n v="7392"/>
    <n v="5729"/>
    <n v="4396"/>
    <n v="2948"/>
    <n v="2515"/>
    <n v="1785"/>
    <n v="1071"/>
    <n v="921"/>
    <n v="504"/>
    <n v="494"/>
  </r>
  <r>
    <s v="NGA"/>
    <x v="0"/>
    <m/>
    <x v="26"/>
    <m/>
    <s v="WUSHISHI"/>
    <m/>
    <n v="55586"/>
    <n v="53521"/>
    <n v="109107"/>
    <n v="11450"/>
    <n v="8942"/>
    <n v="6762"/>
    <n v="5281"/>
    <n v="4040"/>
    <n v="3887"/>
    <n v="3569"/>
    <n v="2939"/>
    <n v="2489"/>
    <n v="1715"/>
    <n v="1352"/>
    <n v="1016"/>
    <n v="760"/>
    <n v="474"/>
    <n v="427"/>
    <n v="258"/>
    <n v="225"/>
    <n v="11017"/>
    <n v="8571"/>
    <n v="6237"/>
    <n v="5344"/>
    <n v="4824"/>
    <n v="4069"/>
    <n v="3307"/>
    <n v="2455"/>
    <n v="1987"/>
    <n v="1432"/>
    <n v="1298"/>
    <n v="837"/>
    <n v="822"/>
    <n v="534"/>
    <n v="366"/>
    <n v="198"/>
    <n v="223"/>
    <n v="22467"/>
    <n v="17513"/>
    <n v="12999"/>
    <n v="10625"/>
    <n v="8864"/>
    <n v="7956"/>
    <n v="6876"/>
    <n v="5394"/>
    <n v="4476"/>
    <n v="3147"/>
    <n v="2650"/>
    <n v="1853"/>
    <n v="1582"/>
    <n v="1008"/>
    <n v="793"/>
    <n v="456"/>
    <n v="448"/>
  </r>
  <r>
    <s v="NGA"/>
    <x v="0"/>
    <m/>
    <x v="27"/>
    <m/>
    <s v="ABEOKUTA NORTH"/>
    <m/>
    <n v="176916"/>
    <n v="189217"/>
    <n v="366133"/>
    <n v="25837"/>
    <n v="22373"/>
    <n v="20917"/>
    <n v="18378"/>
    <n v="16226"/>
    <n v="14139"/>
    <n v="11701"/>
    <n v="10766"/>
    <n v="8127"/>
    <n v="7457"/>
    <n v="5296"/>
    <n v="5192"/>
    <n v="3277"/>
    <n v="3433"/>
    <n v="1909"/>
    <n v="1292"/>
    <n v="596"/>
    <n v="25732"/>
    <n v="21945"/>
    <n v="21686"/>
    <n v="18174"/>
    <n v="15606"/>
    <n v="14241"/>
    <n v="12443"/>
    <n v="10931"/>
    <n v="9009"/>
    <n v="7854"/>
    <n v="6801"/>
    <n v="6506"/>
    <n v="5280"/>
    <n v="5564"/>
    <n v="3409"/>
    <n v="2527"/>
    <n v="1509"/>
    <n v="51569"/>
    <n v="44318"/>
    <n v="42603"/>
    <n v="36552"/>
    <n v="31832"/>
    <n v="28380"/>
    <n v="24144"/>
    <n v="21697"/>
    <n v="17136"/>
    <n v="15311"/>
    <n v="12097"/>
    <n v="11698"/>
    <n v="8557"/>
    <n v="8997"/>
    <n v="5318"/>
    <n v="3819"/>
    <n v="2105"/>
  </r>
  <r>
    <s v="NGA"/>
    <x v="0"/>
    <m/>
    <x v="27"/>
    <m/>
    <s v="ABEOKUTA SOUTH"/>
    <m/>
    <n v="92651"/>
    <n v="100514"/>
    <n v="193165"/>
    <n v="13287"/>
    <n v="11177"/>
    <n v="11173"/>
    <n v="10086"/>
    <n v="9282"/>
    <n v="8126"/>
    <n v="6373"/>
    <n v="5622"/>
    <n v="4259"/>
    <n v="3888"/>
    <n v="2468"/>
    <n v="2462"/>
    <n v="1374"/>
    <n v="1499"/>
    <n v="778"/>
    <n v="580"/>
    <n v="217"/>
    <n v="13193"/>
    <n v="11298"/>
    <n v="11491"/>
    <n v="9941"/>
    <n v="9033"/>
    <n v="8075"/>
    <n v="7083"/>
    <n v="6250"/>
    <n v="4874"/>
    <n v="4077"/>
    <n v="3291"/>
    <n v="3217"/>
    <n v="2553"/>
    <n v="2520"/>
    <n v="1718"/>
    <n v="1195"/>
    <n v="705"/>
    <n v="26480"/>
    <n v="22475"/>
    <n v="22664"/>
    <n v="20027"/>
    <n v="18315"/>
    <n v="16201"/>
    <n v="13456"/>
    <n v="11872"/>
    <n v="9133"/>
    <n v="7965"/>
    <n v="5759"/>
    <n v="5679"/>
    <n v="3927"/>
    <n v="4019"/>
    <n v="2496"/>
    <n v="1775"/>
    <n v="922"/>
  </r>
  <r>
    <s v="NGA"/>
    <x v="0"/>
    <m/>
    <x v="27"/>
    <m/>
    <s v="ADO-ODO/OTA"/>
    <m/>
    <n v="513468"/>
    <n v="517361"/>
    <n v="1030829"/>
    <n v="73934"/>
    <n v="64167"/>
    <n v="59120"/>
    <n v="49264"/>
    <n v="47045"/>
    <n v="43406"/>
    <n v="38224"/>
    <n v="37816"/>
    <n v="28755"/>
    <n v="24593"/>
    <n v="14968"/>
    <n v="13311"/>
    <n v="6847"/>
    <n v="6265"/>
    <n v="2845"/>
    <n v="1922"/>
    <n v="986"/>
    <n v="74785"/>
    <n v="65163"/>
    <n v="61859"/>
    <n v="48116"/>
    <n v="44600"/>
    <n v="42136"/>
    <n v="37354"/>
    <n v="36448"/>
    <n v="27140"/>
    <n v="21657"/>
    <n v="14851"/>
    <n v="13680"/>
    <n v="9052"/>
    <n v="9103"/>
    <n v="5102"/>
    <n v="3895"/>
    <n v="2420"/>
    <n v="148719"/>
    <n v="129330"/>
    <n v="120979"/>
    <n v="97380"/>
    <n v="91645"/>
    <n v="85542"/>
    <n v="75578"/>
    <n v="74264"/>
    <n v="55895"/>
    <n v="46250"/>
    <n v="29819"/>
    <n v="26991"/>
    <n v="15899"/>
    <n v="15368"/>
    <n v="7947"/>
    <n v="5817"/>
    <n v="3406"/>
  </r>
  <r>
    <s v="NGA"/>
    <x v="0"/>
    <m/>
    <x v="27"/>
    <m/>
    <s v="EWEKORO"/>
    <m/>
    <n v="67229"/>
    <n v="65207"/>
    <n v="132436"/>
    <n v="9031"/>
    <n v="8186"/>
    <n v="7421"/>
    <n v="6842"/>
    <n v="6503"/>
    <n v="5689"/>
    <n v="4987"/>
    <n v="4417"/>
    <n v="3515"/>
    <n v="2868"/>
    <n v="1987"/>
    <n v="1726"/>
    <n v="1225"/>
    <n v="1319"/>
    <n v="815"/>
    <n v="465"/>
    <n v="233"/>
    <n v="9516"/>
    <n v="7934"/>
    <n v="7087"/>
    <n v="5576"/>
    <n v="4946"/>
    <n v="4650"/>
    <n v="4102"/>
    <n v="3769"/>
    <n v="3028"/>
    <n v="2569"/>
    <n v="2232"/>
    <n v="2385"/>
    <n v="2119"/>
    <n v="2486"/>
    <n v="1299"/>
    <n v="1035"/>
    <n v="474"/>
    <n v="18547"/>
    <n v="16120"/>
    <n v="14508"/>
    <n v="12418"/>
    <n v="11449"/>
    <n v="10339"/>
    <n v="9089"/>
    <n v="8186"/>
    <n v="6543"/>
    <n v="5437"/>
    <n v="4219"/>
    <n v="4111"/>
    <n v="3344"/>
    <n v="3805"/>
    <n v="2114"/>
    <n v="1500"/>
    <n v="707"/>
  </r>
  <r>
    <s v="NGA"/>
    <x v="0"/>
    <m/>
    <x v="27"/>
    <m/>
    <s v="IFO"/>
    <m/>
    <n v="651792"/>
    <n v="642834"/>
    <n v="1294626"/>
    <n v="95428"/>
    <n v="78393"/>
    <n v="68470"/>
    <n v="60821"/>
    <n v="62101"/>
    <n v="58819"/>
    <n v="53125"/>
    <n v="50886"/>
    <n v="36169"/>
    <n v="30941"/>
    <n v="18347"/>
    <n v="18192"/>
    <n v="8041"/>
    <n v="6695"/>
    <n v="2694"/>
    <n v="1795"/>
    <n v="875"/>
    <n v="95462"/>
    <n v="79643"/>
    <n v="74439"/>
    <n v="60652"/>
    <n v="58429"/>
    <n v="56310"/>
    <n v="49695"/>
    <n v="45967"/>
    <n v="33120"/>
    <n v="26275"/>
    <n v="17046"/>
    <n v="16176"/>
    <n v="9067"/>
    <n v="8907"/>
    <n v="5262"/>
    <n v="4010"/>
    <n v="2374"/>
    <n v="190890"/>
    <n v="158036"/>
    <n v="142909"/>
    <n v="121473"/>
    <n v="120530"/>
    <n v="115129"/>
    <n v="102820"/>
    <n v="96853"/>
    <n v="69289"/>
    <n v="57216"/>
    <n v="35393"/>
    <n v="34368"/>
    <n v="17108"/>
    <n v="15602"/>
    <n v="7956"/>
    <n v="5805"/>
    <n v="3249"/>
  </r>
  <r>
    <s v="NGA"/>
    <x v="0"/>
    <m/>
    <x v="27"/>
    <m/>
    <s v="IJEBU EAST"/>
    <m/>
    <n v="88585"/>
    <n v="81744"/>
    <n v="170329"/>
    <n v="11558"/>
    <n v="10342"/>
    <n v="10109"/>
    <n v="8856"/>
    <n v="8075"/>
    <n v="7564"/>
    <n v="6815"/>
    <n v="5895"/>
    <n v="4579"/>
    <n v="3792"/>
    <n v="2894"/>
    <n v="2604"/>
    <n v="1871"/>
    <n v="1787"/>
    <n v="938"/>
    <n v="656"/>
    <n v="250"/>
    <n v="11346"/>
    <n v="10312"/>
    <n v="10247"/>
    <n v="7790"/>
    <n v="6393"/>
    <n v="6056"/>
    <n v="5363"/>
    <n v="4890"/>
    <n v="4121"/>
    <n v="3445"/>
    <n v="2748"/>
    <n v="2651"/>
    <n v="1986"/>
    <n v="1935"/>
    <n v="1148"/>
    <n v="840"/>
    <n v="473"/>
    <n v="22904"/>
    <n v="20654"/>
    <n v="20356"/>
    <n v="16646"/>
    <n v="14468"/>
    <n v="13620"/>
    <n v="12178"/>
    <n v="10785"/>
    <n v="8700"/>
    <n v="7237"/>
    <n v="5642"/>
    <n v="5255"/>
    <n v="3857"/>
    <n v="3722"/>
    <n v="2086"/>
    <n v="1496"/>
    <n v="723"/>
  </r>
  <r>
    <s v="NGA"/>
    <x v="0"/>
    <m/>
    <x v="27"/>
    <m/>
    <s v="IJEBU NORTH"/>
    <m/>
    <n v="232176"/>
    <n v="229820"/>
    <n v="461996"/>
    <n v="26674"/>
    <n v="27168"/>
    <n v="26692"/>
    <n v="27291"/>
    <n v="30504"/>
    <n v="21418"/>
    <n v="14351"/>
    <n v="12542"/>
    <n v="10669"/>
    <n v="9040"/>
    <n v="6784"/>
    <n v="5928"/>
    <n v="3900"/>
    <n v="4050"/>
    <n v="2471"/>
    <n v="1896"/>
    <n v="798"/>
    <n v="26102"/>
    <n v="26243"/>
    <n v="26646"/>
    <n v="25721"/>
    <n v="25655"/>
    <n v="18031"/>
    <n v="13797"/>
    <n v="13580"/>
    <n v="10832"/>
    <n v="9978"/>
    <n v="7455"/>
    <n v="7840"/>
    <n v="5176"/>
    <n v="5179"/>
    <n v="3551"/>
    <n v="2752"/>
    <n v="1282"/>
    <n v="52776"/>
    <n v="53411"/>
    <n v="53338"/>
    <n v="53012"/>
    <n v="56159"/>
    <n v="39449"/>
    <n v="28148"/>
    <n v="26122"/>
    <n v="21501"/>
    <n v="19018"/>
    <n v="14239"/>
    <n v="13768"/>
    <n v="9076"/>
    <n v="9229"/>
    <n v="6022"/>
    <n v="4648"/>
    <n v="2080"/>
  </r>
  <r>
    <s v="NGA"/>
    <x v="0"/>
    <m/>
    <x v="27"/>
    <m/>
    <s v="IJEBU NORTH EAST"/>
    <m/>
    <n v="42950"/>
    <n v="42655"/>
    <n v="85605"/>
    <n v="5215"/>
    <n v="5082"/>
    <n v="5001"/>
    <n v="4763"/>
    <n v="4455"/>
    <n v="3638"/>
    <n v="2916"/>
    <n v="2600"/>
    <n v="2201"/>
    <n v="1814"/>
    <n v="1301"/>
    <n v="1428"/>
    <n v="725"/>
    <n v="761"/>
    <n v="486"/>
    <n v="409"/>
    <n v="155"/>
    <n v="5111"/>
    <n v="4944"/>
    <n v="5057"/>
    <n v="4466"/>
    <n v="3938"/>
    <n v="3294"/>
    <n v="2814"/>
    <n v="2617"/>
    <n v="2123"/>
    <n v="1891"/>
    <n v="1333"/>
    <n v="1450"/>
    <n v="910"/>
    <n v="1046"/>
    <n v="783"/>
    <n v="582"/>
    <n v="296"/>
    <n v="10326"/>
    <n v="10026"/>
    <n v="10058"/>
    <n v="9229"/>
    <n v="8393"/>
    <n v="6932"/>
    <n v="5730"/>
    <n v="5217"/>
    <n v="4324"/>
    <n v="3705"/>
    <n v="2634"/>
    <n v="2878"/>
    <n v="1635"/>
    <n v="1807"/>
    <n v="1269"/>
    <n v="991"/>
    <n v="451"/>
  </r>
  <r>
    <s v="NGA"/>
    <x v="0"/>
    <m/>
    <x v="27"/>
    <m/>
    <s v="IJEBU-ODE"/>
    <m/>
    <n v="95266"/>
    <n v="100280"/>
    <n v="195546"/>
    <n v="12846"/>
    <n v="11123"/>
    <n v="10750"/>
    <n v="10126"/>
    <n v="10355"/>
    <n v="8771"/>
    <n v="6863"/>
    <n v="6156"/>
    <n v="4446"/>
    <n v="3783"/>
    <n v="2485"/>
    <n v="2542"/>
    <n v="1468"/>
    <n v="1612"/>
    <n v="895"/>
    <n v="780"/>
    <n v="265"/>
    <n v="12884"/>
    <n v="11177"/>
    <n v="11590"/>
    <n v="9830"/>
    <n v="9555"/>
    <n v="8204"/>
    <n v="6787"/>
    <n v="6292"/>
    <n v="4808"/>
    <n v="4181"/>
    <n v="3272"/>
    <n v="3162"/>
    <n v="2303"/>
    <n v="2474"/>
    <n v="1652"/>
    <n v="1343"/>
    <n v="766"/>
    <n v="25730"/>
    <n v="22300"/>
    <n v="22340"/>
    <n v="19956"/>
    <n v="19910"/>
    <n v="16975"/>
    <n v="13650"/>
    <n v="12448"/>
    <n v="9254"/>
    <n v="7964"/>
    <n v="5757"/>
    <n v="5704"/>
    <n v="3771"/>
    <n v="4086"/>
    <n v="2547"/>
    <n v="2123"/>
    <n v="1031"/>
  </r>
  <r>
    <s v="NGA"/>
    <x v="0"/>
    <m/>
    <x v="27"/>
    <m/>
    <s v="IKENNE"/>
    <m/>
    <n v="84394"/>
    <n v="81771"/>
    <n v="166165"/>
    <n v="9974"/>
    <n v="10166"/>
    <n v="10890"/>
    <n v="10979"/>
    <n v="9596"/>
    <n v="6626"/>
    <n v="5384"/>
    <n v="4657"/>
    <n v="3936"/>
    <n v="3184"/>
    <n v="2321"/>
    <n v="2192"/>
    <n v="1298"/>
    <n v="1378"/>
    <n v="764"/>
    <n v="705"/>
    <n v="344"/>
    <n v="9213"/>
    <n v="9566"/>
    <n v="10202"/>
    <n v="10224"/>
    <n v="8013"/>
    <n v="5794"/>
    <n v="5052"/>
    <n v="4937"/>
    <n v="3836"/>
    <n v="3494"/>
    <n v="2369"/>
    <n v="2864"/>
    <n v="1570"/>
    <n v="1754"/>
    <n v="1177"/>
    <n v="1073"/>
    <n v="633"/>
    <n v="19187"/>
    <n v="19732"/>
    <n v="21092"/>
    <n v="21203"/>
    <n v="17609"/>
    <n v="12420"/>
    <n v="10436"/>
    <n v="9594"/>
    <n v="7772"/>
    <n v="6678"/>
    <n v="4690"/>
    <n v="5056"/>
    <n v="2868"/>
    <n v="3132"/>
    <n v="1941"/>
    <n v="1778"/>
    <n v="977"/>
  </r>
  <r>
    <s v="NGA"/>
    <x v="0"/>
    <m/>
    <x v="27"/>
    <m/>
    <s v="IMEKO-AFON"/>
    <m/>
    <n v="42381"/>
    <n v="41917"/>
    <n v="84298"/>
    <n v="5728"/>
    <n v="5959"/>
    <n v="5505"/>
    <n v="4942"/>
    <n v="3740"/>
    <n v="3048"/>
    <n v="2639"/>
    <n v="2441"/>
    <n v="2113"/>
    <n v="1705"/>
    <n v="1237"/>
    <n v="1057"/>
    <n v="753"/>
    <n v="663"/>
    <n v="390"/>
    <n v="313"/>
    <n v="148"/>
    <n v="5547"/>
    <n v="5667"/>
    <n v="5372"/>
    <n v="4327"/>
    <n v="3281"/>
    <n v="3155"/>
    <n v="2718"/>
    <n v="2643"/>
    <n v="2032"/>
    <n v="1816"/>
    <n v="1223"/>
    <n v="1403"/>
    <n v="925"/>
    <n v="864"/>
    <n v="407"/>
    <n v="342"/>
    <n v="195"/>
    <n v="11275"/>
    <n v="11626"/>
    <n v="10877"/>
    <n v="9269"/>
    <n v="7021"/>
    <n v="6203"/>
    <n v="5357"/>
    <n v="5084"/>
    <n v="4145"/>
    <n v="3521"/>
    <n v="2460"/>
    <n v="2460"/>
    <n v="1678"/>
    <n v="1527"/>
    <n v="797"/>
    <n v="655"/>
    <n v="343"/>
  </r>
  <r>
    <s v="NGA"/>
    <x v="0"/>
    <m/>
    <x v="27"/>
    <m/>
    <s v="IPOKIA"/>
    <m/>
    <n v="76405"/>
    <n v="78466"/>
    <n v="154871"/>
    <n v="10486"/>
    <n v="10245"/>
    <n v="9750"/>
    <n v="8641"/>
    <n v="6890"/>
    <n v="5512"/>
    <n v="4541"/>
    <n v="4335"/>
    <n v="3672"/>
    <n v="3327"/>
    <n v="2487"/>
    <n v="2057"/>
    <n v="1414"/>
    <n v="1446"/>
    <n v="777"/>
    <n v="563"/>
    <n v="262"/>
    <n v="10198"/>
    <n v="9811"/>
    <n v="9189"/>
    <n v="8018"/>
    <n v="6223"/>
    <n v="5667"/>
    <n v="4939"/>
    <n v="4902"/>
    <n v="4098"/>
    <n v="3773"/>
    <n v="2757"/>
    <n v="2870"/>
    <n v="1928"/>
    <n v="1907"/>
    <n v="1005"/>
    <n v="790"/>
    <n v="391"/>
    <n v="20684"/>
    <n v="20056"/>
    <n v="18939"/>
    <n v="16659"/>
    <n v="13113"/>
    <n v="11179"/>
    <n v="9480"/>
    <n v="9237"/>
    <n v="7770"/>
    <n v="7100"/>
    <n v="5244"/>
    <n v="4927"/>
    <n v="3342"/>
    <n v="3353"/>
    <n v="1782"/>
    <n v="1353"/>
    <n v="653"/>
  </r>
  <r>
    <s v="NGA"/>
    <x v="0"/>
    <m/>
    <x v="27"/>
    <m/>
    <s v="OBAFEMI-OWODE"/>
    <m/>
    <n v="177432"/>
    <n v="177130"/>
    <n v="354562"/>
    <n v="23740"/>
    <n v="21512"/>
    <n v="20524"/>
    <n v="17570"/>
    <n v="16357"/>
    <n v="14925"/>
    <n v="12712"/>
    <n v="12008"/>
    <n v="9559"/>
    <n v="7802"/>
    <n v="5466"/>
    <n v="4864"/>
    <n v="3373"/>
    <n v="3143"/>
    <n v="1952"/>
    <n v="1229"/>
    <n v="696"/>
    <n v="24047"/>
    <n v="21289"/>
    <n v="20127"/>
    <n v="15369"/>
    <n v="13637"/>
    <n v="12664"/>
    <n v="11401"/>
    <n v="10611"/>
    <n v="8639"/>
    <n v="7405"/>
    <n v="6397"/>
    <n v="6890"/>
    <n v="5790"/>
    <n v="5731"/>
    <n v="3437"/>
    <n v="2252"/>
    <n v="1444"/>
    <n v="47787"/>
    <n v="42801"/>
    <n v="40651"/>
    <n v="32939"/>
    <n v="29994"/>
    <n v="27589"/>
    <n v="24113"/>
    <n v="22619"/>
    <n v="18198"/>
    <n v="15207"/>
    <n v="11863"/>
    <n v="11754"/>
    <n v="9163"/>
    <n v="8874"/>
    <n v="5389"/>
    <n v="3481"/>
    <n v="2140"/>
  </r>
  <r>
    <s v="NGA"/>
    <x v="0"/>
    <m/>
    <x v="27"/>
    <m/>
    <s v="ODEDA"/>
    <m/>
    <n v="59927"/>
    <n v="60366"/>
    <n v="120293"/>
    <n v="8112"/>
    <n v="7833"/>
    <n v="7318"/>
    <n v="6105"/>
    <n v="5341"/>
    <n v="4592"/>
    <n v="3860"/>
    <n v="3512"/>
    <n v="2953"/>
    <n v="2541"/>
    <n v="1924"/>
    <n v="1815"/>
    <n v="1239"/>
    <n v="1217"/>
    <n v="719"/>
    <n v="578"/>
    <n v="268"/>
    <n v="8242"/>
    <n v="7532"/>
    <n v="6956"/>
    <n v="5423"/>
    <n v="4756"/>
    <n v="3765"/>
    <n v="3459"/>
    <n v="3097"/>
    <n v="2842"/>
    <n v="2638"/>
    <n v="2505"/>
    <n v="2389"/>
    <n v="2031"/>
    <n v="2083"/>
    <n v="1311"/>
    <n v="849"/>
    <n v="488"/>
    <n v="16354"/>
    <n v="15365"/>
    <n v="14274"/>
    <n v="11528"/>
    <n v="10097"/>
    <n v="8357"/>
    <n v="7319"/>
    <n v="6609"/>
    <n v="5795"/>
    <n v="5179"/>
    <n v="4429"/>
    <n v="4204"/>
    <n v="3270"/>
    <n v="3300"/>
    <n v="2030"/>
    <n v="1427"/>
    <n v="756"/>
  </r>
  <r>
    <s v="NGA"/>
    <x v="0"/>
    <m/>
    <x v="27"/>
    <m/>
    <s v="ODOGBOLU"/>
    <m/>
    <n v="78973"/>
    <n v="76756"/>
    <n v="155729"/>
    <n v="9487"/>
    <n v="9576"/>
    <n v="10381"/>
    <n v="9656"/>
    <n v="8109"/>
    <n v="6292"/>
    <n v="4977"/>
    <n v="4399"/>
    <n v="3771"/>
    <n v="3392"/>
    <n v="2278"/>
    <n v="2406"/>
    <n v="1254"/>
    <n v="1272"/>
    <n v="823"/>
    <n v="640"/>
    <n v="260"/>
    <n v="9098"/>
    <n v="9069"/>
    <n v="9626"/>
    <n v="8571"/>
    <n v="6858"/>
    <n v="5792"/>
    <n v="4835"/>
    <n v="4894"/>
    <n v="3846"/>
    <n v="3480"/>
    <n v="2283"/>
    <n v="2859"/>
    <n v="1516"/>
    <n v="1620"/>
    <n v="911"/>
    <n v="981"/>
    <n v="517"/>
    <n v="18585"/>
    <n v="18645"/>
    <n v="20007"/>
    <n v="18227"/>
    <n v="14967"/>
    <n v="12084"/>
    <n v="9812"/>
    <n v="9293"/>
    <n v="7617"/>
    <n v="6872"/>
    <n v="4561"/>
    <n v="5265"/>
    <n v="2770"/>
    <n v="2892"/>
    <n v="1734"/>
    <n v="1621"/>
    <n v="777"/>
  </r>
  <r>
    <s v="NGA"/>
    <x v="0"/>
    <m/>
    <x v="27"/>
    <m/>
    <s v="OGUN WATERSIDE"/>
    <m/>
    <n v="38974"/>
    <n v="38613"/>
    <n v="77587"/>
    <n v="4883"/>
    <n v="5033"/>
    <n v="5105"/>
    <n v="4795"/>
    <n v="3859"/>
    <n v="2880"/>
    <n v="2418"/>
    <n v="2039"/>
    <n v="1970"/>
    <n v="1619"/>
    <n v="1269"/>
    <n v="981"/>
    <n v="776"/>
    <n v="633"/>
    <n v="324"/>
    <n v="246"/>
    <n v="144"/>
    <n v="4662"/>
    <n v="4823"/>
    <n v="4991"/>
    <n v="4336"/>
    <n v="3343"/>
    <n v="2752"/>
    <n v="2503"/>
    <n v="2422"/>
    <n v="2048"/>
    <n v="1827"/>
    <n v="1320"/>
    <n v="1176"/>
    <n v="826"/>
    <n v="732"/>
    <n v="433"/>
    <n v="261"/>
    <n v="158"/>
    <n v="9545"/>
    <n v="9856"/>
    <n v="10096"/>
    <n v="9131"/>
    <n v="7202"/>
    <n v="5632"/>
    <n v="4921"/>
    <n v="4461"/>
    <n v="4018"/>
    <n v="3446"/>
    <n v="2589"/>
    <n v="2157"/>
    <n v="1602"/>
    <n v="1365"/>
    <n v="757"/>
    <n v="507"/>
    <n v="302"/>
  </r>
  <r>
    <s v="NGA"/>
    <x v="0"/>
    <m/>
    <x v="27"/>
    <m/>
    <s v="REMO NORTH"/>
    <m/>
    <n v="41500"/>
    <n v="41852"/>
    <n v="83352"/>
    <n v="5007"/>
    <n v="5442"/>
    <n v="5227"/>
    <n v="4924"/>
    <n v="3996"/>
    <n v="3212"/>
    <n v="2559"/>
    <n v="2325"/>
    <n v="1975"/>
    <n v="1807"/>
    <n v="1290"/>
    <n v="1254"/>
    <n v="597"/>
    <n v="866"/>
    <n v="440"/>
    <n v="384"/>
    <n v="195"/>
    <n v="4885"/>
    <n v="5143"/>
    <n v="4939"/>
    <n v="4472"/>
    <n v="3378"/>
    <n v="3023"/>
    <n v="2669"/>
    <n v="2632"/>
    <n v="2126"/>
    <n v="1930"/>
    <n v="1598"/>
    <n v="1353"/>
    <n v="1012"/>
    <n v="1175"/>
    <n v="682"/>
    <n v="505"/>
    <n v="330"/>
    <n v="9892"/>
    <n v="10585"/>
    <n v="10166"/>
    <n v="9396"/>
    <n v="7374"/>
    <n v="6235"/>
    <n v="5228"/>
    <n v="4957"/>
    <n v="4101"/>
    <n v="3737"/>
    <n v="2888"/>
    <n v="2607"/>
    <n v="1609"/>
    <n v="2041"/>
    <n v="1122"/>
    <n v="889"/>
    <n v="525"/>
  </r>
  <r>
    <s v="NGA"/>
    <x v="0"/>
    <m/>
    <x v="27"/>
    <m/>
    <s v="SHAGAMU"/>
    <m/>
    <n v="182028"/>
    <n v="184335"/>
    <n v="366363"/>
    <n v="25779"/>
    <n v="22081"/>
    <n v="20218"/>
    <n v="17926"/>
    <n v="18008"/>
    <n v="16529"/>
    <n v="14573"/>
    <n v="13140"/>
    <n v="9519"/>
    <n v="7586"/>
    <n v="4852"/>
    <n v="4339"/>
    <n v="2558"/>
    <n v="2240"/>
    <n v="1261"/>
    <n v="963"/>
    <n v="456"/>
    <n v="25707"/>
    <n v="22413"/>
    <n v="22554"/>
    <n v="18185"/>
    <n v="15940"/>
    <n v="14645"/>
    <n v="12935"/>
    <n v="11640"/>
    <n v="9182"/>
    <n v="7427"/>
    <n v="5836"/>
    <n v="5200"/>
    <n v="4060"/>
    <n v="3501"/>
    <n v="2473"/>
    <n v="1521"/>
    <n v="1116"/>
    <n v="51486"/>
    <n v="44494"/>
    <n v="42772"/>
    <n v="36111"/>
    <n v="33948"/>
    <n v="31174"/>
    <n v="27508"/>
    <n v="24780"/>
    <n v="18701"/>
    <n v="15013"/>
    <n v="10688"/>
    <n v="9539"/>
    <n v="6618"/>
    <n v="5741"/>
    <n v="3734"/>
    <n v="2484"/>
    <n v="1572"/>
  </r>
  <r>
    <s v="NGA"/>
    <x v="0"/>
    <m/>
    <x v="27"/>
    <m/>
    <s v="YEWA NORTH"/>
    <m/>
    <n v="90711"/>
    <n v="96104"/>
    <n v="186815"/>
    <n v="13290"/>
    <n v="12773"/>
    <n v="11403"/>
    <n v="9748"/>
    <n v="7660"/>
    <n v="6377"/>
    <n v="5589"/>
    <n v="5001"/>
    <n v="4416"/>
    <n v="3628"/>
    <n v="2824"/>
    <n v="2428"/>
    <n v="1892"/>
    <n v="1716"/>
    <n v="1018"/>
    <n v="656"/>
    <n v="292"/>
    <n v="13360"/>
    <n v="12578"/>
    <n v="11207"/>
    <n v="9349"/>
    <n v="7350"/>
    <n v="6891"/>
    <n v="6091"/>
    <n v="5754"/>
    <n v="4613"/>
    <n v="4419"/>
    <n v="3370"/>
    <n v="3473"/>
    <n v="2436"/>
    <n v="2450"/>
    <n v="1403"/>
    <n v="885"/>
    <n v="475"/>
    <n v="26650"/>
    <n v="25351"/>
    <n v="22610"/>
    <n v="19097"/>
    <n v="15010"/>
    <n v="13268"/>
    <n v="11680"/>
    <n v="10755"/>
    <n v="9029"/>
    <n v="8047"/>
    <n v="6194"/>
    <n v="5901"/>
    <n v="4328"/>
    <n v="4166"/>
    <n v="2421"/>
    <n v="1541"/>
    <n v="767"/>
  </r>
  <r>
    <s v="NGA"/>
    <x v="0"/>
    <m/>
    <x v="27"/>
    <m/>
    <s v="YEWA SOUTH"/>
    <m/>
    <n v="83820"/>
    <n v="89535"/>
    <n v="173355"/>
    <n v="12932"/>
    <n v="11035"/>
    <n v="9905"/>
    <n v="8692"/>
    <n v="7825"/>
    <n v="6790"/>
    <n v="5689"/>
    <n v="5067"/>
    <n v="3813"/>
    <n v="3407"/>
    <n v="2261"/>
    <n v="2075"/>
    <n v="1441"/>
    <n v="1444"/>
    <n v="750"/>
    <n v="473"/>
    <n v="221"/>
    <n v="12944"/>
    <n v="11110"/>
    <n v="10286"/>
    <n v="8557"/>
    <n v="7639"/>
    <n v="6864"/>
    <n v="5729"/>
    <n v="4884"/>
    <n v="4175"/>
    <n v="3700"/>
    <n v="3072"/>
    <n v="2957"/>
    <n v="2252"/>
    <n v="2464"/>
    <n v="1340"/>
    <n v="1066"/>
    <n v="496"/>
    <n v="25876"/>
    <n v="22145"/>
    <n v="20191"/>
    <n v="17249"/>
    <n v="15464"/>
    <n v="13654"/>
    <n v="11418"/>
    <n v="9951"/>
    <n v="7988"/>
    <n v="7107"/>
    <n v="5333"/>
    <n v="5032"/>
    <n v="3693"/>
    <n v="3908"/>
    <n v="2090"/>
    <n v="1539"/>
    <n v="717"/>
  </r>
  <r>
    <s v="NGA"/>
    <x v="0"/>
    <m/>
    <x v="28"/>
    <m/>
    <s v="AKOKO NORTH EAST"/>
    <m/>
    <n v="138903"/>
    <n v="130182"/>
    <n v="269085"/>
    <n v="15480"/>
    <n v="16843"/>
    <n v="18980"/>
    <n v="18367"/>
    <n v="16830"/>
    <n v="11128"/>
    <n v="7931"/>
    <n v="6922"/>
    <n v="6371"/>
    <n v="5447"/>
    <n v="4409"/>
    <n v="3205"/>
    <n v="2667"/>
    <n v="1836"/>
    <n v="1326"/>
    <n v="775"/>
    <n v="386"/>
    <n v="14939"/>
    <n v="16025"/>
    <n v="17706"/>
    <n v="15865"/>
    <n v="11480"/>
    <n v="9488"/>
    <n v="8275"/>
    <n v="8149"/>
    <n v="6501"/>
    <n v="6031"/>
    <n v="4331"/>
    <n v="3854"/>
    <n v="2997"/>
    <n v="1768"/>
    <n v="1331"/>
    <n v="790"/>
    <n v="652"/>
    <n v="30419"/>
    <n v="32868"/>
    <n v="36686"/>
    <n v="34232"/>
    <n v="28310"/>
    <n v="20616"/>
    <n v="16206"/>
    <n v="15071"/>
    <n v="12872"/>
    <n v="11478"/>
    <n v="8740"/>
    <n v="7059"/>
    <n v="5664"/>
    <n v="3604"/>
    <n v="2657"/>
    <n v="1565"/>
    <n v="1038"/>
  </r>
  <r>
    <s v="NGA"/>
    <x v="0"/>
    <m/>
    <x v="28"/>
    <m/>
    <s v="AKOKO NORTH WEST"/>
    <m/>
    <n v="164861"/>
    <n v="162965"/>
    <n v="327826"/>
    <n v="18810"/>
    <n v="21088"/>
    <n v="22214"/>
    <n v="20716"/>
    <n v="16136"/>
    <n v="11883"/>
    <n v="9555"/>
    <n v="8709"/>
    <n v="8347"/>
    <n v="7072"/>
    <n v="5893"/>
    <n v="4447"/>
    <n v="3749"/>
    <n v="2825"/>
    <n v="1772"/>
    <n v="974"/>
    <n v="671"/>
    <n v="17917"/>
    <n v="19937"/>
    <n v="21273"/>
    <n v="18918"/>
    <n v="13610"/>
    <n v="11695"/>
    <n v="10573"/>
    <n v="10520"/>
    <n v="8528"/>
    <n v="8013"/>
    <n v="5687"/>
    <n v="5757"/>
    <n v="3785"/>
    <n v="2958"/>
    <n v="2142"/>
    <n v="841"/>
    <n v="811"/>
    <n v="36727"/>
    <n v="41025"/>
    <n v="43487"/>
    <n v="39634"/>
    <n v="29746"/>
    <n v="23578"/>
    <n v="20128"/>
    <n v="19229"/>
    <n v="16875"/>
    <n v="15085"/>
    <n v="11580"/>
    <n v="10204"/>
    <n v="7534"/>
    <n v="5783"/>
    <n v="3914"/>
    <n v="1815"/>
    <n v="1482"/>
  </r>
  <r>
    <s v="NGA"/>
    <x v="0"/>
    <m/>
    <x v="28"/>
    <m/>
    <s v="AKOKO SOUTH EAST"/>
    <m/>
    <n v="64510"/>
    <n v="62197"/>
    <n v="126707"/>
    <n v="7543"/>
    <n v="8589"/>
    <n v="9766"/>
    <n v="8965"/>
    <n v="5998"/>
    <n v="4349"/>
    <n v="3613"/>
    <n v="3275"/>
    <n v="3076"/>
    <n v="2585"/>
    <n v="2142"/>
    <n v="1436"/>
    <n v="1123"/>
    <n v="746"/>
    <n v="618"/>
    <n v="428"/>
    <n v="258"/>
    <n v="7085"/>
    <n v="7871"/>
    <n v="8925"/>
    <n v="7789"/>
    <n v="5026"/>
    <n v="4316"/>
    <n v="3864"/>
    <n v="3880"/>
    <n v="3075"/>
    <n v="2766"/>
    <n v="2081"/>
    <n v="1749"/>
    <n v="1224"/>
    <n v="1163"/>
    <n v="676"/>
    <n v="440"/>
    <n v="267"/>
    <n v="14628"/>
    <n v="16460"/>
    <n v="18691"/>
    <n v="16754"/>
    <n v="11024"/>
    <n v="8665"/>
    <n v="7477"/>
    <n v="7155"/>
    <n v="6151"/>
    <n v="5351"/>
    <n v="4223"/>
    <n v="3185"/>
    <n v="2347"/>
    <n v="1909"/>
    <n v="1294"/>
    <n v="868"/>
    <n v="525"/>
  </r>
  <r>
    <s v="NGA"/>
    <x v="0"/>
    <m/>
    <x v="28"/>
    <m/>
    <s v="AKOKO SOUTH WEST"/>
    <m/>
    <n v="175900"/>
    <n v="175099"/>
    <n v="350999"/>
    <n v="20264"/>
    <n v="22807"/>
    <n v="23679"/>
    <n v="22095"/>
    <n v="17656"/>
    <n v="13074"/>
    <n v="10259"/>
    <n v="9169"/>
    <n v="8741"/>
    <n v="7603"/>
    <n v="6272"/>
    <n v="4108"/>
    <n v="3534"/>
    <n v="2717"/>
    <n v="2169"/>
    <n v="1168"/>
    <n v="585"/>
    <n v="19257"/>
    <n v="21464"/>
    <n v="22429"/>
    <n v="20451"/>
    <n v="16448"/>
    <n v="13052"/>
    <n v="11095"/>
    <n v="11286"/>
    <n v="9012"/>
    <n v="8483"/>
    <n v="6022"/>
    <n v="5276"/>
    <n v="4277"/>
    <n v="2988"/>
    <n v="1796"/>
    <n v="1036"/>
    <n v="727"/>
    <n v="39521"/>
    <n v="44271"/>
    <n v="46108"/>
    <n v="42546"/>
    <n v="34104"/>
    <n v="26126"/>
    <n v="21354"/>
    <n v="20455"/>
    <n v="17753"/>
    <n v="16086"/>
    <n v="12294"/>
    <n v="9384"/>
    <n v="7811"/>
    <n v="5705"/>
    <n v="3965"/>
    <n v="2204"/>
    <n v="1312"/>
  </r>
  <r>
    <s v="NGA"/>
    <x v="0"/>
    <m/>
    <x v="28"/>
    <m/>
    <s v="AKURE NORTH"/>
    <m/>
    <n v="87460"/>
    <n v="84909"/>
    <n v="172369"/>
    <n v="11146"/>
    <n v="10903"/>
    <n v="10744"/>
    <n v="10089"/>
    <n v="8538"/>
    <n v="6816"/>
    <n v="5659"/>
    <n v="5254"/>
    <n v="4425"/>
    <n v="3719"/>
    <n v="2883"/>
    <n v="2332"/>
    <n v="1777"/>
    <n v="1428"/>
    <n v="931"/>
    <n v="526"/>
    <n v="290"/>
    <n v="10732"/>
    <n v="10314"/>
    <n v="11365"/>
    <n v="9825"/>
    <n v="7327"/>
    <n v="6316"/>
    <n v="5407"/>
    <n v="5202"/>
    <n v="4177"/>
    <n v="3691"/>
    <n v="2541"/>
    <n v="2803"/>
    <n v="1989"/>
    <n v="1480"/>
    <n v="815"/>
    <n v="587"/>
    <n v="338"/>
    <n v="21878"/>
    <n v="21217"/>
    <n v="22109"/>
    <n v="19914"/>
    <n v="15865"/>
    <n v="13132"/>
    <n v="11066"/>
    <n v="10456"/>
    <n v="8602"/>
    <n v="7410"/>
    <n v="5424"/>
    <n v="5135"/>
    <n v="3766"/>
    <n v="2908"/>
    <n v="1746"/>
    <n v="1113"/>
    <n v="628"/>
  </r>
  <r>
    <s v="NGA"/>
    <x v="0"/>
    <m/>
    <x v="28"/>
    <m/>
    <s v="AKURE SOUTH"/>
    <m/>
    <n v="237086"/>
    <n v="237806"/>
    <n v="474892"/>
    <n v="30806"/>
    <n v="27391"/>
    <n v="26911"/>
    <n v="26073"/>
    <n v="26137"/>
    <n v="21826"/>
    <n v="17918"/>
    <n v="15839"/>
    <n v="11295"/>
    <n v="10511"/>
    <n v="6626"/>
    <n v="6617"/>
    <n v="3265"/>
    <n v="3058"/>
    <n v="1357"/>
    <n v="966"/>
    <n v="490"/>
    <n v="29977"/>
    <n v="27105"/>
    <n v="27662"/>
    <n v="24948"/>
    <n v="22885"/>
    <n v="20179"/>
    <n v="17535"/>
    <n v="15993"/>
    <n v="12667"/>
    <n v="10766"/>
    <n v="7677"/>
    <n v="6618"/>
    <n v="4797"/>
    <n v="3575"/>
    <n v="2374"/>
    <n v="1684"/>
    <n v="1364"/>
    <n v="60783"/>
    <n v="54496"/>
    <n v="54573"/>
    <n v="51021"/>
    <n v="49022"/>
    <n v="42005"/>
    <n v="35453"/>
    <n v="31832"/>
    <n v="23962"/>
    <n v="21277"/>
    <n v="14303"/>
    <n v="13235"/>
    <n v="8062"/>
    <n v="6633"/>
    <n v="3731"/>
    <n v="2650"/>
    <n v="1854"/>
  </r>
  <r>
    <s v="NGA"/>
    <x v="0"/>
    <m/>
    <x v="28"/>
    <m/>
    <s v="ESE-ODO"/>
    <m/>
    <n v="108018"/>
    <n v="107288"/>
    <n v="215306"/>
    <n v="13587"/>
    <n v="14607"/>
    <n v="14370"/>
    <n v="13201"/>
    <n v="10374"/>
    <n v="7738"/>
    <n v="6402"/>
    <n v="5472"/>
    <n v="5396"/>
    <n v="4648"/>
    <n v="3282"/>
    <n v="2973"/>
    <n v="2199"/>
    <n v="1340"/>
    <n v="1582"/>
    <n v="501"/>
    <n v="346"/>
    <n v="13027"/>
    <n v="13521"/>
    <n v="13412"/>
    <n v="11898"/>
    <n v="8959"/>
    <n v="7746"/>
    <n v="7017"/>
    <n v="6883"/>
    <n v="5634"/>
    <n v="4911"/>
    <n v="3778"/>
    <n v="3136"/>
    <n v="2697"/>
    <n v="2499"/>
    <n v="979"/>
    <n v="830"/>
    <n v="361"/>
    <n v="26614"/>
    <n v="28128"/>
    <n v="27782"/>
    <n v="25099"/>
    <n v="19333"/>
    <n v="15484"/>
    <n v="13419"/>
    <n v="12355"/>
    <n v="11030"/>
    <n v="9559"/>
    <n v="7060"/>
    <n v="6109"/>
    <n v="4896"/>
    <n v="3839"/>
    <n v="2561"/>
    <n v="1331"/>
    <n v="707"/>
  </r>
  <r>
    <s v="NGA"/>
    <x v="0"/>
    <m/>
    <x v="28"/>
    <m/>
    <s v="IDANRE"/>
    <m/>
    <n v="89185"/>
    <n v="81989"/>
    <n v="171174"/>
    <n v="12679"/>
    <n v="10922"/>
    <n v="10414"/>
    <n v="9998"/>
    <n v="8289"/>
    <n v="7373"/>
    <n v="6366"/>
    <n v="5661"/>
    <n v="4427"/>
    <n v="3594"/>
    <n v="2604"/>
    <n v="2010"/>
    <n v="1621"/>
    <n v="1465"/>
    <n v="806"/>
    <n v="627"/>
    <n v="329"/>
    <n v="12371"/>
    <n v="10417"/>
    <n v="9688"/>
    <n v="8224"/>
    <n v="6894"/>
    <n v="6375"/>
    <n v="5637"/>
    <n v="5030"/>
    <n v="4010"/>
    <n v="3266"/>
    <n v="2892"/>
    <n v="2020"/>
    <n v="1847"/>
    <n v="1447"/>
    <n v="889"/>
    <n v="555"/>
    <n v="427"/>
    <n v="25050"/>
    <n v="21339"/>
    <n v="20102"/>
    <n v="18222"/>
    <n v="15183"/>
    <n v="13748"/>
    <n v="12003"/>
    <n v="10691"/>
    <n v="8437"/>
    <n v="6860"/>
    <n v="5496"/>
    <n v="4030"/>
    <n v="3468"/>
    <n v="2912"/>
    <n v="1695"/>
    <n v="1182"/>
    <n v="756"/>
  </r>
  <r>
    <s v="NGA"/>
    <x v="0"/>
    <m/>
    <x v="28"/>
    <m/>
    <s v="IFEDORE"/>
    <m/>
    <n v="133556"/>
    <n v="130540"/>
    <n v="264096"/>
    <n v="14978"/>
    <n v="18126"/>
    <n v="18823"/>
    <n v="17100"/>
    <n v="13071"/>
    <n v="9359"/>
    <n v="7356"/>
    <n v="6640"/>
    <n v="6549"/>
    <n v="5752"/>
    <n v="4670"/>
    <n v="3426"/>
    <n v="2876"/>
    <n v="2358"/>
    <n v="1355"/>
    <n v="753"/>
    <n v="364"/>
    <n v="14249"/>
    <n v="16854"/>
    <n v="17570"/>
    <n v="15313"/>
    <n v="10782"/>
    <n v="9083"/>
    <n v="8073"/>
    <n v="8410"/>
    <n v="6744"/>
    <n v="6445"/>
    <n v="4221"/>
    <n v="4867"/>
    <n v="2935"/>
    <n v="2506"/>
    <n v="1230"/>
    <n v="634"/>
    <n v="624"/>
    <n v="29227"/>
    <n v="34980"/>
    <n v="36393"/>
    <n v="32413"/>
    <n v="23853"/>
    <n v="18442"/>
    <n v="15429"/>
    <n v="15050"/>
    <n v="13293"/>
    <n v="12197"/>
    <n v="8891"/>
    <n v="8293"/>
    <n v="5811"/>
    <n v="4864"/>
    <n v="2585"/>
    <n v="1387"/>
    <n v="988"/>
  </r>
  <r>
    <s v="NGA"/>
    <x v="0"/>
    <m/>
    <x v="28"/>
    <m/>
    <s v="ILAJE"/>
    <m/>
    <n v="199109"/>
    <n v="195215"/>
    <n v="394324"/>
    <n v="24647"/>
    <n v="26225"/>
    <n v="26317"/>
    <n v="24593"/>
    <n v="19340"/>
    <n v="14259"/>
    <n v="11692"/>
    <n v="10669"/>
    <n v="10002"/>
    <n v="8549"/>
    <n v="7068"/>
    <n v="4912"/>
    <n v="4417"/>
    <n v="2714"/>
    <n v="1649"/>
    <n v="1284"/>
    <n v="772"/>
    <n v="23332"/>
    <n v="24360"/>
    <n v="24659"/>
    <n v="22152"/>
    <n v="16515"/>
    <n v="14216"/>
    <n v="12823"/>
    <n v="12660"/>
    <n v="10280"/>
    <n v="9357"/>
    <n v="6650"/>
    <n v="6150"/>
    <n v="4910"/>
    <n v="3414"/>
    <n v="1579"/>
    <n v="1195"/>
    <n v="963"/>
    <n v="47979"/>
    <n v="50585"/>
    <n v="50976"/>
    <n v="46745"/>
    <n v="35855"/>
    <n v="28475"/>
    <n v="24515"/>
    <n v="23329"/>
    <n v="20282"/>
    <n v="17906"/>
    <n v="13718"/>
    <n v="11062"/>
    <n v="9327"/>
    <n v="6128"/>
    <n v="3228"/>
    <n v="2479"/>
    <n v="1735"/>
  </r>
  <r>
    <s v="NGA"/>
    <x v="0"/>
    <m/>
    <x v="28"/>
    <m/>
    <s v="ILE-OLUJI/OKE-IGBO"/>
    <m/>
    <n v="112008"/>
    <n v="109774"/>
    <n v="221782"/>
    <n v="13571"/>
    <n v="15140"/>
    <n v="15517"/>
    <n v="13865"/>
    <n v="10613"/>
    <n v="8165"/>
    <n v="6783"/>
    <n v="6022"/>
    <n v="5418"/>
    <n v="4560"/>
    <n v="3524"/>
    <n v="2607"/>
    <n v="1933"/>
    <n v="1823"/>
    <n v="1249"/>
    <n v="784"/>
    <n v="434"/>
    <n v="12902"/>
    <n v="14464"/>
    <n v="14902"/>
    <n v="12290"/>
    <n v="9054"/>
    <n v="7990"/>
    <n v="7102"/>
    <n v="6781"/>
    <n v="5454"/>
    <n v="4886"/>
    <n v="3687"/>
    <n v="3231"/>
    <n v="2189"/>
    <n v="2120"/>
    <n v="1457"/>
    <n v="750"/>
    <n v="515"/>
    <n v="26473"/>
    <n v="29604"/>
    <n v="30419"/>
    <n v="26155"/>
    <n v="19667"/>
    <n v="16155"/>
    <n v="13885"/>
    <n v="12803"/>
    <n v="10872"/>
    <n v="9446"/>
    <n v="7211"/>
    <n v="5838"/>
    <n v="4122"/>
    <n v="3943"/>
    <n v="2706"/>
    <n v="1534"/>
    <n v="949"/>
  </r>
  <r>
    <s v="NGA"/>
    <x v="0"/>
    <m/>
    <x v="28"/>
    <m/>
    <s v="IRELE"/>
    <m/>
    <n v="91288"/>
    <n v="89570"/>
    <n v="180858"/>
    <n v="11770"/>
    <n v="12690"/>
    <n v="12504"/>
    <n v="11156"/>
    <n v="8738"/>
    <n v="6578"/>
    <n v="5503"/>
    <n v="4718"/>
    <n v="4478"/>
    <n v="3545"/>
    <n v="3127"/>
    <n v="1725"/>
    <n v="1647"/>
    <n v="1292"/>
    <n v="944"/>
    <n v="496"/>
    <n v="377"/>
    <n v="11281"/>
    <n v="11866"/>
    <n v="11784"/>
    <n v="9875"/>
    <n v="7556"/>
    <n v="6651"/>
    <n v="5816"/>
    <n v="5561"/>
    <n v="4428"/>
    <n v="3827"/>
    <n v="3078"/>
    <n v="2386"/>
    <n v="1849"/>
    <n v="1421"/>
    <n v="1006"/>
    <n v="585"/>
    <n v="600"/>
    <n v="23051"/>
    <n v="24556"/>
    <n v="24288"/>
    <n v="21031"/>
    <n v="16294"/>
    <n v="13229"/>
    <n v="11319"/>
    <n v="10279"/>
    <n v="8906"/>
    <n v="7372"/>
    <n v="6205"/>
    <n v="4111"/>
    <n v="3496"/>
    <n v="2713"/>
    <n v="1950"/>
    <n v="1081"/>
    <n v="977"/>
  </r>
  <r>
    <s v="NGA"/>
    <x v="0"/>
    <m/>
    <x v="28"/>
    <m/>
    <s v="ODIGBO"/>
    <m/>
    <n v="152484"/>
    <n v="152250"/>
    <n v="304734"/>
    <n v="20746"/>
    <n v="20602"/>
    <n v="19520"/>
    <n v="17546"/>
    <n v="14011"/>
    <n v="11467"/>
    <n v="9858"/>
    <n v="8879"/>
    <n v="7366"/>
    <n v="5853"/>
    <n v="4602"/>
    <n v="3622"/>
    <n v="3115"/>
    <n v="2511"/>
    <n v="1501"/>
    <n v="871"/>
    <n v="414"/>
    <n v="20399"/>
    <n v="20158"/>
    <n v="19600"/>
    <n v="15727"/>
    <n v="12548"/>
    <n v="11441"/>
    <n v="10412"/>
    <n v="9117"/>
    <n v="7799"/>
    <n v="6334"/>
    <n v="5398"/>
    <n v="4202"/>
    <n v="3758"/>
    <n v="2571"/>
    <n v="1492"/>
    <n v="776"/>
    <n v="518"/>
    <n v="41145"/>
    <n v="40760"/>
    <n v="39120"/>
    <n v="33273"/>
    <n v="26559"/>
    <n v="22908"/>
    <n v="20270"/>
    <n v="17996"/>
    <n v="15165"/>
    <n v="12187"/>
    <n v="10000"/>
    <n v="7824"/>
    <n v="6873"/>
    <n v="5082"/>
    <n v="2993"/>
    <n v="1647"/>
    <n v="932"/>
  </r>
  <r>
    <s v="NGA"/>
    <x v="0"/>
    <m/>
    <x v="28"/>
    <m/>
    <s v="OKITIPUPA"/>
    <m/>
    <n v="135591"/>
    <n v="135022"/>
    <n v="270613"/>
    <n v="17018"/>
    <n v="17686"/>
    <n v="18474"/>
    <n v="17001"/>
    <n v="13364"/>
    <n v="9791"/>
    <n v="7960"/>
    <n v="7223"/>
    <n v="6474"/>
    <n v="5651"/>
    <n v="4297"/>
    <n v="3476"/>
    <n v="2567"/>
    <n v="2317"/>
    <n v="1058"/>
    <n v="776"/>
    <n v="458"/>
    <n v="16289"/>
    <n v="16830"/>
    <n v="17693"/>
    <n v="15620"/>
    <n v="11449"/>
    <n v="9703"/>
    <n v="8675"/>
    <n v="8519"/>
    <n v="6791"/>
    <n v="6191"/>
    <n v="4450"/>
    <n v="4141"/>
    <n v="2846"/>
    <n v="2540"/>
    <n v="1584"/>
    <n v="1057"/>
    <n v="644"/>
    <n v="33307"/>
    <n v="34516"/>
    <n v="36167"/>
    <n v="32621"/>
    <n v="24813"/>
    <n v="19494"/>
    <n v="16635"/>
    <n v="15742"/>
    <n v="13265"/>
    <n v="11842"/>
    <n v="8747"/>
    <n v="7617"/>
    <n v="5413"/>
    <n v="4857"/>
    <n v="2642"/>
    <n v="1833"/>
    <n v="1102"/>
  </r>
  <r>
    <s v="NGA"/>
    <x v="0"/>
    <m/>
    <x v="28"/>
    <m/>
    <s v="ONDO EAST"/>
    <m/>
    <n v="48760"/>
    <n v="47164"/>
    <n v="95924"/>
    <n v="6017"/>
    <n v="6577"/>
    <n v="6671"/>
    <n v="5804"/>
    <n v="4420"/>
    <n v="3611"/>
    <n v="3030"/>
    <n v="2654"/>
    <n v="2205"/>
    <n v="1889"/>
    <n v="1498"/>
    <n v="1214"/>
    <n v="1066"/>
    <n v="1022"/>
    <n v="573"/>
    <n v="353"/>
    <n v="156"/>
    <n v="6078"/>
    <n v="6330"/>
    <n v="6546"/>
    <n v="5145"/>
    <n v="3543"/>
    <n v="3143"/>
    <n v="2976"/>
    <n v="2679"/>
    <n v="2430"/>
    <n v="2064"/>
    <n v="1694"/>
    <n v="1353"/>
    <n v="1232"/>
    <n v="906"/>
    <n v="535"/>
    <n v="339"/>
    <n v="171"/>
    <n v="12095"/>
    <n v="12907"/>
    <n v="13217"/>
    <n v="10949"/>
    <n v="7963"/>
    <n v="6754"/>
    <n v="6006"/>
    <n v="5333"/>
    <n v="4635"/>
    <n v="3953"/>
    <n v="3192"/>
    <n v="2567"/>
    <n v="2298"/>
    <n v="1928"/>
    <n v="1108"/>
    <n v="692"/>
    <n v="327"/>
  </r>
  <r>
    <s v="NGA"/>
    <x v="0"/>
    <m/>
    <x v="28"/>
    <m/>
    <s v="ONDO WEST"/>
    <m/>
    <n v="178479"/>
    <n v="185676"/>
    <n v="364155"/>
    <n v="23373"/>
    <n v="22015"/>
    <n v="22401"/>
    <n v="20998"/>
    <n v="18208"/>
    <n v="14692"/>
    <n v="11908"/>
    <n v="10317"/>
    <n v="8102"/>
    <n v="6914"/>
    <n v="5075"/>
    <n v="4284"/>
    <n v="3307"/>
    <n v="3116"/>
    <n v="1966"/>
    <n v="1252"/>
    <n v="551"/>
    <n v="23453"/>
    <n v="22073"/>
    <n v="23150"/>
    <n v="19917"/>
    <n v="15913"/>
    <n v="14111"/>
    <n v="12261"/>
    <n v="10983"/>
    <n v="9012"/>
    <n v="7732"/>
    <n v="6701"/>
    <n v="5246"/>
    <n v="5150"/>
    <n v="4170"/>
    <n v="2754"/>
    <n v="1863"/>
    <n v="1187"/>
    <n v="46826"/>
    <n v="44088"/>
    <n v="45551"/>
    <n v="40915"/>
    <n v="34121"/>
    <n v="28803"/>
    <n v="24169"/>
    <n v="21300"/>
    <n v="17114"/>
    <n v="14646"/>
    <n v="11776"/>
    <n v="9530"/>
    <n v="8457"/>
    <n v="7286"/>
    <n v="4720"/>
    <n v="3115"/>
    <n v="1738"/>
  </r>
  <r>
    <s v="NGA"/>
    <x v="0"/>
    <m/>
    <x v="28"/>
    <m/>
    <s v="OSE"/>
    <m/>
    <n v="98361"/>
    <n v="96255"/>
    <n v="194616"/>
    <n v="12033"/>
    <n v="12964"/>
    <n v="13378"/>
    <n v="12177"/>
    <n v="9227"/>
    <n v="7034"/>
    <n v="5729"/>
    <n v="5218"/>
    <n v="4917"/>
    <n v="4265"/>
    <n v="3580"/>
    <n v="2203"/>
    <n v="1932"/>
    <n v="1744"/>
    <n v="1137"/>
    <n v="499"/>
    <n v="324"/>
    <n v="11509"/>
    <n v="12129"/>
    <n v="12585"/>
    <n v="11043"/>
    <n v="7697"/>
    <n v="6922"/>
    <n v="6286"/>
    <n v="6138"/>
    <n v="5032"/>
    <n v="4642"/>
    <n v="3257"/>
    <n v="3148"/>
    <n v="2372"/>
    <n v="1618"/>
    <n v="761"/>
    <n v="646"/>
    <n v="470"/>
    <n v="23542"/>
    <n v="25093"/>
    <n v="25963"/>
    <n v="23220"/>
    <n v="16924"/>
    <n v="13956"/>
    <n v="12015"/>
    <n v="11356"/>
    <n v="9949"/>
    <n v="8907"/>
    <n v="6837"/>
    <n v="5351"/>
    <n v="4304"/>
    <n v="3362"/>
    <n v="1898"/>
    <n v="1145"/>
    <n v="794"/>
  </r>
  <r>
    <s v="NGA"/>
    <x v="0"/>
    <m/>
    <x v="28"/>
    <m/>
    <s v="OWO"/>
    <m/>
    <n v="137825"/>
    <n v="136124"/>
    <n v="273949"/>
    <n v="17254"/>
    <n v="17604"/>
    <n v="18000"/>
    <n v="16699"/>
    <n v="14275"/>
    <n v="10629"/>
    <n v="8676"/>
    <n v="7475"/>
    <n v="6463"/>
    <n v="5307"/>
    <n v="4250"/>
    <n v="3298"/>
    <n v="2560"/>
    <n v="2360"/>
    <n v="1455"/>
    <n v="965"/>
    <n v="555"/>
    <n v="16875"/>
    <n v="16692"/>
    <n v="16704"/>
    <n v="14536"/>
    <n v="11991"/>
    <n v="9927"/>
    <n v="8825"/>
    <n v="8211"/>
    <n v="6789"/>
    <n v="6016"/>
    <n v="4928"/>
    <n v="4137"/>
    <n v="3289"/>
    <n v="2802"/>
    <n v="2023"/>
    <n v="1358"/>
    <n v="1021"/>
    <n v="34129"/>
    <n v="34296"/>
    <n v="34704"/>
    <n v="31235"/>
    <n v="26266"/>
    <n v="20556"/>
    <n v="17501"/>
    <n v="15686"/>
    <n v="13252"/>
    <n v="11323"/>
    <n v="9178"/>
    <n v="7435"/>
    <n v="5849"/>
    <n v="5162"/>
    <n v="3478"/>
    <n v="2323"/>
    <n v="1576"/>
  </r>
  <r>
    <s v="NGA"/>
    <x v="0"/>
    <m/>
    <x v="29"/>
    <m/>
    <s v="ATAKUNMOSA EAST"/>
    <m/>
    <n v="49623"/>
    <n v="48012"/>
    <n v="97635"/>
    <n v="5938"/>
    <n v="6282"/>
    <n v="6449"/>
    <n v="6035"/>
    <n v="4704"/>
    <n v="3587"/>
    <n v="3005"/>
    <n v="2695"/>
    <n v="2464"/>
    <n v="2124"/>
    <n v="1629"/>
    <n v="1435"/>
    <n v="1101"/>
    <n v="898"/>
    <n v="721"/>
    <n v="342"/>
    <n v="214"/>
    <n v="5608"/>
    <n v="5850"/>
    <n v="6055"/>
    <n v="5270"/>
    <n v="3842"/>
    <n v="3478"/>
    <n v="3062"/>
    <n v="3023"/>
    <n v="2533"/>
    <n v="2254"/>
    <n v="1788"/>
    <n v="1687"/>
    <n v="1259"/>
    <n v="1119"/>
    <n v="645"/>
    <n v="321"/>
    <n v="218"/>
    <n v="11546"/>
    <n v="12132"/>
    <n v="12504"/>
    <n v="11305"/>
    <n v="8546"/>
    <n v="7065"/>
    <n v="6067"/>
    <n v="5718"/>
    <n v="4997"/>
    <n v="4378"/>
    <n v="3417"/>
    <n v="3122"/>
    <n v="2360"/>
    <n v="2017"/>
    <n v="1366"/>
    <n v="663"/>
    <n v="432"/>
  </r>
  <r>
    <s v="NGA"/>
    <x v="0"/>
    <m/>
    <x v="29"/>
    <m/>
    <s v="ATAKUNMOSA WEST"/>
    <m/>
    <n v="44483"/>
    <n v="43204"/>
    <n v="87687"/>
    <n v="4925"/>
    <n v="5441"/>
    <n v="5922"/>
    <n v="5554"/>
    <n v="4447"/>
    <n v="3342"/>
    <n v="2672"/>
    <n v="2380"/>
    <n v="2234"/>
    <n v="1883"/>
    <n v="1639"/>
    <n v="1172"/>
    <n v="1086"/>
    <n v="786"/>
    <n v="534"/>
    <n v="280"/>
    <n v="186"/>
    <n v="4674"/>
    <n v="5069"/>
    <n v="5527"/>
    <n v="4946"/>
    <n v="3661"/>
    <n v="3128"/>
    <n v="2820"/>
    <n v="2706"/>
    <n v="2347"/>
    <n v="2076"/>
    <n v="1681"/>
    <n v="1407"/>
    <n v="1207"/>
    <n v="780"/>
    <n v="702"/>
    <n v="270"/>
    <n v="203"/>
    <n v="9599"/>
    <n v="10510"/>
    <n v="11449"/>
    <n v="10500"/>
    <n v="8108"/>
    <n v="6470"/>
    <n v="5492"/>
    <n v="5086"/>
    <n v="4581"/>
    <n v="3959"/>
    <n v="3320"/>
    <n v="2579"/>
    <n v="2293"/>
    <n v="1566"/>
    <n v="1236"/>
    <n v="550"/>
    <n v="389"/>
  </r>
  <r>
    <s v="NGA"/>
    <x v="0"/>
    <m/>
    <x v="29"/>
    <m/>
    <s v="AYEDAADE"/>
    <m/>
    <n v="104135"/>
    <n v="101556"/>
    <n v="205691"/>
    <n v="11670"/>
    <n v="12826"/>
    <n v="13594"/>
    <n v="13389"/>
    <n v="10707"/>
    <n v="7779"/>
    <n v="6182"/>
    <n v="5485"/>
    <n v="5175"/>
    <n v="4496"/>
    <n v="3743"/>
    <n v="2806"/>
    <n v="2401"/>
    <n v="1787"/>
    <n v="1121"/>
    <n v="604"/>
    <n v="370"/>
    <n v="11203"/>
    <n v="12227"/>
    <n v="12806"/>
    <n v="11958"/>
    <n v="8528"/>
    <n v="7388"/>
    <n v="6584"/>
    <n v="6370"/>
    <n v="5356"/>
    <n v="5123"/>
    <n v="3761"/>
    <n v="3341"/>
    <n v="2490"/>
    <n v="2039"/>
    <n v="1161"/>
    <n v="712"/>
    <n v="509"/>
    <n v="22873"/>
    <n v="25053"/>
    <n v="26400"/>
    <n v="25347"/>
    <n v="19235"/>
    <n v="15167"/>
    <n v="12766"/>
    <n v="11855"/>
    <n v="10531"/>
    <n v="9619"/>
    <n v="7504"/>
    <n v="6147"/>
    <n v="4891"/>
    <n v="3826"/>
    <n v="2282"/>
    <n v="1316"/>
    <n v="879"/>
  </r>
  <r>
    <s v="NGA"/>
    <x v="0"/>
    <m/>
    <x v="29"/>
    <m/>
    <s v="AYEDIRE"/>
    <m/>
    <n v="60528"/>
    <n v="61295"/>
    <n v="121823"/>
    <n v="7379"/>
    <n v="8041"/>
    <n v="8016"/>
    <n v="7734"/>
    <n v="5459"/>
    <n v="4411"/>
    <n v="3529"/>
    <n v="3219"/>
    <n v="3012"/>
    <n v="2721"/>
    <n v="1962"/>
    <n v="1519"/>
    <n v="1255"/>
    <n v="976"/>
    <n v="590"/>
    <n v="440"/>
    <n v="265"/>
    <n v="7034"/>
    <n v="7904"/>
    <n v="7865"/>
    <n v="6841"/>
    <n v="4974"/>
    <n v="4331"/>
    <n v="3748"/>
    <n v="3858"/>
    <n v="3210"/>
    <n v="2767"/>
    <n v="2109"/>
    <n v="2059"/>
    <n v="1425"/>
    <n v="1919"/>
    <n v="706"/>
    <n v="410"/>
    <n v="135"/>
    <n v="14413"/>
    <n v="15945"/>
    <n v="15881"/>
    <n v="14575"/>
    <n v="10433"/>
    <n v="8742"/>
    <n v="7277"/>
    <n v="7077"/>
    <n v="6222"/>
    <n v="5488"/>
    <n v="4071"/>
    <n v="3578"/>
    <n v="2680"/>
    <n v="2895"/>
    <n v="1296"/>
    <n v="850"/>
    <n v="400"/>
  </r>
  <r>
    <s v="NGA"/>
    <x v="0"/>
    <m/>
    <x v="29"/>
    <m/>
    <s v="BOLUWADURO"/>
    <m/>
    <n v="48109"/>
    <n v="46966"/>
    <n v="95075"/>
    <n v="5952"/>
    <n v="6311"/>
    <n v="6373"/>
    <n v="5744"/>
    <n v="4681"/>
    <n v="3552"/>
    <n v="2825"/>
    <n v="2578"/>
    <n v="2393"/>
    <n v="2062"/>
    <n v="1674"/>
    <n v="1236"/>
    <n v="1105"/>
    <n v="798"/>
    <n v="403"/>
    <n v="269"/>
    <n v="153"/>
    <n v="5680"/>
    <n v="5918"/>
    <n v="5912"/>
    <n v="5297"/>
    <n v="4017"/>
    <n v="3465"/>
    <n v="2938"/>
    <n v="3066"/>
    <n v="2346"/>
    <n v="2207"/>
    <n v="1567"/>
    <n v="1590"/>
    <n v="807"/>
    <n v="947"/>
    <n v="640"/>
    <n v="372"/>
    <n v="197"/>
    <n v="11632"/>
    <n v="12229"/>
    <n v="12285"/>
    <n v="11041"/>
    <n v="8698"/>
    <n v="7017"/>
    <n v="5763"/>
    <n v="5644"/>
    <n v="4739"/>
    <n v="4269"/>
    <n v="3241"/>
    <n v="2826"/>
    <n v="1912"/>
    <n v="1745"/>
    <n v="1043"/>
    <n v="641"/>
    <n v="350"/>
  </r>
  <r>
    <s v="NGA"/>
    <x v="0"/>
    <m/>
    <x v="29"/>
    <m/>
    <s v="BORIPE"/>
    <m/>
    <n v="97503"/>
    <n v="93680"/>
    <n v="191183"/>
    <n v="11378"/>
    <n v="12297"/>
    <n v="12656"/>
    <n v="12330"/>
    <n v="10727"/>
    <n v="7536"/>
    <n v="5596"/>
    <n v="5007"/>
    <n v="4756"/>
    <n v="4263"/>
    <n v="3325"/>
    <n v="2519"/>
    <n v="2019"/>
    <n v="1212"/>
    <n v="678"/>
    <n v="854"/>
    <n v="350"/>
    <n v="10678"/>
    <n v="11349"/>
    <n v="11921"/>
    <n v="11079"/>
    <n v="8799"/>
    <n v="6936"/>
    <n v="6002"/>
    <n v="6194"/>
    <n v="5024"/>
    <n v="4196"/>
    <n v="2806"/>
    <n v="3617"/>
    <n v="1424"/>
    <n v="2017"/>
    <n v="659"/>
    <n v="659"/>
    <n v="320"/>
    <n v="22056"/>
    <n v="23646"/>
    <n v="24577"/>
    <n v="23409"/>
    <n v="19526"/>
    <n v="14472"/>
    <n v="11598"/>
    <n v="11201"/>
    <n v="9780"/>
    <n v="8459"/>
    <n v="6131"/>
    <n v="6136"/>
    <n v="3443"/>
    <n v="3229"/>
    <n v="1337"/>
    <n v="1513"/>
    <n v="670"/>
  </r>
  <r>
    <s v="NGA"/>
    <x v="0"/>
    <m/>
    <x v="29"/>
    <m/>
    <s v="EDE NORTH"/>
    <m/>
    <n v="41179"/>
    <n v="40631"/>
    <n v="81810"/>
    <n v="5000"/>
    <n v="5142"/>
    <n v="5210"/>
    <n v="5093"/>
    <n v="4783"/>
    <n v="3384"/>
    <n v="2418"/>
    <n v="2139"/>
    <n v="1894"/>
    <n v="1659"/>
    <n v="1315"/>
    <n v="973"/>
    <n v="754"/>
    <n v="667"/>
    <n v="428"/>
    <n v="180"/>
    <n v="140"/>
    <n v="4674"/>
    <n v="4831"/>
    <n v="4901"/>
    <n v="4609"/>
    <n v="3974"/>
    <n v="3099"/>
    <n v="2531"/>
    <n v="2495"/>
    <n v="2066"/>
    <n v="1921"/>
    <n v="1434"/>
    <n v="1285"/>
    <n v="1010"/>
    <n v="782"/>
    <n v="499"/>
    <n v="337"/>
    <n v="183"/>
    <n v="9674"/>
    <n v="9973"/>
    <n v="10111"/>
    <n v="9702"/>
    <n v="8757"/>
    <n v="6483"/>
    <n v="4949"/>
    <n v="4634"/>
    <n v="3960"/>
    <n v="3580"/>
    <n v="2749"/>
    <n v="2258"/>
    <n v="1764"/>
    <n v="1449"/>
    <n v="927"/>
    <n v="517"/>
    <n v="323"/>
  </r>
  <r>
    <s v="NGA"/>
    <x v="0"/>
    <m/>
    <x v="29"/>
    <m/>
    <s v="EDE SOUTH"/>
    <m/>
    <n v="37233"/>
    <n v="36449"/>
    <n v="73682"/>
    <n v="4551"/>
    <n v="4816"/>
    <n v="5052"/>
    <n v="4793"/>
    <n v="3724"/>
    <n v="2673"/>
    <n v="2160"/>
    <n v="1951"/>
    <n v="1795"/>
    <n v="1531"/>
    <n v="1196"/>
    <n v="975"/>
    <n v="771"/>
    <n v="557"/>
    <n v="350"/>
    <n v="210"/>
    <n v="128"/>
    <n v="4331"/>
    <n v="4542"/>
    <n v="4707"/>
    <n v="4211"/>
    <n v="3184"/>
    <n v="2657"/>
    <n v="2317"/>
    <n v="2270"/>
    <n v="1869"/>
    <n v="1669"/>
    <n v="1231"/>
    <n v="1116"/>
    <n v="842"/>
    <n v="711"/>
    <n v="374"/>
    <n v="237"/>
    <n v="181"/>
    <n v="8882"/>
    <n v="9358"/>
    <n v="9759"/>
    <n v="9004"/>
    <n v="6908"/>
    <n v="5330"/>
    <n v="4477"/>
    <n v="4221"/>
    <n v="3664"/>
    <n v="3200"/>
    <n v="2427"/>
    <n v="2091"/>
    <n v="1613"/>
    <n v="1268"/>
    <n v="724"/>
    <n v="447"/>
    <n v="309"/>
  </r>
  <r>
    <s v="NGA"/>
    <x v="0"/>
    <m/>
    <x v="29"/>
    <m/>
    <s v="EGBEDORE"/>
    <m/>
    <n v="59536"/>
    <n v="58743"/>
    <n v="118279"/>
    <n v="7055"/>
    <n v="7553"/>
    <n v="7767"/>
    <n v="7353"/>
    <n v="5953"/>
    <n v="4583"/>
    <n v="3497"/>
    <n v="3267"/>
    <n v="2915"/>
    <n v="2565"/>
    <n v="2086"/>
    <n v="1761"/>
    <n v="1427"/>
    <n v="926"/>
    <n v="328"/>
    <n v="355"/>
    <n v="145"/>
    <n v="6713"/>
    <n v="7010"/>
    <n v="7552"/>
    <n v="6759"/>
    <n v="5219"/>
    <n v="4348"/>
    <n v="3721"/>
    <n v="3947"/>
    <n v="3091"/>
    <n v="3019"/>
    <n v="2093"/>
    <n v="1876"/>
    <n v="1093"/>
    <n v="1263"/>
    <n v="586"/>
    <n v="243"/>
    <n v="210"/>
    <n v="13768"/>
    <n v="14563"/>
    <n v="15319"/>
    <n v="14112"/>
    <n v="11172"/>
    <n v="8931"/>
    <n v="7218"/>
    <n v="7214"/>
    <n v="6006"/>
    <n v="5584"/>
    <n v="4179"/>
    <n v="3637"/>
    <n v="2520"/>
    <n v="2189"/>
    <n v="914"/>
    <n v="598"/>
    <n v="355"/>
  </r>
  <r>
    <s v="NGA"/>
    <x v="0"/>
    <m/>
    <x v="29"/>
    <m/>
    <s v="EJIGBO"/>
    <m/>
    <n v="111767"/>
    <n v="108710"/>
    <n v="220477"/>
    <n v="12973"/>
    <n v="14483"/>
    <n v="15935"/>
    <n v="14430"/>
    <n v="10499"/>
    <n v="7826"/>
    <n v="6471"/>
    <n v="6057"/>
    <n v="5525"/>
    <n v="4911"/>
    <n v="3734"/>
    <n v="2891"/>
    <n v="2039"/>
    <n v="1818"/>
    <n v="917"/>
    <n v="793"/>
    <n v="465"/>
    <n v="12245"/>
    <n v="13308"/>
    <n v="14580"/>
    <n v="12711"/>
    <n v="8915"/>
    <n v="7737"/>
    <n v="7109"/>
    <n v="7280"/>
    <n v="5606"/>
    <n v="5249"/>
    <n v="3732"/>
    <n v="3218"/>
    <n v="2395"/>
    <n v="2200"/>
    <n v="1329"/>
    <n v="604"/>
    <n v="492"/>
    <n v="25218"/>
    <n v="27791"/>
    <n v="30515"/>
    <n v="27141"/>
    <n v="19414"/>
    <n v="15563"/>
    <n v="13580"/>
    <n v="13337"/>
    <n v="11131"/>
    <n v="10160"/>
    <n v="7466"/>
    <n v="6109"/>
    <n v="4434"/>
    <n v="4018"/>
    <n v="2246"/>
    <n v="1397"/>
    <n v="957"/>
  </r>
  <r>
    <s v="NGA"/>
    <x v="0"/>
    <m/>
    <x v="29"/>
    <m/>
    <s v="IFE CENTRAL"/>
    <m/>
    <n v="147763"/>
    <n v="129535"/>
    <n v="277298"/>
    <n v="11417"/>
    <n v="12410"/>
    <n v="13713"/>
    <n v="18930"/>
    <n v="29346"/>
    <n v="18174"/>
    <n v="10027"/>
    <n v="7159"/>
    <n v="6335"/>
    <n v="5474"/>
    <n v="4231"/>
    <n v="3843"/>
    <n v="2594"/>
    <n v="1969"/>
    <n v="1116"/>
    <n v="699"/>
    <n v="326"/>
    <n v="11015"/>
    <n v="11680"/>
    <n v="13909"/>
    <n v="15880"/>
    <n v="18773"/>
    <n v="12734"/>
    <n v="7946"/>
    <n v="7186"/>
    <n v="6331"/>
    <n v="5947"/>
    <n v="4796"/>
    <n v="4741"/>
    <n v="2876"/>
    <n v="2452"/>
    <n v="1512"/>
    <n v="1082"/>
    <n v="675"/>
    <n v="22432"/>
    <n v="24090"/>
    <n v="27622"/>
    <n v="34810"/>
    <n v="48119"/>
    <n v="30908"/>
    <n v="17973"/>
    <n v="14345"/>
    <n v="12666"/>
    <n v="11421"/>
    <n v="9027"/>
    <n v="8584"/>
    <n v="5470"/>
    <n v="4421"/>
    <n v="2628"/>
    <n v="1781"/>
    <n v="1001"/>
  </r>
  <r>
    <s v="NGA"/>
    <x v="0"/>
    <m/>
    <x v="29"/>
    <m/>
    <s v="IFE EAST"/>
    <m/>
    <n v="157443"/>
    <n v="155358"/>
    <n v="312801"/>
    <n v="18515"/>
    <n v="19391"/>
    <n v="20645"/>
    <n v="19419"/>
    <n v="16322"/>
    <n v="12660"/>
    <n v="10104"/>
    <n v="8626"/>
    <n v="7544"/>
    <n v="6557"/>
    <n v="5246"/>
    <n v="4063"/>
    <n v="2753"/>
    <n v="2597"/>
    <n v="1446"/>
    <n v="1114"/>
    <n v="441"/>
    <n v="16878"/>
    <n v="18678"/>
    <n v="20317"/>
    <n v="18343"/>
    <n v="13896"/>
    <n v="12076"/>
    <n v="9726"/>
    <n v="9181"/>
    <n v="7530"/>
    <n v="7326"/>
    <n v="5355"/>
    <n v="5127"/>
    <n v="3705"/>
    <n v="3120"/>
    <n v="1974"/>
    <n v="1330"/>
    <n v="796"/>
    <n v="35393"/>
    <n v="38069"/>
    <n v="40962"/>
    <n v="37762"/>
    <n v="30218"/>
    <n v="24736"/>
    <n v="19830"/>
    <n v="17807"/>
    <n v="15074"/>
    <n v="13883"/>
    <n v="10601"/>
    <n v="9190"/>
    <n v="6458"/>
    <n v="5717"/>
    <n v="3420"/>
    <n v="2444"/>
    <n v="1237"/>
  </r>
  <r>
    <s v="NGA"/>
    <x v="0"/>
    <m/>
    <x v="29"/>
    <m/>
    <s v="IFE NORTH"/>
    <m/>
    <n v="76513"/>
    <n v="77240"/>
    <n v="153753"/>
    <n v="9043"/>
    <n v="10031"/>
    <n v="9957"/>
    <n v="9306"/>
    <n v="7421"/>
    <n v="5582"/>
    <n v="4471"/>
    <n v="4214"/>
    <n v="3878"/>
    <n v="3298"/>
    <n v="2871"/>
    <n v="1933"/>
    <n v="1616"/>
    <n v="1209"/>
    <n v="930"/>
    <n v="451"/>
    <n v="302"/>
    <n v="8615"/>
    <n v="9293"/>
    <n v="10213"/>
    <n v="9325"/>
    <n v="6448"/>
    <n v="5495"/>
    <n v="4809"/>
    <n v="4926"/>
    <n v="3918"/>
    <n v="3759"/>
    <n v="2639"/>
    <n v="2641"/>
    <n v="1769"/>
    <n v="1673"/>
    <n v="772"/>
    <n v="645"/>
    <n v="300"/>
    <n v="17658"/>
    <n v="19324"/>
    <n v="20170"/>
    <n v="18631"/>
    <n v="13869"/>
    <n v="11077"/>
    <n v="9280"/>
    <n v="9140"/>
    <n v="7796"/>
    <n v="7057"/>
    <n v="5510"/>
    <n v="4574"/>
    <n v="3385"/>
    <n v="2882"/>
    <n v="1702"/>
    <n v="1096"/>
    <n v="602"/>
  </r>
  <r>
    <s v="NGA"/>
    <x v="0"/>
    <m/>
    <x v="29"/>
    <m/>
    <s v="IFE SOUTH"/>
    <m/>
    <n v="90218"/>
    <n v="88567"/>
    <n v="178785"/>
    <n v="10674"/>
    <n v="11238"/>
    <n v="11515"/>
    <n v="10775"/>
    <n v="8735"/>
    <n v="6916"/>
    <n v="5643"/>
    <n v="4965"/>
    <n v="4475"/>
    <n v="3691"/>
    <n v="3110"/>
    <n v="2267"/>
    <n v="2071"/>
    <n v="1680"/>
    <n v="1333"/>
    <n v="757"/>
    <n v="373"/>
    <n v="10008"/>
    <n v="10686"/>
    <n v="10815"/>
    <n v="9349"/>
    <n v="7278"/>
    <n v="6362"/>
    <n v="5696"/>
    <n v="5349"/>
    <n v="4676"/>
    <n v="4263"/>
    <n v="3661"/>
    <n v="3217"/>
    <n v="3134"/>
    <n v="2051"/>
    <n v="1125"/>
    <n v="585"/>
    <n v="312"/>
    <n v="20682"/>
    <n v="21924"/>
    <n v="22330"/>
    <n v="20124"/>
    <n v="16013"/>
    <n v="13278"/>
    <n v="11339"/>
    <n v="10314"/>
    <n v="9151"/>
    <n v="7954"/>
    <n v="6771"/>
    <n v="5484"/>
    <n v="5205"/>
    <n v="3731"/>
    <n v="2458"/>
    <n v="1342"/>
    <n v="685"/>
  </r>
  <r>
    <s v="NGA"/>
    <x v="0"/>
    <m/>
    <x v="29"/>
    <m/>
    <s v="IFEDAYO"/>
    <m/>
    <n v="25252"/>
    <n v="24449"/>
    <n v="49701"/>
    <n v="2884"/>
    <n v="3245"/>
    <n v="3554"/>
    <n v="3094"/>
    <n v="2285"/>
    <n v="1864"/>
    <n v="1515"/>
    <n v="1437"/>
    <n v="1262"/>
    <n v="1024"/>
    <n v="943"/>
    <n v="650"/>
    <n v="571"/>
    <n v="369"/>
    <n v="270"/>
    <n v="125"/>
    <n v="160"/>
    <n v="2787"/>
    <n v="3057"/>
    <n v="3205"/>
    <n v="2699"/>
    <n v="2090"/>
    <n v="1798"/>
    <n v="1630"/>
    <n v="1679"/>
    <n v="1251"/>
    <n v="1223"/>
    <n v="750"/>
    <n v="841"/>
    <n v="629"/>
    <n v="264"/>
    <n v="206"/>
    <n v="298"/>
    <n v="42"/>
    <n v="5671"/>
    <n v="6302"/>
    <n v="6759"/>
    <n v="5793"/>
    <n v="4375"/>
    <n v="3662"/>
    <n v="3145"/>
    <n v="3116"/>
    <n v="2513"/>
    <n v="2247"/>
    <n v="1693"/>
    <n v="1491"/>
    <n v="1200"/>
    <n v="633"/>
    <n v="476"/>
    <n v="423"/>
    <n v="202"/>
  </r>
  <r>
    <s v="NGA"/>
    <x v="0"/>
    <m/>
    <x v="29"/>
    <m/>
    <s v="IFELODUN"/>
    <m/>
    <n v="53215"/>
    <n v="52718"/>
    <n v="105933"/>
    <n v="6437"/>
    <n v="6976"/>
    <n v="7282"/>
    <n v="6525"/>
    <n v="5159"/>
    <n v="3892"/>
    <n v="3150"/>
    <n v="2827"/>
    <n v="2626"/>
    <n v="2337"/>
    <n v="1742"/>
    <n v="1365"/>
    <n v="911"/>
    <n v="947"/>
    <n v="519"/>
    <n v="330"/>
    <n v="190"/>
    <n v="6143"/>
    <n v="6591"/>
    <n v="6986"/>
    <n v="6046"/>
    <n v="4464"/>
    <n v="3881"/>
    <n v="3380"/>
    <n v="3449"/>
    <n v="2716"/>
    <n v="2367"/>
    <n v="1698"/>
    <n v="1704"/>
    <n v="1234"/>
    <n v="935"/>
    <n v="548"/>
    <n v="334"/>
    <n v="242"/>
    <n v="12580"/>
    <n v="13567"/>
    <n v="14268"/>
    <n v="12571"/>
    <n v="9623"/>
    <n v="7773"/>
    <n v="6530"/>
    <n v="6276"/>
    <n v="5342"/>
    <n v="4704"/>
    <n v="3440"/>
    <n v="3069"/>
    <n v="2145"/>
    <n v="1882"/>
    <n v="1067"/>
    <n v="664"/>
    <n v="432"/>
  </r>
  <r>
    <s v="NGA"/>
    <x v="0"/>
    <m/>
    <x v="29"/>
    <m/>
    <s v="ILA"/>
    <m/>
    <n v="40908"/>
    <n v="40011"/>
    <n v="80919"/>
    <n v="5082"/>
    <n v="5240"/>
    <n v="5228"/>
    <n v="4858"/>
    <n v="4159"/>
    <n v="3134"/>
    <n v="2418"/>
    <n v="2054"/>
    <n v="2049"/>
    <n v="1777"/>
    <n v="1363"/>
    <n v="1162"/>
    <n v="678"/>
    <n v="766"/>
    <n v="537"/>
    <n v="202"/>
    <n v="201"/>
    <n v="4784"/>
    <n v="4957"/>
    <n v="4938"/>
    <n v="4402"/>
    <n v="3506"/>
    <n v="3036"/>
    <n v="2566"/>
    <n v="2572"/>
    <n v="1969"/>
    <n v="1926"/>
    <n v="1213"/>
    <n v="1616"/>
    <n v="922"/>
    <n v="582"/>
    <n v="445"/>
    <n v="315"/>
    <n v="262"/>
    <n v="9866"/>
    <n v="10197"/>
    <n v="10166"/>
    <n v="9260"/>
    <n v="7665"/>
    <n v="6170"/>
    <n v="4984"/>
    <n v="4626"/>
    <n v="4018"/>
    <n v="3703"/>
    <n v="2576"/>
    <n v="2778"/>
    <n v="1600"/>
    <n v="1348"/>
    <n v="982"/>
    <n v="517"/>
    <n v="463"/>
  </r>
  <r>
    <s v="NGA"/>
    <x v="0"/>
    <m/>
    <x v="29"/>
    <m/>
    <s v="ILESA EAST"/>
    <m/>
    <n v="69731"/>
    <n v="70091"/>
    <n v="139822"/>
    <n v="8049"/>
    <n v="8370"/>
    <n v="8968"/>
    <n v="8559"/>
    <n v="7393"/>
    <n v="5556"/>
    <n v="4342"/>
    <n v="3806"/>
    <n v="3377"/>
    <n v="2988"/>
    <n v="2272"/>
    <n v="1925"/>
    <n v="1248"/>
    <n v="1298"/>
    <n v="764"/>
    <n v="595"/>
    <n v="221"/>
    <n v="7856"/>
    <n v="8293"/>
    <n v="8871"/>
    <n v="7759"/>
    <n v="6294"/>
    <n v="5058"/>
    <n v="4350"/>
    <n v="4244"/>
    <n v="3500"/>
    <n v="3340"/>
    <n v="2363"/>
    <n v="2447"/>
    <n v="1657"/>
    <n v="1658"/>
    <n v="1180"/>
    <n v="702"/>
    <n v="519"/>
    <n v="15905"/>
    <n v="16663"/>
    <n v="17839"/>
    <n v="16318"/>
    <n v="13687"/>
    <n v="10614"/>
    <n v="8692"/>
    <n v="8050"/>
    <n v="6877"/>
    <n v="6328"/>
    <n v="4635"/>
    <n v="4372"/>
    <n v="2905"/>
    <n v="2956"/>
    <n v="1944"/>
    <n v="1297"/>
    <n v="740"/>
  </r>
  <r>
    <s v="NGA"/>
    <x v="0"/>
    <m/>
    <x v="29"/>
    <m/>
    <s v="ILESA WEST"/>
    <m/>
    <n v="69962"/>
    <n v="71708"/>
    <n v="141670"/>
    <n v="8270"/>
    <n v="8476"/>
    <n v="8900"/>
    <n v="8499"/>
    <n v="7244"/>
    <n v="5534"/>
    <n v="4369"/>
    <n v="3739"/>
    <n v="3465"/>
    <n v="3016"/>
    <n v="2244"/>
    <n v="1934"/>
    <n v="1254"/>
    <n v="1411"/>
    <n v="760"/>
    <n v="568"/>
    <n v="279"/>
    <n v="7755"/>
    <n v="8153"/>
    <n v="8982"/>
    <n v="8041"/>
    <n v="6252"/>
    <n v="5233"/>
    <n v="4289"/>
    <n v="4468"/>
    <n v="3725"/>
    <n v="3432"/>
    <n v="2581"/>
    <n v="2570"/>
    <n v="1787"/>
    <n v="1740"/>
    <n v="1208"/>
    <n v="885"/>
    <n v="607"/>
    <n v="16025"/>
    <n v="16629"/>
    <n v="17882"/>
    <n v="16540"/>
    <n v="13496"/>
    <n v="10767"/>
    <n v="8658"/>
    <n v="8207"/>
    <n v="7190"/>
    <n v="6448"/>
    <n v="4825"/>
    <n v="4504"/>
    <n v="3041"/>
    <n v="3151"/>
    <n v="1968"/>
    <n v="1453"/>
    <n v="886"/>
  </r>
  <r>
    <s v="NGA"/>
    <x v="0"/>
    <m/>
    <x v="29"/>
    <m/>
    <s v="IREPODUN"/>
    <m/>
    <n v="76396"/>
    <n v="74692"/>
    <n v="151088"/>
    <n v="8983"/>
    <n v="9744"/>
    <n v="9944"/>
    <n v="9718"/>
    <n v="8187"/>
    <n v="6411"/>
    <n v="4053"/>
    <n v="3847"/>
    <n v="3835"/>
    <n v="3319"/>
    <n v="2824"/>
    <n v="1796"/>
    <n v="1409"/>
    <n v="1239"/>
    <n v="591"/>
    <n v="310"/>
    <n v="186"/>
    <n v="8749"/>
    <n v="9383"/>
    <n v="9720"/>
    <n v="8642"/>
    <n v="6703"/>
    <n v="5767"/>
    <n v="4783"/>
    <n v="5036"/>
    <n v="3984"/>
    <n v="3531"/>
    <n v="2403"/>
    <n v="2431"/>
    <n v="1494"/>
    <n v="1009"/>
    <n v="563"/>
    <n v="380"/>
    <n v="114"/>
    <n v="17732"/>
    <n v="19127"/>
    <n v="19664"/>
    <n v="18360"/>
    <n v="14890"/>
    <n v="12178"/>
    <n v="8836"/>
    <n v="8883"/>
    <n v="7819"/>
    <n v="6850"/>
    <n v="5227"/>
    <n v="4227"/>
    <n v="2903"/>
    <n v="2248"/>
    <n v="1154"/>
    <n v="690"/>
    <n v="300"/>
  </r>
  <r>
    <s v="NGA"/>
    <x v="0"/>
    <m/>
    <x v="29"/>
    <m/>
    <s v="IREWOLE"/>
    <m/>
    <n v="112804"/>
    <n v="113112"/>
    <n v="225916"/>
    <n v="13430"/>
    <n v="14825"/>
    <n v="14871"/>
    <n v="14145"/>
    <n v="10937"/>
    <n v="8289"/>
    <n v="6662"/>
    <n v="5769"/>
    <n v="5549"/>
    <n v="4736"/>
    <n v="3984"/>
    <n v="2795"/>
    <n v="2354"/>
    <n v="1929"/>
    <n v="1433"/>
    <n v="640"/>
    <n v="456"/>
    <n v="13283"/>
    <n v="14031"/>
    <n v="14124"/>
    <n v="12599"/>
    <n v="9360"/>
    <n v="8160"/>
    <n v="7094"/>
    <n v="7078"/>
    <n v="6076"/>
    <n v="5582"/>
    <n v="4140"/>
    <n v="3848"/>
    <n v="3035"/>
    <n v="2096"/>
    <n v="1431"/>
    <n v="678"/>
    <n v="497"/>
    <n v="26713"/>
    <n v="28856"/>
    <n v="28995"/>
    <n v="26744"/>
    <n v="20297"/>
    <n v="16449"/>
    <n v="13756"/>
    <n v="12847"/>
    <n v="11625"/>
    <n v="10318"/>
    <n v="8124"/>
    <n v="6643"/>
    <n v="5389"/>
    <n v="4025"/>
    <n v="2864"/>
    <n v="1318"/>
    <n v="953"/>
  </r>
  <r>
    <s v="NGA"/>
    <x v="0"/>
    <m/>
    <x v="29"/>
    <m/>
    <s v="ISOKAN"/>
    <m/>
    <n v="80843"/>
    <n v="80614"/>
    <n v="161457"/>
    <n v="9920"/>
    <n v="10792"/>
    <n v="10615"/>
    <n v="9946"/>
    <n v="7536"/>
    <n v="5924"/>
    <n v="4859"/>
    <n v="4295"/>
    <n v="4138"/>
    <n v="3497"/>
    <n v="2909"/>
    <n v="2004"/>
    <n v="1727"/>
    <n v="1129"/>
    <n v="721"/>
    <n v="506"/>
    <n v="325"/>
    <n v="9504"/>
    <n v="10156"/>
    <n v="10238"/>
    <n v="8963"/>
    <n v="6800"/>
    <n v="6001"/>
    <n v="5300"/>
    <n v="5197"/>
    <n v="4256"/>
    <n v="3894"/>
    <n v="2806"/>
    <n v="2539"/>
    <n v="1873"/>
    <n v="1344"/>
    <n v="907"/>
    <n v="480"/>
    <n v="356"/>
    <n v="19424"/>
    <n v="20948"/>
    <n v="20853"/>
    <n v="18909"/>
    <n v="14336"/>
    <n v="11925"/>
    <n v="10159"/>
    <n v="9492"/>
    <n v="8394"/>
    <n v="7391"/>
    <n v="5715"/>
    <n v="4543"/>
    <n v="3600"/>
    <n v="2473"/>
    <n v="1628"/>
    <n v="986"/>
    <n v="681"/>
  </r>
  <r>
    <s v="NGA"/>
    <x v="0"/>
    <m/>
    <x v="29"/>
    <m/>
    <s v="IWO"/>
    <m/>
    <n v="151690"/>
    <n v="150895"/>
    <n v="302585"/>
    <n v="18401"/>
    <n v="19717"/>
    <n v="20655"/>
    <n v="18627"/>
    <n v="14784"/>
    <n v="10907"/>
    <n v="8945"/>
    <n v="8064"/>
    <n v="7420"/>
    <n v="6598"/>
    <n v="5490"/>
    <n v="3563"/>
    <n v="2964"/>
    <n v="2625"/>
    <n v="1527"/>
    <n v="831"/>
    <n v="572"/>
    <n v="17424"/>
    <n v="18492"/>
    <n v="20338"/>
    <n v="17305"/>
    <n v="12572"/>
    <n v="10640"/>
    <n v="9612"/>
    <n v="9714"/>
    <n v="7865"/>
    <n v="7239"/>
    <n v="4956"/>
    <n v="5140"/>
    <n v="3600"/>
    <n v="2736"/>
    <n v="1698"/>
    <n v="886"/>
    <n v="678"/>
    <n v="35825"/>
    <n v="38209"/>
    <n v="40993"/>
    <n v="35932"/>
    <n v="27356"/>
    <n v="21547"/>
    <n v="18557"/>
    <n v="17778"/>
    <n v="15285"/>
    <n v="13837"/>
    <n v="10446"/>
    <n v="8703"/>
    <n v="6564"/>
    <n v="5361"/>
    <n v="3225"/>
    <n v="1717"/>
    <n v="1250"/>
  </r>
  <r>
    <s v="NGA"/>
    <x v="0"/>
    <m/>
    <x v="29"/>
    <m/>
    <s v="OBOKUN"/>
    <m/>
    <n v="98607"/>
    <n v="95641"/>
    <n v="194248"/>
    <n v="11499"/>
    <n v="12426"/>
    <n v="13121"/>
    <n v="12272"/>
    <n v="10496"/>
    <n v="7414"/>
    <n v="5649"/>
    <n v="5022"/>
    <n v="4835"/>
    <n v="4284"/>
    <n v="3290"/>
    <n v="2675"/>
    <n v="2188"/>
    <n v="1613"/>
    <n v="908"/>
    <n v="600"/>
    <n v="315"/>
    <n v="10628"/>
    <n v="11557"/>
    <n v="12486"/>
    <n v="11239"/>
    <n v="8518"/>
    <n v="6962"/>
    <n v="5975"/>
    <n v="6159"/>
    <n v="4684"/>
    <n v="4517"/>
    <n v="2901"/>
    <n v="3697"/>
    <n v="2442"/>
    <n v="1520"/>
    <n v="1308"/>
    <n v="707"/>
    <n v="341"/>
    <n v="22127"/>
    <n v="23983"/>
    <n v="25607"/>
    <n v="23511"/>
    <n v="19014"/>
    <n v="14376"/>
    <n v="11624"/>
    <n v="11181"/>
    <n v="9519"/>
    <n v="8801"/>
    <n v="6191"/>
    <n v="6372"/>
    <n v="4630"/>
    <n v="3133"/>
    <n v="2216"/>
    <n v="1307"/>
    <n v="656"/>
  </r>
  <r>
    <s v="NGA"/>
    <x v="0"/>
    <m/>
    <x v="29"/>
    <m/>
    <s v="ODO OTIN"/>
    <m/>
    <n v="94742"/>
    <n v="89925"/>
    <n v="184667"/>
    <n v="11557"/>
    <n v="12899"/>
    <n v="13054"/>
    <n v="11445"/>
    <n v="8530"/>
    <n v="7190"/>
    <n v="5398"/>
    <n v="5479"/>
    <n v="5052"/>
    <n v="3756"/>
    <n v="3016"/>
    <n v="2809"/>
    <n v="1618"/>
    <n v="1465"/>
    <n v="881"/>
    <n v="370"/>
    <n v="223"/>
    <n v="10718"/>
    <n v="11536"/>
    <n v="12189"/>
    <n v="10609"/>
    <n v="7468"/>
    <n v="6502"/>
    <n v="5785"/>
    <n v="6182"/>
    <n v="4610"/>
    <n v="3987"/>
    <n v="2453"/>
    <n v="3501"/>
    <n v="1801"/>
    <n v="1554"/>
    <n v="590"/>
    <n v="240"/>
    <n v="200"/>
    <n v="22275"/>
    <n v="24435"/>
    <n v="25243"/>
    <n v="22054"/>
    <n v="15998"/>
    <n v="13692"/>
    <n v="11183"/>
    <n v="11661"/>
    <n v="9662"/>
    <n v="7743"/>
    <n v="5469"/>
    <n v="6310"/>
    <n v="3419"/>
    <n v="3019"/>
    <n v="1471"/>
    <n v="610"/>
    <n v="423"/>
  </r>
  <r>
    <s v="NGA"/>
    <x v="0"/>
    <m/>
    <x v="29"/>
    <m/>
    <s v="OLA OLUWA"/>
    <m/>
    <n v="65589"/>
    <n v="62673"/>
    <n v="128262"/>
    <n v="7724"/>
    <n v="8265"/>
    <n v="8772"/>
    <n v="8122"/>
    <n v="6364"/>
    <n v="4738"/>
    <n v="3797"/>
    <n v="3500"/>
    <n v="3400"/>
    <n v="2956"/>
    <n v="2381"/>
    <n v="1782"/>
    <n v="1701"/>
    <n v="1097"/>
    <n v="457"/>
    <n v="313"/>
    <n v="220"/>
    <n v="7260"/>
    <n v="7820"/>
    <n v="7970"/>
    <n v="7275"/>
    <n v="5070"/>
    <n v="4369"/>
    <n v="4111"/>
    <n v="4357"/>
    <n v="3453"/>
    <n v="3256"/>
    <n v="1767"/>
    <n v="2880"/>
    <n v="1157"/>
    <n v="806"/>
    <n v="408"/>
    <n v="530"/>
    <n v="184"/>
    <n v="14984"/>
    <n v="16085"/>
    <n v="16742"/>
    <n v="15397"/>
    <n v="11434"/>
    <n v="9107"/>
    <n v="7908"/>
    <n v="7857"/>
    <n v="6853"/>
    <n v="6212"/>
    <n v="4148"/>
    <n v="4662"/>
    <n v="2858"/>
    <n v="1903"/>
    <n v="865"/>
    <n v="843"/>
    <n v="404"/>
  </r>
  <r>
    <s v="NGA"/>
    <x v="0"/>
    <m/>
    <x v="29"/>
    <m/>
    <s v="OLORUNDA"/>
    <m/>
    <n v="91643"/>
    <n v="89564"/>
    <n v="181207"/>
    <n v="11286"/>
    <n v="11916"/>
    <n v="11983"/>
    <n v="11190"/>
    <n v="9086"/>
    <n v="6858"/>
    <n v="5434"/>
    <n v="4979"/>
    <n v="4475"/>
    <n v="3902"/>
    <n v="2805"/>
    <n v="2745"/>
    <n v="1639"/>
    <n v="1608"/>
    <n v="756"/>
    <n v="696"/>
    <n v="285"/>
    <n v="10694"/>
    <n v="10988"/>
    <n v="11283"/>
    <n v="10154"/>
    <n v="7744"/>
    <n v="6705"/>
    <n v="5765"/>
    <n v="5813"/>
    <n v="4626"/>
    <n v="4144"/>
    <n v="2881"/>
    <n v="3062"/>
    <n v="1569"/>
    <n v="1951"/>
    <n v="893"/>
    <n v="818"/>
    <n v="474"/>
    <n v="21980"/>
    <n v="22904"/>
    <n v="23266"/>
    <n v="21344"/>
    <n v="16830"/>
    <n v="13563"/>
    <n v="11199"/>
    <n v="10792"/>
    <n v="9101"/>
    <n v="8046"/>
    <n v="5686"/>
    <n v="5807"/>
    <n v="3208"/>
    <n v="3559"/>
    <n v="1649"/>
    <n v="1514"/>
    <n v="759"/>
  </r>
  <r>
    <s v="NGA"/>
    <x v="0"/>
    <m/>
    <x v="29"/>
    <m/>
    <s v="ORIADE"/>
    <m/>
    <n v="119592"/>
    <n v="117651"/>
    <n v="237243"/>
    <n v="14138"/>
    <n v="15222"/>
    <n v="15944"/>
    <n v="15421"/>
    <n v="11811"/>
    <n v="8686"/>
    <n v="7016"/>
    <n v="6262"/>
    <n v="5944"/>
    <n v="5192"/>
    <n v="4227"/>
    <n v="2978"/>
    <n v="2072"/>
    <n v="1946"/>
    <n v="1359"/>
    <n v="876"/>
    <n v="498"/>
    <n v="13311"/>
    <n v="14116"/>
    <n v="15225"/>
    <n v="13600"/>
    <n v="10045"/>
    <n v="8460"/>
    <n v="7558"/>
    <n v="7709"/>
    <n v="6128"/>
    <n v="5717"/>
    <n v="4459"/>
    <n v="3326"/>
    <n v="2184"/>
    <n v="2637"/>
    <n v="1495"/>
    <n v="1222"/>
    <n v="459"/>
    <n v="27449"/>
    <n v="29338"/>
    <n v="31169"/>
    <n v="29021"/>
    <n v="21856"/>
    <n v="17146"/>
    <n v="14574"/>
    <n v="13971"/>
    <n v="12072"/>
    <n v="10909"/>
    <n v="8686"/>
    <n v="6304"/>
    <n v="4256"/>
    <n v="4583"/>
    <n v="2854"/>
    <n v="2098"/>
    <n v="957"/>
  </r>
  <r>
    <s v="NGA"/>
    <x v="0"/>
    <m/>
    <x v="29"/>
    <m/>
    <s v="OROLU"/>
    <m/>
    <n v="66400"/>
    <n v="63516"/>
    <n v="129916"/>
    <n v="8230"/>
    <n v="8761"/>
    <n v="8787"/>
    <n v="7772"/>
    <n v="6472"/>
    <n v="4862"/>
    <n v="3964"/>
    <n v="3629"/>
    <n v="3341"/>
    <n v="2762"/>
    <n v="2456"/>
    <n v="1573"/>
    <n v="1751"/>
    <n v="835"/>
    <n v="643"/>
    <n v="367"/>
    <n v="195"/>
    <n v="7671"/>
    <n v="8079"/>
    <n v="8153"/>
    <n v="7271"/>
    <n v="5205"/>
    <n v="4759"/>
    <n v="4071"/>
    <n v="3926"/>
    <n v="3415"/>
    <n v="3147"/>
    <n v="2447"/>
    <n v="1844"/>
    <n v="1425"/>
    <n v="1358"/>
    <n v="433"/>
    <n v="157"/>
    <n v="155"/>
    <n v="15901"/>
    <n v="16840"/>
    <n v="16940"/>
    <n v="15043"/>
    <n v="11677"/>
    <n v="9621"/>
    <n v="8035"/>
    <n v="7555"/>
    <n v="6756"/>
    <n v="5909"/>
    <n v="4903"/>
    <n v="3417"/>
    <n v="3176"/>
    <n v="2193"/>
    <n v="1076"/>
    <n v="524"/>
    <n v="350"/>
  </r>
  <r>
    <s v="NGA"/>
    <x v="0"/>
    <m/>
    <x v="29"/>
    <m/>
    <s v="OSOGBO"/>
    <m/>
    <n v="99862"/>
    <n v="98265"/>
    <n v="198127"/>
    <n v="12469"/>
    <n v="12582"/>
    <n v="12799"/>
    <n v="12258"/>
    <n v="10007"/>
    <n v="7718"/>
    <n v="6157"/>
    <n v="5533"/>
    <n v="4885"/>
    <n v="4306"/>
    <n v="3178"/>
    <n v="2827"/>
    <n v="1847"/>
    <n v="1762"/>
    <n v="800"/>
    <n v="442"/>
    <n v="292"/>
    <n v="11722"/>
    <n v="12002"/>
    <n v="12522"/>
    <n v="10986"/>
    <n v="8551"/>
    <n v="7524"/>
    <n v="6454"/>
    <n v="6346"/>
    <n v="4956"/>
    <n v="4564"/>
    <n v="3338"/>
    <n v="3035"/>
    <n v="2151"/>
    <n v="1826"/>
    <n v="1149"/>
    <n v="656"/>
    <n v="483"/>
    <n v="24191"/>
    <n v="24584"/>
    <n v="25321"/>
    <n v="23244"/>
    <n v="18558"/>
    <n v="15242"/>
    <n v="12611"/>
    <n v="11879"/>
    <n v="9841"/>
    <n v="8870"/>
    <n v="6516"/>
    <n v="5862"/>
    <n v="3998"/>
    <n v="3588"/>
    <n v="1949"/>
    <n v="1098"/>
    <n v="775"/>
  </r>
  <r>
    <s v="NGA"/>
    <x v="0"/>
    <m/>
    <x v="30"/>
    <m/>
    <s v="AFIJIO"/>
    <m/>
    <n v="91838"/>
    <n v="92066"/>
    <n v="183904"/>
    <n v="9009"/>
    <n v="10467"/>
    <n v="10887"/>
    <n v="11268"/>
    <n v="10194"/>
    <n v="7726"/>
    <n v="5790"/>
    <n v="5018"/>
    <n v="4810"/>
    <n v="3949"/>
    <n v="3142"/>
    <n v="2691"/>
    <n v="2131"/>
    <n v="2226"/>
    <n v="1271"/>
    <n v="838"/>
    <n v="421"/>
    <n v="8681"/>
    <n v="10443"/>
    <n v="10986"/>
    <n v="10474"/>
    <n v="9151"/>
    <n v="7337"/>
    <n v="5680"/>
    <n v="5812"/>
    <n v="4382"/>
    <n v="4514"/>
    <n v="3035"/>
    <n v="3777"/>
    <n v="2386"/>
    <n v="2715"/>
    <n v="1249"/>
    <n v="951"/>
    <n v="493"/>
    <n v="17690"/>
    <n v="20910"/>
    <n v="21873"/>
    <n v="21742"/>
    <n v="19345"/>
    <n v="15063"/>
    <n v="11470"/>
    <n v="10830"/>
    <n v="9192"/>
    <n v="8463"/>
    <n v="6177"/>
    <n v="6468"/>
    <n v="4517"/>
    <n v="4941"/>
    <n v="2520"/>
    <n v="1789"/>
    <n v="914"/>
  </r>
  <r>
    <s v="NGA"/>
    <x v="0"/>
    <m/>
    <x v="30"/>
    <m/>
    <s v="AKINYELE"/>
    <m/>
    <n v="138371"/>
    <n v="140687"/>
    <n v="279058"/>
    <n v="18635"/>
    <n v="17192"/>
    <n v="16770"/>
    <n v="14249"/>
    <n v="12171"/>
    <n v="10716"/>
    <n v="9609"/>
    <n v="8625"/>
    <n v="7065"/>
    <n v="6186"/>
    <n v="4446"/>
    <n v="4211"/>
    <n v="2921"/>
    <n v="2659"/>
    <n v="1415"/>
    <n v="945"/>
    <n v="556"/>
    <n v="18205"/>
    <n v="17392"/>
    <n v="16927"/>
    <n v="13528"/>
    <n v="11081"/>
    <n v="10357"/>
    <n v="9355"/>
    <n v="8248"/>
    <n v="7253"/>
    <n v="5992"/>
    <n v="5190"/>
    <n v="5189"/>
    <n v="4026"/>
    <n v="3445"/>
    <n v="2222"/>
    <n v="1388"/>
    <n v="889"/>
    <n v="36840"/>
    <n v="34584"/>
    <n v="33697"/>
    <n v="27777"/>
    <n v="23252"/>
    <n v="21073"/>
    <n v="18964"/>
    <n v="16873"/>
    <n v="14318"/>
    <n v="12178"/>
    <n v="9636"/>
    <n v="9400"/>
    <n v="6947"/>
    <n v="6104"/>
    <n v="3637"/>
    <n v="2333"/>
    <n v="1445"/>
  </r>
  <r>
    <s v="NGA"/>
    <x v="0"/>
    <m/>
    <x v="30"/>
    <m/>
    <s v="ATIBA"/>
    <m/>
    <n v="120240"/>
    <n v="120699"/>
    <n v="240939"/>
    <n v="15553"/>
    <n v="16352"/>
    <n v="15717"/>
    <n v="14174"/>
    <n v="11462"/>
    <n v="9071"/>
    <n v="7590"/>
    <n v="6725"/>
    <n v="5819"/>
    <n v="4850"/>
    <n v="3755"/>
    <n v="2783"/>
    <n v="2002"/>
    <n v="1901"/>
    <n v="1230"/>
    <n v="794"/>
    <n v="462"/>
    <n v="15074"/>
    <n v="15765"/>
    <n v="16612"/>
    <n v="13831"/>
    <n v="10119"/>
    <n v="8991"/>
    <n v="7522"/>
    <n v="7179"/>
    <n v="5703"/>
    <n v="5138"/>
    <n v="3746"/>
    <n v="3472"/>
    <n v="2472"/>
    <n v="2311"/>
    <n v="1304"/>
    <n v="989"/>
    <n v="471"/>
    <n v="30627"/>
    <n v="32117"/>
    <n v="32329"/>
    <n v="28005"/>
    <n v="21581"/>
    <n v="18062"/>
    <n v="15112"/>
    <n v="13904"/>
    <n v="11522"/>
    <n v="9988"/>
    <n v="7501"/>
    <n v="6255"/>
    <n v="4474"/>
    <n v="4212"/>
    <n v="2534"/>
    <n v="1783"/>
    <n v="933"/>
  </r>
  <r>
    <s v="NGA"/>
    <x v="0"/>
    <m/>
    <x v="30"/>
    <m/>
    <s v="ATISBO"/>
    <m/>
    <n v="110419"/>
    <n v="104384"/>
    <n v="214803"/>
    <n v="13493"/>
    <n v="15299"/>
    <n v="15498"/>
    <n v="13626"/>
    <n v="10151"/>
    <n v="7390"/>
    <n v="6460"/>
    <n v="6121"/>
    <n v="5849"/>
    <n v="4715"/>
    <n v="3435"/>
    <n v="2813"/>
    <n v="2141"/>
    <n v="1647"/>
    <n v="1101"/>
    <n v="394"/>
    <n v="286"/>
    <n v="12666"/>
    <n v="13915"/>
    <n v="13897"/>
    <n v="11504"/>
    <n v="8519"/>
    <n v="7326"/>
    <n v="7054"/>
    <n v="7052"/>
    <n v="5448"/>
    <n v="5108"/>
    <n v="2970"/>
    <n v="4014"/>
    <n v="1871"/>
    <n v="1674"/>
    <n v="605"/>
    <n v="512"/>
    <n v="249"/>
    <n v="26159"/>
    <n v="29214"/>
    <n v="29395"/>
    <n v="25130"/>
    <n v="18670"/>
    <n v="14716"/>
    <n v="13514"/>
    <n v="13173"/>
    <n v="11297"/>
    <n v="9823"/>
    <n v="6405"/>
    <n v="6827"/>
    <n v="4012"/>
    <n v="3321"/>
    <n v="1706"/>
    <n v="906"/>
    <n v="535"/>
  </r>
  <r>
    <s v="NGA"/>
    <x v="0"/>
    <m/>
    <x v="30"/>
    <m/>
    <s v="EGBEDA"/>
    <m/>
    <n v="262436"/>
    <n v="278480"/>
    <n v="540916"/>
    <n v="36332"/>
    <n v="33591"/>
    <n v="32432"/>
    <n v="28095"/>
    <n v="23951"/>
    <n v="20128"/>
    <n v="17515"/>
    <n v="16379"/>
    <n v="13162"/>
    <n v="11736"/>
    <n v="8632"/>
    <n v="8340"/>
    <n v="4668"/>
    <n v="3902"/>
    <n v="1808"/>
    <n v="1160"/>
    <n v="605"/>
    <n v="35788"/>
    <n v="33928"/>
    <n v="34173"/>
    <n v="27893"/>
    <n v="23176"/>
    <n v="21338"/>
    <n v="19813"/>
    <n v="18116"/>
    <n v="15086"/>
    <n v="13343"/>
    <n v="9735"/>
    <n v="9017"/>
    <n v="5806"/>
    <n v="4891"/>
    <n v="2946"/>
    <n v="2006"/>
    <n v="1425"/>
    <n v="72120"/>
    <n v="67519"/>
    <n v="66605"/>
    <n v="55988"/>
    <n v="47127"/>
    <n v="41466"/>
    <n v="37328"/>
    <n v="34495"/>
    <n v="28248"/>
    <n v="25079"/>
    <n v="18367"/>
    <n v="17357"/>
    <n v="10474"/>
    <n v="8793"/>
    <n v="4754"/>
    <n v="3166"/>
    <n v="2030"/>
  </r>
  <r>
    <s v="NGA"/>
    <x v="0"/>
    <m/>
    <x v="30"/>
    <m/>
    <s v="IBADAN NORTH"/>
    <m/>
    <n v="135924"/>
    <n v="138007"/>
    <n v="273931"/>
    <n v="16908"/>
    <n v="14838"/>
    <n v="14198"/>
    <n v="12924"/>
    <n v="15045"/>
    <n v="14193"/>
    <n v="10899"/>
    <n v="8826"/>
    <n v="6560"/>
    <n v="5742"/>
    <n v="4132"/>
    <n v="4379"/>
    <n v="2473"/>
    <n v="2515"/>
    <n v="1154"/>
    <n v="803"/>
    <n v="335"/>
    <n v="16455"/>
    <n v="15245"/>
    <n v="15701"/>
    <n v="13619"/>
    <n v="13553"/>
    <n v="12076"/>
    <n v="9518"/>
    <n v="8339"/>
    <n v="6839"/>
    <n v="6050"/>
    <n v="5171"/>
    <n v="5089"/>
    <n v="3498"/>
    <n v="3024"/>
    <n v="1826"/>
    <n v="1250"/>
    <n v="754"/>
    <n v="33363"/>
    <n v="30083"/>
    <n v="29899"/>
    <n v="26543"/>
    <n v="28598"/>
    <n v="26269"/>
    <n v="20417"/>
    <n v="17165"/>
    <n v="13399"/>
    <n v="11792"/>
    <n v="9303"/>
    <n v="9468"/>
    <n v="5971"/>
    <n v="5539"/>
    <n v="2980"/>
    <n v="2053"/>
    <n v="1089"/>
  </r>
  <r>
    <s v="NGA"/>
    <x v="0"/>
    <m/>
    <x v="30"/>
    <m/>
    <s v="IBADAN NORTH EAST"/>
    <m/>
    <n v="171757"/>
    <n v="175778"/>
    <n v="347535"/>
    <n v="22765"/>
    <n v="21113"/>
    <n v="20598"/>
    <n v="18595"/>
    <n v="17297"/>
    <n v="14964"/>
    <n v="12161"/>
    <n v="10173"/>
    <n v="8093"/>
    <n v="6908"/>
    <n v="4899"/>
    <n v="4645"/>
    <n v="3178"/>
    <n v="3040"/>
    <n v="1657"/>
    <n v="1148"/>
    <n v="523"/>
    <n v="22037"/>
    <n v="20674"/>
    <n v="21015"/>
    <n v="17971"/>
    <n v="15890"/>
    <n v="14204"/>
    <n v="12100"/>
    <n v="10487"/>
    <n v="8686"/>
    <n v="7629"/>
    <n v="6210"/>
    <n v="5640"/>
    <n v="4582"/>
    <n v="3701"/>
    <n v="2332"/>
    <n v="1638"/>
    <n v="982"/>
    <n v="44802"/>
    <n v="41787"/>
    <n v="41613"/>
    <n v="36566"/>
    <n v="33187"/>
    <n v="29168"/>
    <n v="24261"/>
    <n v="20660"/>
    <n v="16779"/>
    <n v="14537"/>
    <n v="11109"/>
    <n v="10285"/>
    <n v="7760"/>
    <n v="6741"/>
    <n v="3989"/>
    <n v="2786"/>
    <n v="1505"/>
  </r>
  <r>
    <s v="NGA"/>
    <x v="0"/>
    <m/>
    <x v="30"/>
    <m/>
    <s v="IBADAN NORTH WEST"/>
    <m/>
    <n v="68419"/>
    <n v="71495"/>
    <n v="139914"/>
    <n v="8671"/>
    <n v="7726"/>
    <n v="7551"/>
    <n v="6975"/>
    <n v="7255"/>
    <n v="6435"/>
    <n v="5074"/>
    <n v="4293"/>
    <n v="3303"/>
    <n v="2869"/>
    <n v="2071"/>
    <n v="2215"/>
    <n v="1297"/>
    <n v="1332"/>
    <n v="657"/>
    <n v="500"/>
    <n v="195"/>
    <n v="8459"/>
    <n v="8037"/>
    <n v="8085"/>
    <n v="7254"/>
    <n v="6632"/>
    <n v="5610"/>
    <n v="4829"/>
    <n v="4271"/>
    <n v="3516"/>
    <n v="3228"/>
    <n v="2784"/>
    <n v="2640"/>
    <n v="2072"/>
    <n v="1714"/>
    <n v="1119"/>
    <n v="774"/>
    <n v="471"/>
    <n v="17130"/>
    <n v="15763"/>
    <n v="15636"/>
    <n v="14229"/>
    <n v="13887"/>
    <n v="12045"/>
    <n v="9903"/>
    <n v="8564"/>
    <n v="6819"/>
    <n v="6097"/>
    <n v="4855"/>
    <n v="4855"/>
    <n v="3369"/>
    <n v="3046"/>
    <n v="1776"/>
    <n v="1274"/>
    <n v="666"/>
  </r>
  <r>
    <s v="NGA"/>
    <x v="0"/>
    <m/>
    <x v="30"/>
    <m/>
    <s v="IBADAN SOUTH EAST"/>
    <m/>
    <n v="134108"/>
    <n v="140087"/>
    <n v="274195"/>
    <n v="19802"/>
    <n v="17093"/>
    <n v="15719"/>
    <n v="13206"/>
    <n v="11753"/>
    <n v="11110"/>
    <n v="10424"/>
    <n v="8811"/>
    <n v="6535"/>
    <n v="5305"/>
    <n v="3570"/>
    <n v="3558"/>
    <n v="2438"/>
    <n v="2384"/>
    <n v="1211"/>
    <n v="805"/>
    <n v="384"/>
    <n v="19495"/>
    <n v="16991"/>
    <n v="16474"/>
    <n v="12746"/>
    <n v="11379"/>
    <n v="11442"/>
    <n v="10245"/>
    <n v="8680"/>
    <n v="6707"/>
    <n v="5612"/>
    <n v="4756"/>
    <n v="4414"/>
    <n v="3966"/>
    <n v="3119"/>
    <n v="1919"/>
    <n v="1313"/>
    <n v="829"/>
    <n v="39297"/>
    <n v="34084"/>
    <n v="32193"/>
    <n v="25952"/>
    <n v="23132"/>
    <n v="22552"/>
    <n v="20669"/>
    <n v="17491"/>
    <n v="13242"/>
    <n v="10917"/>
    <n v="8326"/>
    <n v="7972"/>
    <n v="6404"/>
    <n v="5503"/>
    <n v="3130"/>
    <n v="2118"/>
    <n v="1213"/>
  </r>
  <r>
    <s v="NGA"/>
    <x v="0"/>
    <m/>
    <x v="30"/>
    <m/>
    <s v="IBADAN SOUTH WEST"/>
    <m/>
    <n v="124102"/>
    <n v="128206"/>
    <n v="252308"/>
    <n v="14865"/>
    <n v="13562"/>
    <n v="13325"/>
    <n v="12389"/>
    <n v="12850"/>
    <n v="11554"/>
    <n v="9636"/>
    <n v="8505"/>
    <n v="6575"/>
    <n v="5416"/>
    <n v="3730"/>
    <n v="4062"/>
    <n v="2375"/>
    <n v="2604"/>
    <n v="1249"/>
    <n v="1042"/>
    <n v="363"/>
    <n v="14599"/>
    <n v="13756"/>
    <n v="14717"/>
    <n v="12379"/>
    <n v="11259"/>
    <n v="10156"/>
    <n v="8889"/>
    <n v="8175"/>
    <n v="6518"/>
    <n v="6004"/>
    <n v="4941"/>
    <n v="5201"/>
    <n v="3796"/>
    <n v="3384"/>
    <n v="2061"/>
    <n v="1477"/>
    <n v="894"/>
    <n v="29464"/>
    <n v="27318"/>
    <n v="28042"/>
    <n v="24768"/>
    <n v="24109"/>
    <n v="21710"/>
    <n v="18525"/>
    <n v="16680"/>
    <n v="13093"/>
    <n v="11420"/>
    <n v="8671"/>
    <n v="9263"/>
    <n v="6171"/>
    <n v="5988"/>
    <n v="3310"/>
    <n v="2519"/>
    <n v="1257"/>
  </r>
  <r>
    <s v="NGA"/>
    <x v="0"/>
    <m/>
    <x v="30"/>
    <m/>
    <s v="IBARAPA CENTRAL"/>
    <m/>
    <n v="84602"/>
    <n v="84153"/>
    <n v="168755"/>
    <n v="9904"/>
    <n v="10783"/>
    <n v="10682"/>
    <n v="10291"/>
    <n v="8409"/>
    <n v="6445"/>
    <n v="5074"/>
    <n v="4587"/>
    <n v="4361"/>
    <n v="3747"/>
    <n v="2829"/>
    <n v="2241"/>
    <n v="1819"/>
    <n v="1596"/>
    <n v="898"/>
    <n v="574"/>
    <n v="362"/>
    <n v="9442"/>
    <n v="10151"/>
    <n v="10399"/>
    <n v="9507"/>
    <n v="7281"/>
    <n v="6132"/>
    <n v="5474"/>
    <n v="5379"/>
    <n v="4298"/>
    <n v="4058"/>
    <n v="2760"/>
    <n v="3212"/>
    <n v="1842"/>
    <n v="1807"/>
    <n v="1113"/>
    <n v="887"/>
    <n v="411"/>
    <n v="19346"/>
    <n v="20934"/>
    <n v="21081"/>
    <n v="19798"/>
    <n v="15690"/>
    <n v="12577"/>
    <n v="10548"/>
    <n v="9966"/>
    <n v="8659"/>
    <n v="7805"/>
    <n v="5589"/>
    <n v="5453"/>
    <n v="3661"/>
    <n v="3403"/>
    <n v="2011"/>
    <n v="1461"/>
    <n v="773"/>
  </r>
  <r>
    <s v="NGA"/>
    <x v="0"/>
    <m/>
    <x v="30"/>
    <m/>
    <s v="IBARAPA EAST"/>
    <m/>
    <n v="101968"/>
    <n v="100033"/>
    <n v="202001"/>
    <n v="11984"/>
    <n v="12992"/>
    <n v="12824"/>
    <n v="12433"/>
    <n v="11758"/>
    <n v="8120"/>
    <n v="5926"/>
    <n v="5521"/>
    <n v="4751"/>
    <n v="4274"/>
    <n v="3135"/>
    <n v="2781"/>
    <n v="1829"/>
    <n v="1553"/>
    <n v="1098"/>
    <n v="616"/>
    <n v="373"/>
    <n v="11486"/>
    <n v="12353"/>
    <n v="12379"/>
    <n v="11429"/>
    <n v="9905"/>
    <n v="7339"/>
    <n v="6263"/>
    <n v="6342"/>
    <n v="4838"/>
    <n v="4606"/>
    <n v="3230"/>
    <n v="3419"/>
    <n v="1985"/>
    <n v="2068"/>
    <n v="1149"/>
    <n v="816"/>
    <n v="426"/>
    <n v="23470"/>
    <n v="25345"/>
    <n v="25203"/>
    <n v="23862"/>
    <n v="21663"/>
    <n v="15459"/>
    <n v="12189"/>
    <n v="11863"/>
    <n v="9589"/>
    <n v="8880"/>
    <n v="6365"/>
    <n v="6200"/>
    <n v="3814"/>
    <n v="3621"/>
    <n v="2247"/>
    <n v="1432"/>
    <n v="799"/>
  </r>
  <r>
    <s v="NGA"/>
    <x v="0"/>
    <m/>
    <x v="30"/>
    <m/>
    <s v="IBARAPA NORTH"/>
    <m/>
    <n v="83461"/>
    <n v="80470"/>
    <n v="163931"/>
    <n v="10217"/>
    <n v="11116"/>
    <n v="11317"/>
    <n v="10137"/>
    <n v="7942"/>
    <n v="6103"/>
    <n v="5029"/>
    <n v="4629"/>
    <n v="4242"/>
    <n v="3545"/>
    <n v="3103"/>
    <n v="1680"/>
    <n v="1574"/>
    <n v="1267"/>
    <n v="793"/>
    <n v="472"/>
    <n v="295"/>
    <n v="9738"/>
    <n v="10362"/>
    <n v="10247"/>
    <n v="9011"/>
    <n v="6585"/>
    <n v="6056"/>
    <n v="5439"/>
    <n v="5261"/>
    <n v="4132"/>
    <n v="3671"/>
    <n v="2797"/>
    <n v="2226"/>
    <n v="1693"/>
    <n v="1798"/>
    <n v="689"/>
    <n v="512"/>
    <n v="253"/>
    <n v="19955"/>
    <n v="21478"/>
    <n v="21564"/>
    <n v="19148"/>
    <n v="14527"/>
    <n v="12159"/>
    <n v="10468"/>
    <n v="9890"/>
    <n v="8374"/>
    <n v="7216"/>
    <n v="5900"/>
    <n v="3906"/>
    <n v="3267"/>
    <n v="3065"/>
    <n v="1482"/>
    <n v="984"/>
    <n v="548"/>
  </r>
  <r>
    <s v="NGA"/>
    <x v="0"/>
    <m/>
    <x v="30"/>
    <m/>
    <s v="IDO"/>
    <m/>
    <n v="88505"/>
    <n v="87587"/>
    <n v="176092"/>
    <n v="10936"/>
    <n v="10328"/>
    <n v="11414"/>
    <n v="9463"/>
    <n v="8128"/>
    <n v="7221"/>
    <n v="5951"/>
    <n v="5519"/>
    <n v="4505"/>
    <n v="4069"/>
    <n v="2918"/>
    <n v="2836"/>
    <n v="1971"/>
    <n v="1602"/>
    <n v="860"/>
    <n v="492"/>
    <n v="292"/>
    <n v="10747"/>
    <n v="10546"/>
    <n v="11212"/>
    <n v="8707"/>
    <n v="7192"/>
    <n v="6427"/>
    <n v="5864"/>
    <n v="5242"/>
    <n v="4657"/>
    <n v="4095"/>
    <n v="3287"/>
    <n v="2988"/>
    <n v="2262"/>
    <n v="1892"/>
    <n v="1181"/>
    <n v="765"/>
    <n v="523"/>
    <n v="21683"/>
    <n v="20874"/>
    <n v="22626"/>
    <n v="18170"/>
    <n v="15320"/>
    <n v="13648"/>
    <n v="11815"/>
    <n v="10761"/>
    <n v="9162"/>
    <n v="8164"/>
    <n v="6205"/>
    <n v="5824"/>
    <n v="4233"/>
    <n v="3494"/>
    <n v="2041"/>
    <n v="1257"/>
    <n v="815"/>
  </r>
  <r>
    <s v="NGA"/>
    <x v="0"/>
    <m/>
    <x v="30"/>
    <m/>
    <s v="IREPO"/>
    <m/>
    <n v="105577"/>
    <n v="98448"/>
    <n v="204025"/>
    <n v="13476"/>
    <n v="15682"/>
    <n v="15600"/>
    <n v="12550"/>
    <n v="8792"/>
    <n v="6791"/>
    <n v="6222"/>
    <n v="6407"/>
    <n v="5785"/>
    <n v="4367"/>
    <n v="3422"/>
    <n v="2153"/>
    <n v="1573"/>
    <n v="1432"/>
    <n v="607"/>
    <n v="481"/>
    <n v="237"/>
    <n v="12789"/>
    <n v="14501"/>
    <n v="13793"/>
    <n v="10778"/>
    <n v="7698"/>
    <n v="7472"/>
    <n v="7076"/>
    <n v="6853"/>
    <n v="4854"/>
    <n v="4240"/>
    <n v="2372"/>
    <n v="2454"/>
    <n v="1180"/>
    <n v="1207"/>
    <n v="562"/>
    <n v="376"/>
    <n v="243"/>
    <n v="26265"/>
    <n v="30183"/>
    <n v="29393"/>
    <n v="23328"/>
    <n v="16490"/>
    <n v="14263"/>
    <n v="13298"/>
    <n v="13260"/>
    <n v="10639"/>
    <n v="8607"/>
    <n v="5794"/>
    <n v="4607"/>
    <n v="2753"/>
    <n v="2639"/>
    <n v="1169"/>
    <n v="857"/>
    <n v="480"/>
  </r>
  <r>
    <s v="NGA"/>
    <x v="0"/>
    <m/>
    <x v="30"/>
    <m/>
    <s v="ISEYIN"/>
    <m/>
    <n v="250730"/>
    <n v="247767"/>
    <n v="498497"/>
    <n v="30001"/>
    <n v="32800"/>
    <n v="33843"/>
    <n v="31046"/>
    <n v="24088"/>
    <n v="18144"/>
    <n v="15048"/>
    <n v="13566"/>
    <n v="12611"/>
    <n v="10733"/>
    <n v="8557"/>
    <n v="6147"/>
    <n v="4906"/>
    <n v="4008"/>
    <n v="2693"/>
    <n v="1623"/>
    <n v="916"/>
    <n v="28661"/>
    <n v="30786"/>
    <n v="31925"/>
    <n v="27960"/>
    <n v="20823"/>
    <n v="18247"/>
    <n v="16126"/>
    <n v="16255"/>
    <n v="12859"/>
    <n v="11755"/>
    <n v="8157"/>
    <n v="8283"/>
    <n v="5427"/>
    <n v="5157"/>
    <n v="2642"/>
    <n v="1900"/>
    <n v="804"/>
    <n v="58662"/>
    <n v="63586"/>
    <n v="65768"/>
    <n v="59006"/>
    <n v="44911"/>
    <n v="36391"/>
    <n v="31174"/>
    <n v="29821"/>
    <n v="25470"/>
    <n v="22488"/>
    <n v="16714"/>
    <n v="14430"/>
    <n v="10333"/>
    <n v="9165"/>
    <n v="5335"/>
    <n v="3523"/>
    <n v="1720"/>
  </r>
  <r>
    <s v="NGA"/>
    <x v="0"/>
    <m/>
    <x v="30"/>
    <m/>
    <s v="ITESIWAJU"/>
    <m/>
    <n v="128216"/>
    <n v="120242"/>
    <n v="248458"/>
    <n v="14937"/>
    <n v="16471"/>
    <n v="17119"/>
    <n v="15763"/>
    <n v="12246"/>
    <n v="9666"/>
    <n v="7854"/>
    <n v="7026"/>
    <n v="6594"/>
    <n v="5933"/>
    <n v="4858"/>
    <n v="3179"/>
    <n v="2626"/>
    <n v="1920"/>
    <n v="861"/>
    <n v="820"/>
    <n v="343"/>
    <n v="14328"/>
    <n v="15728"/>
    <n v="15901"/>
    <n v="13740"/>
    <n v="9940"/>
    <n v="8799"/>
    <n v="8224"/>
    <n v="8134"/>
    <n v="6659"/>
    <n v="6215"/>
    <n v="4211"/>
    <n v="3033"/>
    <n v="1801"/>
    <n v="1950"/>
    <n v="806"/>
    <n v="581"/>
    <n v="192"/>
    <n v="29265"/>
    <n v="32199"/>
    <n v="33020"/>
    <n v="29503"/>
    <n v="22186"/>
    <n v="18465"/>
    <n v="16078"/>
    <n v="15160"/>
    <n v="13253"/>
    <n v="12148"/>
    <n v="9069"/>
    <n v="6212"/>
    <n v="4427"/>
    <n v="3870"/>
    <n v="1667"/>
    <n v="1401"/>
    <n v="535"/>
  </r>
  <r>
    <s v="NGA"/>
    <x v="0"/>
    <m/>
    <x v="30"/>
    <m/>
    <s v="IWAJOWA"/>
    <m/>
    <n v="81712"/>
    <n v="79814"/>
    <n v="161526"/>
    <n v="9758"/>
    <n v="11052"/>
    <n v="11254"/>
    <n v="10053"/>
    <n v="7688"/>
    <n v="5645"/>
    <n v="4905"/>
    <n v="4432"/>
    <n v="4242"/>
    <n v="3617"/>
    <n v="2923"/>
    <n v="1958"/>
    <n v="1571"/>
    <n v="1012"/>
    <n v="732"/>
    <n v="500"/>
    <n v="370"/>
    <n v="9440"/>
    <n v="10474"/>
    <n v="10420"/>
    <n v="8931"/>
    <n v="6214"/>
    <n v="5641"/>
    <n v="5135"/>
    <n v="5305"/>
    <n v="4079"/>
    <n v="3733"/>
    <n v="2606"/>
    <n v="2585"/>
    <n v="1389"/>
    <n v="2199"/>
    <n v="570"/>
    <n v="782"/>
    <n v="311"/>
    <n v="19198"/>
    <n v="21526"/>
    <n v="21674"/>
    <n v="18984"/>
    <n v="13902"/>
    <n v="11286"/>
    <n v="10040"/>
    <n v="9737"/>
    <n v="8321"/>
    <n v="7350"/>
    <n v="5529"/>
    <n v="4543"/>
    <n v="2960"/>
    <n v="3211"/>
    <n v="1302"/>
    <n v="1282"/>
    <n v="681"/>
  </r>
  <r>
    <s v="NGA"/>
    <x v="0"/>
    <m/>
    <x v="30"/>
    <m/>
    <s v="KAJOLA"/>
    <m/>
    <n v="157914"/>
    <n v="157029"/>
    <n v="314943"/>
    <n v="19506"/>
    <n v="20718"/>
    <n v="20875"/>
    <n v="19266"/>
    <n v="15195"/>
    <n v="11391"/>
    <n v="9274"/>
    <n v="8492"/>
    <n v="7859"/>
    <n v="7043"/>
    <n v="5488"/>
    <n v="4117"/>
    <n v="2559"/>
    <n v="2548"/>
    <n v="1583"/>
    <n v="1196"/>
    <n v="804"/>
    <n v="18478"/>
    <n v="19362"/>
    <n v="19620"/>
    <n v="17521"/>
    <n v="13071"/>
    <n v="11429"/>
    <n v="10227"/>
    <n v="10360"/>
    <n v="8361"/>
    <n v="7637"/>
    <n v="5148"/>
    <n v="5624"/>
    <n v="3108"/>
    <n v="3282"/>
    <n v="1823"/>
    <n v="1212"/>
    <n v="766"/>
    <n v="37984"/>
    <n v="40080"/>
    <n v="40495"/>
    <n v="36787"/>
    <n v="28266"/>
    <n v="22820"/>
    <n v="19501"/>
    <n v="18852"/>
    <n v="16220"/>
    <n v="14680"/>
    <n v="10636"/>
    <n v="9741"/>
    <n v="5667"/>
    <n v="5830"/>
    <n v="3406"/>
    <n v="2408"/>
    <n v="1570"/>
  </r>
  <r>
    <s v="NGA"/>
    <x v="0"/>
    <m/>
    <x v="30"/>
    <m/>
    <s v="LAGELU"/>
    <m/>
    <n v="138034"/>
    <n v="139219"/>
    <n v="277253"/>
    <n v="16810"/>
    <n v="16344"/>
    <n v="18175"/>
    <n v="16005"/>
    <n v="12703"/>
    <n v="10489"/>
    <n v="8716"/>
    <n v="8175"/>
    <n v="7108"/>
    <n v="6075"/>
    <n v="4575"/>
    <n v="4293"/>
    <n v="3009"/>
    <n v="2531"/>
    <n v="1575"/>
    <n v="927"/>
    <n v="524"/>
    <n v="15680"/>
    <n v="15937"/>
    <n v="17791"/>
    <n v="14780"/>
    <n v="11220"/>
    <n v="10108"/>
    <n v="9133"/>
    <n v="8997"/>
    <n v="7210"/>
    <n v="6890"/>
    <n v="5280"/>
    <n v="5252"/>
    <n v="3544"/>
    <n v="3364"/>
    <n v="1929"/>
    <n v="1316"/>
    <n v="788"/>
    <n v="32490"/>
    <n v="32281"/>
    <n v="35966"/>
    <n v="30785"/>
    <n v="23923"/>
    <n v="20597"/>
    <n v="17849"/>
    <n v="17172"/>
    <n v="14318"/>
    <n v="12965"/>
    <n v="9855"/>
    <n v="9545"/>
    <n v="6553"/>
    <n v="5895"/>
    <n v="3504"/>
    <n v="2243"/>
    <n v="1312"/>
  </r>
  <r>
    <s v="NGA"/>
    <x v="0"/>
    <m/>
    <x v="30"/>
    <m/>
    <s v="OGBOMOSO NORTH"/>
    <m/>
    <n v="172275"/>
    <n v="157943"/>
    <n v="330218"/>
    <n v="18237"/>
    <n v="19333"/>
    <n v="21767"/>
    <n v="21654"/>
    <n v="25972"/>
    <n v="15928"/>
    <n v="9632"/>
    <n v="8542"/>
    <n v="7794"/>
    <n v="6552"/>
    <n v="4761"/>
    <n v="4356"/>
    <n v="2640"/>
    <n v="2305"/>
    <n v="1244"/>
    <n v="942"/>
    <n v="616"/>
    <n v="17303"/>
    <n v="18236"/>
    <n v="19917"/>
    <n v="18335"/>
    <n v="18366"/>
    <n v="12655"/>
    <n v="9704"/>
    <n v="9670"/>
    <n v="7498"/>
    <n v="7034"/>
    <n v="4463"/>
    <n v="5039"/>
    <n v="2645"/>
    <n v="2790"/>
    <n v="1906"/>
    <n v="1394"/>
    <n v="988"/>
    <n v="35540"/>
    <n v="37569"/>
    <n v="41684"/>
    <n v="39989"/>
    <n v="44338"/>
    <n v="28583"/>
    <n v="19336"/>
    <n v="18212"/>
    <n v="15292"/>
    <n v="13586"/>
    <n v="9224"/>
    <n v="9395"/>
    <n v="5285"/>
    <n v="5095"/>
    <n v="3150"/>
    <n v="2336"/>
    <n v="1604"/>
  </r>
  <r>
    <s v="NGA"/>
    <x v="0"/>
    <m/>
    <x v="30"/>
    <m/>
    <s v="OGBOMOSO SOUTH"/>
    <m/>
    <n v="67445"/>
    <n v="65689"/>
    <n v="133134"/>
    <n v="8167"/>
    <n v="8661"/>
    <n v="8740"/>
    <n v="8309"/>
    <n v="6449"/>
    <n v="4969"/>
    <n v="4297"/>
    <n v="4122"/>
    <n v="3670"/>
    <n v="2961"/>
    <n v="2233"/>
    <n v="1561"/>
    <n v="1085"/>
    <n v="1034"/>
    <n v="524"/>
    <n v="427"/>
    <n v="236"/>
    <n v="7817"/>
    <n v="8261"/>
    <n v="8391"/>
    <n v="7439"/>
    <n v="5656"/>
    <n v="4984"/>
    <n v="4480"/>
    <n v="4479"/>
    <n v="3299"/>
    <n v="2959"/>
    <n v="1991"/>
    <n v="1944"/>
    <n v="1134"/>
    <n v="1194"/>
    <n v="731"/>
    <n v="541"/>
    <n v="389"/>
    <n v="15984"/>
    <n v="16922"/>
    <n v="17131"/>
    <n v="15748"/>
    <n v="12105"/>
    <n v="9953"/>
    <n v="8777"/>
    <n v="8601"/>
    <n v="6969"/>
    <n v="5920"/>
    <n v="4224"/>
    <n v="3505"/>
    <n v="2219"/>
    <n v="2228"/>
    <n v="1255"/>
    <n v="968"/>
    <n v="625"/>
  </r>
  <r>
    <s v="NGA"/>
    <x v="0"/>
    <m/>
    <x v="30"/>
    <m/>
    <s v="OGO OLUWA"/>
    <m/>
    <n v="52127"/>
    <n v="50198"/>
    <n v="102325"/>
    <n v="6226"/>
    <n v="6688"/>
    <n v="7036"/>
    <n v="6490"/>
    <n v="4972"/>
    <n v="3956"/>
    <n v="3291"/>
    <n v="2854"/>
    <n v="2687"/>
    <n v="2075"/>
    <n v="1872"/>
    <n v="1166"/>
    <n v="980"/>
    <n v="741"/>
    <n v="596"/>
    <n v="258"/>
    <n v="239"/>
    <n v="5755"/>
    <n v="6298"/>
    <n v="6479"/>
    <n v="5798"/>
    <n v="4075"/>
    <n v="3760"/>
    <n v="3306"/>
    <n v="3212"/>
    <n v="2663"/>
    <n v="2298"/>
    <n v="1589"/>
    <n v="1672"/>
    <n v="1193"/>
    <n v="780"/>
    <n v="621"/>
    <n v="474"/>
    <n v="225"/>
    <n v="11981"/>
    <n v="12986"/>
    <n v="13515"/>
    <n v="12288"/>
    <n v="9047"/>
    <n v="7716"/>
    <n v="6597"/>
    <n v="6066"/>
    <n v="5350"/>
    <n v="4373"/>
    <n v="3461"/>
    <n v="2838"/>
    <n v="2173"/>
    <n v="1521"/>
    <n v="1217"/>
    <n v="732"/>
    <n v="464"/>
  </r>
  <r>
    <s v="NGA"/>
    <x v="0"/>
    <m/>
    <x v="30"/>
    <m/>
    <s v="OLORUNSOGO"/>
    <m/>
    <n v="70084"/>
    <n v="66793"/>
    <n v="136877"/>
    <n v="8233"/>
    <n v="9352"/>
    <n v="9591"/>
    <n v="8862"/>
    <n v="6843"/>
    <n v="4956"/>
    <n v="3982"/>
    <n v="3788"/>
    <n v="3541"/>
    <n v="3110"/>
    <n v="2807"/>
    <n v="1421"/>
    <n v="1142"/>
    <n v="1234"/>
    <n v="476"/>
    <n v="547"/>
    <n v="199"/>
    <n v="7781"/>
    <n v="8538"/>
    <n v="8954"/>
    <n v="7661"/>
    <n v="5563"/>
    <n v="4684"/>
    <n v="4418"/>
    <n v="4430"/>
    <n v="3495"/>
    <n v="3406"/>
    <n v="2080"/>
    <n v="2254"/>
    <n v="1320"/>
    <n v="1025"/>
    <n v="609"/>
    <n v="382"/>
    <n v="193"/>
    <n v="16014"/>
    <n v="17890"/>
    <n v="18545"/>
    <n v="16523"/>
    <n v="12406"/>
    <n v="9640"/>
    <n v="8400"/>
    <n v="8218"/>
    <n v="7036"/>
    <n v="6516"/>
    <n v="4887"/>
    <n v="3675"/>
    <n v="2462"/>
    <n v="2259"/>
    <n v="1085"/>
    <n v="929"/>
    <n v="392"/>
  </r>
  <r>
    <s v="NGA"/>
    <x v="0"/>
    <m/>
    <x v="30"/>
    <m/>
    <s v="OLUYOLE"/>
    <m/>
    <n v="197810"/>
    <n v="195867"/>
    <n v="393677"/>
    <n v="26065"/>
    <n v="25392"/>
    <n v="24482"/>
    <n v="21338"/>
    <n v="17849"/>
    <n v="14661"/>
    <n v="13357"/>
    <n v="12524"/>
    <n v="10646"/>
    <n v="9147"/>
    <n v="6697"/>
    <n v="5782"/>
    <n v="3674"/>
    <n v="3076"/>
    <n v="1629"/>
    <n v="960"/>
    <n v="531"/>
    <n v="24862"/>
    <n v="24716"/>
    <n v="24737"/>
    <n v="19383"/>
    <n v="15506"/>
    <n v="14981"/>
    <n v="13524"/>
    <n v="12817"/>
    <n v="10428"/>
    <n v="9055"/>
    <n v="6761"/>
    <n v="6422"/>
    <n v="4176"/>
    <n v="3825"/>
    <n v="2265"/>
    <n v="1424"/>
    <n v="985"/>
    <n v="50927"/>
    <n v="50108"/>
    <n v="49219"/>
    <n v="40721"/>
    <n v="33355"/>
    <n v="29642"/>
    <n v="26881"/>
    <n v="25341"/>
    <n v="21074"/>
    <n v="18202"/>
    <n v="13458"/>
    <n v="12204"/>
    <n v="7850"/>
    <n v="6901"/>
    <n v="3894"/>
    <n v="2384"/>
    <n v="1516"/>
  </r>
  <r>
    <s v="NGA"/>
    <x v="0"/>
    <m/>
    <x v="30"/>
    <m/>
    <s v="ONA ARA"/>
    <m/>
    <n v="245704"/>
    <n v="253226"/>
    <n v="498930"/>
    <n v="36076"/>
    <n v="33274"/>
    <n v="31607"/>
    <n v="26809"/>
    <n v="21649"/>
    <n v="18158"/>
    <n v="15942"/>
    <n v="14193"/>
    <n v="11729"/>
    <n v="10434"/>
    <n v="7220"/>
    <n v="6703"/>
    <n v="4373"/>
    <n v="3884"/>
    <n v="1849"/>
    <n v="1139"/>
    <n v="665"/>
    <n v="35182"/>
    <n v="32964"/>
    <n v="32224"/>
    <n v="25347"/>
    <n v="20593"/>
    <n v="19577"/>
    <n v="17261"/>
    <n v="15653"/>
    <n v="12500"/>
    <n v="10790"/>
    <n v="8293"/>
    <n v="7246"/>
    <n v="5300"/>
    <n v="4439"/>
    <n v="2714"/>
    <n v="1696"/>
    <n v="1447"/>
    <n v="71258"/>
    <n v="66238"/>
    <n v="63831"/>
    <n v="52156"/>
    <n v="42242"/>
    <n v="37735"/>
    <n v="33203"/>
    <n v="29846"/>
    <n v="24229"/>
    <n v="21224"/>
    <n v="15513"/>
    <n v="13949"/>
    <n v="9673"/>
    <n v="8323"/>
    <n v="4563"/>
    <n v="2835"/>
    <n v="2112"/>
  </r>
  <r>
    <s v="NGA"/>
    <x v="0"/>
    <m/>
    <x v="30"/>
    <m/>
    <s v="OORELOPE"/>
    <m/>
    <n v="69768"/>
    <n v="67723"/>
    <n v="137491"/>
    <n v="8302"/>
    <n v="9052"/>
    <n v="9325"/>
    <n v="8746"/>
    <n v="7066"/>
    <n v="5260"/>
    <n v="4196"/>
    <n v="3853"/>
    <n v="3435"/>
    <n v="2825"/>
    <n v="2393"/>
    <n v="1700"/>
    <n v="1376"/>
    <n v="765"/>
    <n v="889"/>
    <n v="400"/>
    <n v="185"/>
    <n v="7753"/>
    <n v="8468"/>
    <n v="8664"/>
    <n v="7767"/>
    <n v="5527"/>
    <n v="4985"/>
    <n v="4467"/>
    <n v="4605"/>
    <n v="3611"/>
    <n v="3297"/>
    <n v="2340"/>
    <n v="2142"/>
    <n v="1368"/>
    <n v="1414"/>
    <n v="561"/>
    <n v="493"/>
    <n v="261"/>
    <n v="16055"/>
    <n v="17520"/>
    <n v="17989"/>
    <n v="16513"/>
    <n v="12593"/>
    <n v="10245"/>
    <n v="8663"/>
    <n v="8458"/>
    <n v="7046"/>
    <n v="6122"/>
    <n v="4733"/>
    <n v="3842"/>
    <n v="2744"/>
    <n v="2179"/>
    <n v="1450"/>
    <n v="893"/>
    <n v="446"/>
  </r>
  <r>
    <s v="NGA"/>
    <x v="0"/>
    <m/>
    <x v="30"/>
    <m/>
    <s v="ORIIRE"/>
    <m/>
    <n v="95690"/>
    <n v="92104"/>
    <n v="187794"/>
    <n v="11724"/>
    <n v="13276"/>
    <n v="12792"/>
    <n v="11564"/>
    <n v="8781"/>
    <n v="6818"/>
    <n v="5953"/>
    <n v="5198"/>
    <n v="4811"/>
    <n v="4032"/>
    <n v="3220"/>
    <n v="2173"/>
    <n v="1893"/>
    <n v="1550"/>
    <n v="1019"/>
    <n v="549"/>
    <n v="337"/>
    <n v="11348"/>
    <n v="12516"/>
    <n v="11757"/>
    <n v="9840"/>
    <n v="7358"/>
    <n v="6842"/>
    <n v="6059"/>
    <n v="5890"/>
    <n v="4590"/>
    <n v="4176"/>
    <n v="2885"/>
    <n v="2989"/>
    <n v="1921"/>
    <n v="1812"/>
    <n v="1050"/>
    <n v="709"/>
    <n v="362"/>
    <n v="23072"/>
    <n v="25792"/>
    <n v="24549"/>
    <n v="21404"/>
    <n v="16139"/>
    <n v="13660"/>
    <n v="12012"/>
    <n v="11088"/>
    <n v="9401"/>
    <n v="8208"/>
    <n v="6105"/>
    <n v="5162"/>
    <n v="3814"/>
    <n v="3362"/>
    <n v="2069"/>
    <n v="1258"/>
    <n v="699"/>
  </r>
  <r>
    <s v="NGA"/>
    <x v="0"/>
    <m/>
    <x v="30"/>
    <m/>
    <s v="OYO EAST"/>
    <m/>
    <n v="88557"/>
    <n v="89157"/>
    <n v="177714"/>
    <n v="11070"/>
    <n v="11571"/>
    <n v="10987"/>
    <n v="10221"/>
    <n v="8437"/>
    <n v="6864"/>
    <n v="5675"/>
    <n v="5136"/>
    <n v="4455"/>
    <n v="3729"/>
    <n v="2735"/>
    <n v="2261"/>
    <n v="1710"/>
    <n v="1760"/>
    <n v="932"/>
    <n v="666"/>
    <n v="348"/>
    <n v="10500"/>
    <n v="11148"/>
    <n v="11055"/>
    <n v="9727"/>
    <n v="7562"/>
    <n v="6515"/>
    <n v="5682"/>
    <n v="5388"/>
    <n v="4384"/>
    <n v="3965"/>
    <n v="2990"/>
    <n v="3290"/>
    <n v="2283"/>
    <n v="1988"/>
    <n v="1196"/>
    <n v="940"/>
    <n v="544"/>
    <n v="21570"/>
    <n v="22719"/>
    <n v="22042"/>
    <n v="19948"/>
    <n v="15999"/>
    <n v="13379"/>
    <n v="11357"/>
    <n v="10524"/>
    <n v="8839"/>
    <n v="7694"/>
    <n v="5725"/>
    <n v="5551"/>
    <n v="3993"/>
    <n v="3748"/>
    <n v="2128"/>
    <n v="1606"/>
    <n v="892"/>
  </r>
  <r>
    <s v="NGA"/>
    <x v="0"/>
    <m/>
    <x v="30"/>
    <m/>
    <s v="OYO WEST"/>
    <m/>
    <n v="98498"/>
    <n v="96921"/>
    <n v="195419"/>
    <n v="12379"/>
    <n v="12886"/>
    <n v="12581"/>
    <n v="11717"/>
    <n v="9680"/>
    <n v="7812"/>
    <n v="6437"/>
    <n v="5624"/>
    <n v="4928"/>
    <n v="3935"/>
    <n v="3062"/>
    <n v="2283"/>
    <n v="1777"/>
    <n v="1571"/>
    <n v="927"/>
    <n v="558"/>
    <n v="341"/>
    <n v="11929"/>
    <n v="12448"/>
    <n v="12222"/>
    <n v="10629"/>
    <n v="8604"/>
    <n v="7547"/>
    <n v="6427"/>
    <n v="5931"/>
    <n v="4558"/>
    <n v="4321"/>
    <n v="3059"/>
    <n v="3046"/>
    <n v="2070"/>
    <n v="1896"/>
    <n v="1083"/>
    <n v="711"/>
    <n v="440"/>
    <n v="24308"/>
    <n v="25334"/>
    <n v="24803"/>
    <n v="22346"/>
    <n v="18284"/>
    <n v="15359"/>
    <n v="12864"/>
    <n v="11555"/>
    <n v="9486"/>
    <n v="8256"/>
    <n v="6121"/>
    <n v="5329"/>
    <n v="3847"/>
    <n v="3467"/>
    <n v="2010"/>
    <n v="1269"/>
    <n v="781"/>
  </r>
  <r>
    <s v="NGA"/>
    <x v="0"/>
    <m/>
    <x v="30"/>
    <m/>
    <s v="SAKI EAST"/>
    <m/>
    <n v="109286"/>
    <n v="103546"/>
    <n v="212832"/>
    <n v="13494"/>
    <n v="14655"/>
    <n v="14780"/>
    <n v="13294"/>
    <n v="10179"/>
    <n v="7668"/>
    <n v="6397"/>
    <n v="6029"/>
    <n v="5679"/>
    <n v="4799"/>
    <n v="3761"/>
    <n v="2642"/>
    <n v="2651"/>
    <n v="1564"/>
    <n v="956"/>
    <n v="515"/>
    <n v="223"/>
    <n v="12898"/>
    <n v="13537"/>
    <n v="13434"/>
    <n v="11743"/>
    <n v="8595"/>
    <n v="7459"/>
    <n v="6811"/>
    <n v="7151"/>
    <n v="5412"/>
    <n v="4884"/>
    <n v="3587"/>
    <n v="2719"/>
    <n v="2037"/>
    <n v="1821"/>
    <n v="761"/>
    <n v="441"/>
    <n v="256"/>
    <n v="26392"/>
    <n v="28192"/>
    <n v="28214"/>
    <n v="25037"/>
    <n v="18774"/>
    <n v="15127"/>
    <n v="13208"/>
    <n v="13180"/>
    <n v="11091"/>
    <n v="9683"/>
    <n v="7348"/>
    <n v="5361"/>
    <n v="4688"/>
    <n v="3385"/>
    <n v="1717"/>
    <n v="956"/>
    <n v="479"/>
  </r>
  <r>
    <s v="NGA"/>
    <x v="0"/>
    <m/>
    <x v="30"/>
    <m/>
    <s v="SAKI WEST"/>
    <m/>
    <n v="270775"/>
    <n v="262936"/>
    <n v="533711"/>
    <n v="35532"/>
    <n v="37638"/>
    <n v="35002"/>
    <n v="31162"/>
    <n v="25242"/>
    <n v="19952"/>
    <n v="17140"/>
    <n v="15968"/>
    <n v="13910"/>
    <n v="11397"/>
    <n v="8585"/>
    <n v="6017"/>
    <n v="4884"/>
    <n v="3837"/>
    <n v="2148"/>
    <n v="1542"/>
    <n v="819"/>
    <n v="34213"/>
    <n v="35040"/>
    <n v="32971"/>
    <n v="28371"/>
    <n v="22633"/>
    <n v="20519"/>
    <n v="17999"/>
    <n v="17281"/>
    <n v="12966"/>
    <n v="11501"/>
    <n v="7699"/>
    <n v="7800"/>
    <n v="4916"/>
    <n v="4210"/>
    <n v="2225"/>
    <n v="1649"/>
    <n v="943"/>
    <n v="69745"/>
    <n v="72678"/>
    <n v="67973"/>
    <n v="59533"/>
    <n v="47875"/>
    <n v="40471"/>
    <n v="35139"/>
    <n v="33249"/>
    <n v="26876"/>
    <n v="22898"/>
    <n v="16284"/>
    <n v="13817"/>
    <n v="9800"/>
    <n v="8047"/>
    <n v="4373"/>
    <n v="3191"/>
    <n v="1762"/>
  </r>
  <r>
    <s v="NGA"/>
    <x v="0"/>
    <m/>
    <x v="30"/>
    <m/>
    <s v="SURULERE"/>
    <m/>
    <n v="135633"/>
    <n v="131847"/>
    <n v="267480"/>
    <n v="15638"/>
    <n v="17980"/>
    <n v="18765"/>
    <n v="17362"/>
    <n v="12865"/>
    <n v="9971"/>
    <n v="8190"/>
    <n v="6967"/>
    <n v="6652"/>
    <n v="5509"/>
    <n v="4596"/>
    <n v="3318"/>
    <n v="2883"/>
    <n v="2038"/>
    <n v="1614"/>
    <n v="753"/>
    <n v="532"/>
    <n v="15267"/>
    <n v="16982"/>
    <n v="17695"/>
    <n v="15320"/>
    <n v="10527"/>
    <n v="9199"/>
    <n v="8057"/>
    <n v="8050"/>
    <n v="6602"/>
    <n v="6250"/>
    <n v="4576"/>
    <n v="4389"/>
    <n v="3151"/>
    <n v="2789"/>
    <n v="1679"/>
    <n v="809"/>
    <n v="505"/>
    <n v="30905"/>
    <n v="34962"/>
    <n v="36460"/>
    <n v="32682"/>
    <n v="23392"/>
    <n v="19170"/>
    <n v="16247"/>
    <n v="15017"/>
    <n v="13254"/>
    <n v="11759"/>
    <n v="9172"/>
    <n v="7707"/>
    <n v="6034"/>
    <n v="4827"/>
    <n v="3293"/>
    <n v="1562"/>
    <n v="1037"/>
  </r>
  <r>
    <s v="NGA"/>
    <x v="0"/>
    <m/>
    <x v="31"/>
    <m/>
    <s v="BARKIN LADI"/>
    <m/>
    <n v="155687"/>
    <n v="152009"/>
    <n v="307696"/>
    <n v="25355"/>
    <n v="22403"/>
    <n v="20262"/>
    <n v="17593"/>
    <n v="14355"/>
    <n v="12281"/>
    <n v="10368"/>
    <n v="8782"/>
    <n v="6207"/>
    <n v="5235"/>
    <n v="3145"/>
    <n v="3085"/>
    <n v="1636"/>
    <n v="2001"/>
    <n v="1270"/>
    <n v="1111"/>
    <n v="598"/>
    <n v="25003"/>
    <n v="22764"/>
    <n v="20386"/>
    <n v="16863"/>
    <n v="13396"/>
    <n v="10698"/>
    <n v="8520"/>
    <n v="7305"/>
    <n v="5688"/>
    <n v="4543"/>
    <n v="3631"/>
    <n v="3540"/>
    <n v="2681"/>
    <n v="2739"/>
    <n v="2113"/>
    <n v="1291"/>
    <n v="848"/>
    <n v="50358"/>
    <n v="45167"/>
    <n v="40648"/>
    <n v="34456"/>
    <n v="27751"/>
    <n v="22979"/>
    <n v="18888"/>
    <n v="16087"/>
    <n v="11895"/>
    <n v="9778"/>
    <n v="6776"/>
    <n v="6625"/>
    <n v="4317"/>
    <n v="4740"/>
    <n v="3383"/>
    <n v="2402"/>
    <n v="1446"/>
  </r>
  <r>
    <s v="NGA"/>
    <x v="0"/>
    <m/>
    <x v="31"/>
    <m/>
    <s v="BASSA"/>
    <m/>
    <n v="128976"/>
    <n v="129178"/>
    <n v="258154"/>
    <n v="22618"/>
    <n v="18800"/>
    <n v="16093"/>
    <n v="14407"/>
    <n v="10761"/>
    <n v="9627"/>
    <n v="8273"/>
    <n v="7120"/>
    <n v="5300"/>
    <n v="4483"/>
    <n v="2839"/>
    <n v="2836"/>
    <n v="1686"/>
    <n v="1646"/>
    <n v="1064"/>
    <n v="890"/>
    <n v="533"/>
    <n v="22402"/>
    <n v="19180"/>
    <n v="16264"/>
    <n v="14187"/>
    <n v="11128"/>
    <n v="9171"/>
    <n v="7343"/>
    <n v="6264"/>
    <n v="5123"/>
    <n v="4107"/>
    <n v="3353"/>
    <n v="2889"/>
    <n v="2215"/>
    <n v="2069"/>
    <n v="1624"/>
    <n v="1065"/>
    <n v="794"/>
    <n v="45020"/>
    <n v="37980"/>
    <n v="32357"/>
    <n v="28594"/>
    <n v="21889"/>
    <n v="18798"/>
    <n v="15616"/>
    <n v="13384"/>
    <n v="10423"/>
    <n v="8590"/>
    <n v="6192"/>
    <n v="5725"/>
    <n v="3901"/>
    <n v="3715"/>
    <n v="2688"/>
    <n v="1955"/>
    <n v="1327"/>
  </r>
  <r>
    <s v="NGA"/>
    <x v="0"/>
    <m/>
    <x v="31"/>
    <m/>
    <s v="BOKKOS"/>
    <m/>
    <n v="145269"/>
    <n v="149609"/>
    <n v="294878"/>
    <n v="23950"/>
    <n v="22141"/>
    <n v="19412"/>
    <n v="17269"/>
    <n v="12679"/>
    <n v="10471"/>
    <n v="8850"/>
    <n v="7699"/>
    <n v="5621"/>
    <n v="4614"/>
    <n v="2961"/>
    <n v="2926"/>
    <n v="1633"/>
    <n v="1888"/>
    <n v="1262"/>
    <n v="1250"/>
    <n v="643"/>
    <n v="23597"/>
    <n v="22275"/>
    <n v="20481"/>
    <n v="17842"/>
    <n v="12915"/>
    <n v="10134"/>
    <n v="8378"/>
    <n v="7325"/>
    <n v="5599"/>
    <n v="4515"/>
    <n v="3788"/>
    <n v="3597"/>
    <n v="2682"/>
    <n v="2545"/>
    <n v="1815"/>
    <n v="1316"/>
    <n v="805"/>
    <n v="47547"/>
    <n v="44416"/>
    <n v="39893"/>
    <n v="35111"/>
    <n v="25594"/>
    <n v="20605"/>
    <n v="17228"/>
    <n v="15024"/>
    <n v="11220"/>
    <n v="9129"/>
    <n v="6749"/>
    <n v="6523"/>
    <n v="4315"/>
    <n v="4433"/>
    <n v="3077"/>
    <n v="2566"/>
    <n v="1448"/>
  </r>
  <r>
    <s v="NGA"/>
    <x v="0"/>
    <m/>
    <x v="31"/>
    <m/>
    <s v="JOS EAST"/>
    <m/>
    <n v="49945"/>
    <n v="47926"/>
    <n v="97871"/>
    <n v="8619"/>
    <n v="7616"/>
    <n v="6255"/>
    <n v="5628"/>
    <n v="4166"/>
    <n v="3626"/>
    <n v="3116"/>
    <n v="2677"/>
    <n v="2152"/>
    <n v="1634"/>
    <n v="1126"/>
    <n v="1080"/>
    <n v="648"/>
    <n v="614"/>
    <n v="420"/>
    <n v="342"/>
    <n v="226"/>
    <n v="8292"/>
    <n v="7136"/>
    <n v="5918"/>
    <n v="5199"/>
    <n v="4269"/>
    <n v="3601"/>
    <n v="2913"/>
    <n v="2326"/>
    <n v="1878"/>
    <n v="1498"/>
    <n v="1082"/>
    <n v="1191"/>
    <n v="698"/>
    <n v="736"/>
    <n v="505"/>
    <n v="379"/>
    <n v="305"/>
    <n v="16911"/>
    <n v="14752"/>
    <n v="12173"/>
    <n v="10827"/>
    <n v="8435"/>
    <n v="7227"/>
    <n v="6029"/>
    <n v="5003"/>
    <n v="4030"/>
    <n v="3132"/>
    <n v="2208"/>
    <n v="2271"/>
    <n v="1346"/>
    <n v="1350"/>
    <n v="925"/>
    <n v="721"/>
    <n v="531"/>
  </r>
  <r>
    <s v="NGA"/>
    <x v="0"/>
    <m/>
    <x v="31"/>
    <m/>
    <s v="JOS NORTH"/>
    <m/>
    <n v="246618"/>
    <n v="237914"/>
    <n v="484532"/>
    <n v="37474"/>
    <n v="30761"/>
    <n v="29849"/>
    <n v="27432"/>
    <n v="26071"/>
    <n v="22543"/>
    <n v="15972"/>
    <n v="14599"/>
    <n v="10360"/>
    <n v="9939"/>
    <n v="5908"/>
    <n v="6679"/>
    <n v="3015"/>
    <n v="3085"/>
    <n v="1264"/>
    <n v="1123"/>
    <n v="544"/>
    <n v="37029"/>
    <n v="31672"/>
    <n v="32493"/>
    <n v="28159"/>
    <n v="23157"/>
    <n v="18119"/>
    <n v="14179"/>
    <n v="13167"/>
    <n v="10364"/>
    <n v="8757"/>
    <n v="5798"/>
    <n v="5207"/>
    <n v="2947"/>
    <n v="2579"/>
    <n v="1884"/>
    <n v="1263"/>
    <n v="1140"/>
    <n v="74503"/>
    <n v="62433"/>
    <n v="62342"/>
    <n v="55591"/>
    <n v="49228"/>
    <n v="40662"/>
    <n v="30151"/>
    <n v="27766"/>
    <n v="20724"/>
    <n v="18696"/>
    <n v="11706"/>
    <n v="11886"/>
    <n v="5962"/>
    <n v="5664"/>
    <n v="3148"/>
    <n v="2386"/>
    <n v="1684"/>
  </r>
  <r>
    <s v="NGA"/>
    <x v="0"/>
    <m/>
    <x v="31"/>
    <m/>
    <s v="JOS SOUTH"/>
    <m/>
    <n v="180622"/>
    <n v="175464"/>
    <n v="356086"/>
    <n v="27201"/>
    <n v="21827"/>
    <n v="20991"/>
    <n v="19497"/>
    <n v="18936"/>
    <n v="16748"/>
    <n v="12956"/>
    <n v="11597"/>
    <n v="8224"/>
    <n v="7266"/>
    <n v="4283"/>
    <n v="4586"/>
    <n v="2019"/>
    <n v="2224"/>
    <n v="956"/>
    <n v="854"/>
    <n v="457"/>
    <n v="26284"/>
    <n v="23115"/>
    <n v="21714"/>
    <n v="19593"/>
    <n v="17637"/>
    <n v="13820"/>
    <n v="10767"/>
    <n v="10270"/>
    <n v="7720"/>
    <n v="6632"/>
    <n v="4341"/>
    <n v="4275"/>
    <n v="2518"/>
    <n v="2791"/>
    <n v="1854"/>
    <n v="1330"/>
    <n v="803"/>
    <n v="53485"/>
    <n v="44942"/>
    <n v="42705"/>
    <n v="39090"/>
    <n v="36573"/>
    <n v="30568"/>
    <n v="23723"/>
    <n v="21867"/>
    <n v="15944"/>
    <n v="13898"/>
    <n v="8624"/>
    <n v="8861"/>
    <n v="4537"/>
    <n v="5015"/>
    <n v="2810"/>
    <n v="2184"/>
    <n v="1260"/>
  </r>
  <r>
    <s v="NGA"/>
    <x v="0"/>
    <m/>
    <x v="31"/>
    <m/>
    <s v="KANAM"/>
    <m/>
    <n v="104527"/>
    <n v="111230"/>
    <n v="215757"/>
    <n v="20885"/>
    <n v="16987"/>
    <n v="13078"/>
    <n v="10966"/>
    <n v="7724"/>
    <n v="6650"/>
    <n v="6035"/>
    <n v="5192"/>
    <n v="4123"/>
    <n v="3368"/>
    <n v="2528"/>
    <n v="2183"/>
    <n v="1472"/>
    <n v="1287"/>
    <n v="909"/>
    <n v="640"/>
    <n v="500"/>
    <n v="20784"/>
    <n v="17222"/>
    <n v="13753"/>
    <n v="11581"/>
    <n v="9180"/>
    <n v="7897"/>
    <n v="6507"/>
    <n v="5386"/>
    <n v="4601"/>
    <n v="3193"/>
    <n v="3086"/>
    <n v="2284"/>
    <n v="1868"/>
    <n v="1220"/>
    <n v="1368"/>
    <n v="711"/>
    <n v="589"/>
    <n v="41669"/>
    <n v="34209"/>
    <n v="26831"/>
    <n v="22547"/>
    <n v="16904"/>
    <n v="14547"/>
    <n v="12542"/>
    <n v="10578"/>
    <n v="8724"/>
    <n v="6561"/>
    <n v="5614"/>
    <n v="4467"/>
    <n v="3340"/>
    <n v="2507"/>
    <n v="2277"/>
    <n v="1351"/>
    <n v="1089"/>
  </r>
  <r>
    <s v="NGA"/>
    <x v="0"/>
    <m/>
    <x v="31"/>
    <m/>
    <s v="KANKE"/>
    <m/>
    <n v="92930"/>
    <n v="95543"/>
    <n v="188473"/>
    <n v="16918"/>
    <n v="13963"/>
    <n v="11897"/>
    <n v="10179"/>
    <n v="7612"/>
    <n v="6449"/>
    <n v="5591"/>
    <n v="5146"/>
    <n v="3743"/>
    <n v="3167"/>
    <n v="2131"/>
    <n v="1890"/>
    <n v="1208"/>
    <n v="1211"/>
    <n v="876"/>
    <n v="592"/>
    <n v="357"/>
    <n v="16629"/>
    <n v="13604"/>
    <n v="11818"/>
    <n v="9925"/>
    <n v="8087"/>
    <n v="6818"/>
    <n v="5700"/>
    <n v="4727"/>
    <n v="4005"/>
    <n v="3256"/>
    <n v="2640"/>
    <n v="2359"/>
    <n v="2036"/>
    <n v="1691"/>
    <n v="1176"/>
    <n v="707"/>
    <n v="365"/>
    <n v="33547"/>
    <n v="27567"/>
    <n v="23715"/>
    <n v="20104"/>
    <n v="15699"/>
    <n v="13267"/>
    <n v="11291"/>
    <n v="9873"/>
    <n v="7748"/>
    <n v="6423"/>
    <n v="4771"/>
    <n v="4249"/>
    <n v="3244"/>
    <n v="2902"/>
    <n v="2052"/>
    <n v="1299"/>
    <n v="722"/>
  </r>
  <r>
    <s v="NGA"/>
    <x v="0"/>
    <m/>
    <x v="31"/>
    <m/>
    <s v="LANGTANG NORTH"/>
    <m/>
    <n v="92166"/>
    <n v="94221"/>
    <n v="186387"/>
    <n v="14494"/>
    <n v="13369"/>
    <n v="11932"/>
    <n v="10678"/>
    <n v="7605"/>
    <n v="6739"/>
    <n v="6333"/>
    <n v="5480"/>
    <n v="4240"/>
    <n v="3326"/>
    <n v="2424"/>
    <n v="1554"/>
    <n v="1326"/>
    <n v="1111"/>
    <n v="686"/>
    <n v="570"/>
    <n v="299"/>
    <n v="14758"/>
    <n v="13624"/>
    <n v="12691"/>
    <n v="11437"/>
    <n v="7943"/>
    <n v="7093"/>
    <n v="5893"/>
    <n v="4506"/>
    <n v="3881"/>
    <n v="2884"/>
    <n v="2637"/>
    <n v="1711"/>
    <n v="1680"/>
    <n v="1421"/>
    <n v="1069"/>
    <n v="581"/>
    <n v="412"/>
    <n v="29252"/>
    <n v="26993"/>
    <n v="24623"/>
    <n v="22115"/>
    <n v="15548"/>
    <n v="13832"/>
    <n v="12226"/>
    <n v="9986"/>
    <n v="8121"/>
    <n v="6210"/>
    <n v="5061"/>
    <n v="3265"/>
    <n v="3006"/>
    <n v="2532"/>
    <n v="1755"/>
    <n v="1151"/>
    <n v="711"/>
  </r>
  <r>
    <s v="NGA"/>
    <x v="0"/>
    <m/>
    <x v="31"/>
    <m/>
    <s v="LANGTANG SOUTH"/>
    <m/>
    <n v="103924"/>
    <n v="100472"/>
    <n v="204396"/>
    <n v="18429"/>
    <n v="16197"/>
    <n v="12749"/>
    <n v="11150"/>
    <n v="8094"/>
    <n v="7808"/>
    <n v="7427"/>
    <n v="6262"/>
    <n v="4797"/>
    <n v="3463"/>
    <n v="2370"/>
    <n v="1505"/>
    <n v="1196"/>
    <n v="1036"/>
    <n v="696"/>
    <n v="474"/>
    <n v="271"/>
    <n v="17830"/>
    <n v="15774"/>
    <n v="12841"/>
    <n v="10561"/>
    <n v="9049"/>
    <n v="7944"/>
    <n v="6982"/>
    <n v="4714"/>
    <n v="4003"/>
    <n v="2708"/>
    <n v="2464"/>
    <n v="1400"/>
    <n v="1613"/>
    <n v="981"/>
    <n v="873"/>
    <n v="432"/>
    <n v="303"/>
    <n v="36259"/>
    <n v="31971"/>
    <n v="25590"/>
    <n v="21711"/>
    <n v="17143"/>
    <n v="15752"/>
    <n v="14409"/>
    <n v="10976"/>
    <n v="8800"/>
    <n v="6171"/>
    <n v="4834"/>
    <n v="2905"/>
    <n v="2809"/>
    <n v="2017"/>
    <n v="1569"/>
    <n v="906"/>
    <n v="574"/>
  </r>
  <r>
    <s v="NGA"/>
    <x v="0"/>
    <m/>
    <x v="31"/>
    <m/>
    <s v="MANGU"/>
    <m/>
    <n v="207344"/>
    <n v="212603"/>
    <n v="419947"/>
    <n v="33235"/>
    <n v="29380"/>
    <n v="28196"/>
    <n v="25372"/>
    <n v="18108"/>
    <n v="15057"/>
    <n v="12180"/>
    <n v="11174"/>
    <n v="8069"/>
    <n v="6878"/>
    <n v="4650"/>
    <n v="4804"/>
    <n v="2688"/>
    <n v="3065"/>
    <n v="1802"/>
    <n v="1763"/>
    <n v="923"/>
    <n v="32903"/>
    <n v="30613"/>
    <n v="28456"/>
    <n v="25365"/>
    <n v="17949"/>
    <n v="14754"/>
    <n v="11642"/>
    <n v="9967"/>
    <n v="8334"/>
    <n v="7168"/>
    <n v="5763"/>
    <n v="5607"/>
    <n v="4084"/>
    <n v="3727"/>
    <n v="2996"/>
    <n v="2017"/>
    <n v="1258"/>
    <n v="66138"/>
    <n v="59993"/>
    <n v="56652"/>
    <n v="50737"/>
    <n v="36057"/>
    <n v="29811"/>
    <n v="23822"/>
    <n v="21141"/>
    <n v="16403"/>
    <n v="14046"/>
    <n v="10413"/>
    <n v="10411"/>
    <n v="6772"/>
    <n v="6792"/>
    <n v="4798"/>
    <n v="3780"/>
    <n v="2181"/>
  </r>
  <r>
    <s v="NGA"/>
    <x v="0"/>
    <m/>
    <x v="31"/>
    <m/>
    <s v="MIKANG"/>
    <m/>
    <n v="57638"/>
    <n v="58891"/>
    <n v="116529"/>
    <n v="10964"/>
    <n v="9012"/>
    <n v="7398"/>
    <n v="6087"/>
    <n v="4215"/>
    <n v="3877"/>
    <n v="3708"/>
    <n v="3140"/>
    <n v="2505"/>
    <n v="1909"/>
    <n v="1438"/>
    <n v="998"/>
    <n v="789"/>
    <n v="636"/>
    <n v="486"/>
    <n v="287"/>
    <n v="189"/>
    <n v="10981"/>
    <n v="9076"/>
    <n v="7388"/>
    <n v="6118"/>
    <n v="4824"/>
    <n v="4461"/>
    <n v="3737"/>
    <n v="2763"/>
    <n v="2252"/>
    <n v="1793"/>
    <n v="1481"/>
    <n v="1105"/>
    <n v="1009"/>
    <n v="840"/>
    <n v="528"/>
    <n v="335"/>
    <n v="200"/>
    <n v="21945"/>
    <n v="18088"/>
    <n v="14786"/>
    <n v="12205"/>
    <n v="9039"/>
    <n v="8338"/>
    <n v="7445"/>
    <n v="5903"/>
    <n v="4757"/>
    <n v="3702"/>
    <n v="2919"/>
    <n v="2103"/>
    <n v="1798"/>
    <n v="1476"/>
    <n v="1014"/>
    <n v="622"/>
    <n v="389"/>
  </r>
  <r>
    <s v="NGA"/>
    <x v="0"/>
    <m/>
    <x v="31"/>
    <m/>
    <s v="PANKSHIN"/>
    <m/>
    <n v="144650"/>
    <n v="143691"/>
    <n v="288341"/>
    <n v="23745"/>
    <n v="20462"/>
    <n v="18533"/>
    <n v="17033"/>
    <n v="12459"/>
    <n v="10696"/>
    <n v="8864"/>
    <n v="7858"/>
    <n v="6133"/>
    <n v="5066"/>
    <n v="3638"/>
    <n v="3193"/>
    <n v="2050"/>
    <n v="2069"/>
    <n v="1245"/>
    <n v="1032"/>
    <n v="574"/>
    <n v="23312"/>
    <n v="20245"/>
    <n v="18047"/>
    <n v="15848"/>
    <n v="12839"/>
    <n v="10656"/>
    <n v="8559"/>
    <n v="7124"/>
    <n v="6002"/>
    <n v="5069"/>
    <n v="3904"/>
    <n v="3537"/>
    <n v="2644"/>
    <n v="2448"/>
    <n v="1642"/>
    <n v="1213"/>
    <n v="602"/>
    <n v="47057"/>
    <n v="40707"/>
    <n v="36580"/>
    <n v="32881"/>
    <n v="25298"/>
    <n v="21352"/>
    <n v="17423"/>
    <n v="14982"/>
    <n v="12135"/>
    <n v="10135"/>
    <n v="7542"/>
    <n v="6730"/>
    <n v="4694"/>
    <n v="4517"/>
    <n v="2887"/>
    <n v="2245"/>
    <n v="1176"/>
  </r>
  <r>
    <s v="NGA"/>
    <x v="0"/>
    <m/>
    <x v="31"/>
    <m/>
    <s v="QUA'AN PAN"/>
    <m/>
    <n v="117947"/>
    <n v="122520"/>
    <n v="240467"/>
    <n v="20556"/>
    <n v="18793"/>
    <n v="15504"/>
    <n v="12563"/>
    <n v="9425"/>
    <n v="8200"/>
    <n v="7107"/>
    <n v="6307"/>
    <n v="4761"/>
    <n v="3682"/>
    <n v="2980"/>
    <n v="2350"/>
    <n v="1835"/>
    <n v="1451"/>
    <n v="1181"/>
    <n v="761"/>
    <n v="491"/>
    <n v="20624"/>
    <n v="19177"/>
    <n v="15722"/>
    <n v="12961"/>
    <n v="10232"/>
    <n v="8649"/>
    <n v="7418"/>
    <n v="5662"/>
    <n v="5127"/>
    <n v="3870"/>
    <n v="3255"/>
    <n v="2661"/>
    <n v="2530"/>
    <n v="1843"/>
    <n v="1296"/>
    <n v="851"/>
    <n v="642"/>
    <n v="41180"/>
    <n v="37970"/>
    <n v="31226"/>
    <n v="25524"/>
    <n v="19657"/>
    <n v="16849"/>
    <n v="14525"/>
    <n v="11969"/>
    <n v="9888"/>
    <n v="7552"/>
    <n v="6235"/>
    <n v="5011"/>
    <n v="4365"/>
    <n v="3294"/>
    <n v="2477"/>
    <n v="1612"/>
    <n v="1133"/>
  </r>
  <r>
    <s v="NGA"/>
    <x v="0"/>
    <m/>
    <x v="31"/>
    <m/>
    <s v="RIYOM"/>
    <m/>
    <n v="113715"/>
    <n v="111798"/>
    <n v="225513"/>
    <n v="21014"/>
    <n v="17817"/>
    <n v="14445"/>
    <n v="12155"/>
    <n v="8699"/>
    <n v="8519"/>
    <n v="7593"/>
    <n v="6550"/>
    <n v="4822"/>
    <n v="3457"/>
    <n v="2379"/>
    <n v="1955"/>
    <n v="1315"/>
    <n v="1209"/>
    <n v="828"/>
    <n v="633"/>
    <n v="325"/>
    <n v="20781"/>
    <n v="17136"/>
    <n v="14006"/>
    <n v="11783"/>
    <n v="9780"/>
    <n v="8451"/>
    <n v="6652"/>
    <n v="5469"/>
    <n v="4060"/>
    <n v="3130"/>
    <n v="2488"/>
    <n v="2290"/>
    <n v="1712"/>
    <n v="1704"/>
    <n v="1220"/>
    <n v="708"/>
    <n v="428"/>
    <n v="41795"/>
    <n v="34953"/>
    <n v="28451"/>
    <n v="23938"/>
    <n v="18479"/>
    <n v="16970"/>
    <n v="14245"/>
    <n v="12019"/>
    <n v="8882"/>
    <n v="6587"/>
    <n v="4867"/>
    <n v="4245"/>
    <n v="3027"/>
    <n v="2913"/>
    <n v="2048"/>
    <n v="1341"/>
    <n v="753"/>
  </r>
  <r>
    <s v="NGA"/>
    <x v="0"/>
    <m/>
    <x v="31"/>
    <m/>
    <s v="SHENDAM"/>
    <m/>
    <n v="123616"/>
    <n v="124367"/>
    <n v="247983"/>
    <n v="21389"/>
    <n v="18235"/>
    <n v="15221"/>
    <n v="13309"/>
    <n v="10027"/>
    <n v="8954"/>
    <n v="8196"/>
    <n v="7222"/>
    <n v="5513"/>
    <n v="4311"/>
    <n v="3227"/>
    <n v="2510"/>
    <n v="1798"/>
    <n v="1437"/>
    <n v="1121"/>
    <n v="721"/>
    <n v="425"/>
    <n v="21118"/>
    <n v="18418"/>
    <n v="15606"/>
    <n v="13359"/>
    <n v="10817"/>
    <n v="9288"/>
    <n v="7948"/>
    <n v="6000"/>
    <n v="5438"/>
    <n v="3862"/>
    <n v="3483"/>
    <n v="2466"/>
    <n v="2200"/>
    <n v="1564"/>
    <n v="1410"/>
    <n v="812"/>
    <n v="578"/>
    <n v="42507"/>
    <n v="36653"/>
    <n v="30827"/>
    <n v="26668"/>
    <n v="20844"/>
    <n v="18242"/>
    <n v="16144"/>
    <n v="13222"/>
    <n v="10951"/>
    <n v="8173"/>
    <n v="6710"/>
    <n v="4976"/>
    <n v="3998"/>
    <n v="3001"/>
    <n v="2531"/>
    <n v="1533"/>
    <n v="1003"/>
  </r>
  <r>
    <s v="NGA"/>
    <x v="0"/>
    <m/>
    <x v="31"/>
    <m/>
    <s v="WASE"/>
    <m/>
    <n v="108922"/>
    <n v="108700"/>
    <n v="217622"/>
    <n v="20945"/>
    <n v="17454"/>
    <n v="13396"/>
    <n v="10717"/>
    <n v="7881"/>
    <n v="7549"/>
    <n v="7417"/>
    <n v="6304"/>
    <n v="4957"/>
    <n v="3450"/>
    <n v="2688"/>
    <n v="1930"/>
    <n v="1425"/>
    <n v="1097"/>
    <n v="917"/>
    <n v="454"/>
    <n v="341"/>
    <n v="20926"/>
    <n v="17317"/>
    <n v="13328"/>
    <n v="11353"/>
    <n v="9926"/>
    <n v="8479"/>
    <n v="6890"/>
    <n v="5034"/>
    <n v="4183"/>
    <n v="2766"/>
    <n v="2617"/>
    <n v="1571"/>
    <n v="1610"/>
    <n v="960"/>
    <n v="870"/>
    <n v="474"/>
    <n v="396"/>
    <n v="41871"/>
    <n v="34771"/>
    <n v="26724"/>
    <n v="22070"/>
    <n v="17807"/>
    <n v="16028"/>
    <n v="14307"/>
    <n v="11338"/>
    <n v="9140"/>
    <n v="6216"/>
    <n v="5305"/>
    <n v="3501"/>
    <n v="3035"/>
    <n v="2057"/>
    <n v="1787"/>
    <n v="928"/>
    <n v="737"/>
  </r>
  <r>
    <s v="NGA"/>
    <x v="0"/>
    <m/>
    <x v="32"/>
    <m/>
    <s v="ABUA/ODUAL"/>
    <m/>
    <n v="264905"/>
    <n v="251623"/>
    <n v="516528"/>
    <n v="30875"/>
    <n v="34752"/>
    <n v="35733"/>
    <n v="33677"/>
    <n v="26002"/>
    <n v="18679"/>
    <n v="15762"/>
    <n v="14000"/>
    <n v="13683"/>
    <n v="11564"/>
    <n v="9645"/>
    <n v="6332"/>
    <n v="5835"/>
    <n v="3167"/>
    <n v="2827"/>
    <n v="1288"/>
    <n v="1084"/>
    <n v="28921"/>
    <n v="32015"/>
    <n v="32881"/>
    <n v="29655"/>
    <n v="21443"/>
    <n v="18517"/>
    <n v="17267"/>
    <n v="16664"/>
    <n v="13359"/>
    <n v="11174"/>
    <n v="8985"/>
    <n v="6186"/>
    <n v="5752"/>
    <n v="4290"/>
    <n v="2131"/>
    <n v="1457"/>
    <n v="926"/>
    <n v="59796"/>
    <n v="66767"/>
    <n v="68614"/>
    <n v="63332"/>
    <n v="47445"/>
    <n v="37196"/>
    <n v="33029"/>
    <n v="30664"/>
    <n v="27042"/>
    <n v="22738"/>
    <n v="18630"/>
    <n v="12518"/>
    <n v="11587"/>
    <n v="7457"/>
    <n v="4958"/>
    <n v="2745"/>
    <n v="2010"/>
  </r>
  <r>
    <s v="NGA"/>
    <x v="0"/>
    <m/>
    <x v="32"/>
    <m/>
    <s v="AHOADA EAST"/>
    <m/>
    <n v="169438"/>
    <n v="161423"/>
    <n v="330861"/>
    <n v="20577"/>
    <n v="22042"/>
    <n v="22933"/>
    <n v="20953"/>
    <n v="16446"/>
    <n v="12402"/>
    <n v="10053"/>
    <n v="9059"/>
    <n v="8227"/>
    <n v="7192"/>
    <n v="5693"/>
    <n v="4496"/>
    <n v="3269"/>
    <n v="2623"/>
    <n v="1700"/>
    <n v="1098"/>
    <n v="675"/>
    <n v="19460"/>
    <n v="20034"/>
    <n v="20728"/>
    <n v="18105"/>
    <n v="13751"/>
    <n v="12011"/>
    <n v="10682"/>
    <n v="10508"/>
    <n v="8376"/>
    <n v="7554"/>
    <n v="5338"/>
    <n v="5220"/>
    <n v="3581"/>
    <n v="2824"/>
    <n v="1613"/>
    <n v="1036"/>
    <n v="602"/>
    <n v="40037"/>
    <n v="42076"/>
    <n v="43661"/>
    <n v="39058"/>
    <n v="30197"/>
    <n v="24413"/>
    <n v="20735"/>
    <n v="19567"/>
    <n v="16603"/>
    <n v="14746"/>
    <n v="11031"/>
    <n v="9716"/>
    <n v="6850"/>
    <n v="5447"/>
    <n v="3313"/>
    <n v="2134"/>
    <n v="1277"/>
  </r>
  <r>
    <s v="NGA"/>
    <x v="0"/>
    <m/>
    <x v="32"/>
    <m/>
    <s v="AHOADA WEST"/>
    <m/>
    <n v="253230"/>
    <n v="242525"/>
    <n v="495755"/>
    <n v="30420"/>
    <n v="32624"/>
    <n v="33553"/>
    <n v="31867"/>
    <n v="25027"/>
    <n v="18265"/>
    <n v="15071"/>
    <n v="13430"/>
    <n v="12768"/>
    <n v="10954"/>
    <n v="9015"/>
    <n v="6446"/>
    <n v="4862"/>
    <n v="3838"/>
    <n v="2474"/>
    <n v="1462"/>
    <n v="1154"/>
    <n v="28590"/>
    <n v="30232"/>
    <n v="30773"/>
    <n v="27779"/>
    <n v="20736"/>
    <n v="17646"/>
    <n v="16055"/>
    <n v="15591"/>
    <n v="12675"/>
    <n v="11634"/>
    <n v="8259"/>
    <n v="7227"/>
    <n v="4864"/>
    <n v="4832"/>
    <n v="2646"/>
    <n v="1990"/>
    <n v="996"/>
    <n v="59010"/>
    <n v="62856"/>
    <n v="64326"/>
    <n v="59646"/>
    <n v="45763"/>
    <n v="35911"/>
    <n v="31126"/>
    <n v="29021"/>
    <n v="25443"/>
    <n v="22588"/>
    <n v="17274"/>
    <n v="13673"/>
    <n v="9726"/>
    <n v="8670"/>
    <n v="5120"/>
    <n v="3452"/>
    <n v="2150"/>
  </r>
  <r>
    <s v="NGA"/>
    <x v="0"/>
    <m/>
    <x v="32"/>
    <m/>
    <s v="AKUKU-TORU"/>
    <m/>
    <n v="113425"/>
    <n v="107946"/>
    <n v="221371"/>
    <n v="13214"/>
    <n v="14414"/>
    <n v="14609"/>
    <n v="13819"/>
    <n v="11096"/>
    <n v="8615"/>
    <n v="7115"/>
    <n v="6487"/>
    <n v="5778"/>
    <n v="4950"/>
    <n v="3839"/>
    <n v="3086"/>
    <n v="2404"/>
    <n v="1851"/>
    <n v="1162"/>
    <n v="644"/>
    <n v="342"/>
    <n v="12347"/>
    <n v="13324"/>
    <n v="13658"/>
    <n v="12263"/>
    <n v="9082"/>
    <n v="7830"/>
    <n v="7050"/>
    <n v="7073"/>
    <n v="5639"/>
    <n v="5243"/>
    <n v="3474"/>
    <n v="3789"/>
    <n v="2116"/>
    <n v="2390"/>
    <n v="1127"/>
    <n v="1123"/>
    <n v="418"/>
    <n v="25561"/>
    <n v="27738"/>
    <n v="28267"/>
    <n v="26082"/>
    <n v="20178"/>
    <n v="16445"/>
    <n v="14165"/>
    <n v="13560"/>
    <n v="11417"/>
    <n v="10193"/>
    <n v="7313"/>
    <n v="6875"/>
    <n v="4520"/>
    <n v="4241"/>
    <n v="2289"/>
    <n v="1767"/>
    <n v="760"/>
  </r>
  <r>
    <s v="NGA"/>
    <x v="0"/>
    <m/>
    <x v="32"/>
    <m/>
    <s v="ANDONI"/>
    <m/>
    <n v="156903"/>
    <n v="149904"/>
    <n v="306807"/>
    <n v="19925"/>
    <n v="20524"/>
    <n v="20648"/>
    <n v="19646"/>
    <n v="15126"/>
    <n v="11126"/>
    <n v="9177"/>
    <n v="8437"/>
    <n v="7745"/>
    <n v="6662"/>
    <n v="5518"/>
    <n v="3770"/>
    <n v="3415"/>
    <n v="2102"/>
    <n v="1504"/>
    <n v="1059"/>
    <n v="519"/>
    <n v="18123"/>
    <n v="18835"/>
    <n v="18625"/>
    <n v="16938"/>
    <n v="12552"/>
    <n v="10757"/>
    <n v="9975"/>
    <n v="9835"/>
    <n v="7876"/>
    <n v="7135"/>
    <n v="5105"/>
    <n v="4541"/>
    <n v="3444"/>
    <n v="3494"/>
    <n v="1433"/>
    <n v="690"/>
    <n v="546"/>
    <n v="38048"/>
    <n v="39359"/>
    <n v="39273"/>
    <n v="36584"/>
    <n v="27678"/>
    <n v="21883"/>
    <n v="19152"/>
    <n v="18272"/>
    <n v="15621"/>
    <n v="13797"/>
    <n v="10623"/>
    <n v="8311"/>
    <n v="6859"/>
    <n v="5596"/>
    <n v="2937"/>
    <n v="1749"/>
    <n v="1065"/>
  </r>
  <r>
    <s v="NGA"/>
    <x v="0"/>
    <m/>
    <x v="32"/>
    <m/>
    <s v="ASARI-TORU"/>
    <m/>
    <n v="128241"/>
    <n v="124270"/>
    <n v="252511"/>
    <n v="14184"/>
    <n v="15484"/>
    <n v="16526"/>
    <n v="16393"/>
    <n v="13133"/>
    <n v="9775"/>
    <n v="7996"/>
    <n v="6829"/>
    <n v="6593"/>
    <n v="5503"/>
    <n v="4556"/>
    <n v="3334"/>
    <n v="2885"/>
    <n v="2020"/>
    <n v="1589"/>
    <n v="882"/>
    <n v="559"/>
    <n v="13354"/>
    <n v="14681"/>
    <n v="15634"/>
    <n v="14784"/>
    <n v="10891"/>
    <n v="8888"/>
    <n v="8270"/>
    <n v="7971"/>
    <n v="6723"/>
    <n v="6127"/>
    <n v="4322"/>
    <n v="4271"/>
    <n v="2849"/>
    <n v="2530"/>
    <n v="1314"/>
    <n v="1088"/>
    <n v="573"/>
    <n v="27538"/>
    <n v="30165"/>
    <n v="32160"/>
    <n v="31177"/>
    <n v="24024"/>
    <n v="18663"/>
    <n v="16266"/>
    <n v="14800"/>
    <n v="13316"/>
    <n v="11630"/>
    <n v="8878"/>
    <n v="7605"/>
    <n v="5734"/>
    <n v="4550"/>
    <n v="2903"/>
    <n v="1970"/>
    <n v="1132"/>
  </r>
  <r>
    <s v="NGA"/>
    <x v="0"/>
    <m/>
    <x v="32"/>
    <m/>
    <s v="BONNY"/>
    <m/>
    <n v="287191"/>
    <n v="240712"/>
    <n v="527903"/>
    <n v="28916"/>
    <n v="31048"/>
    <n v="31734"/>
    <n v="31908"/>
    <n v="30472"/>
    <n v="27760"/>
    <n v="25187"/>
    <n v="20810"/>
    <n v="16440"/>
    <n v="13215"/>
    <n v="9139"/>
    <n v="7249"/>
    <n v="5178"/>
    <n v="3715"/>
    <n v="2199"/>
    <n v="1403"/>
    <n v="818"/>
    <n v="26844"/>
    <n v="28378"/>
    <n v="29733"/>
    <n v="28460"/>
    <n v="24036"/>
    <n v="21596"/>
    <n v="17745"/>
    <n v="16235"/>
    <n v="11720"/>
    <n v="10450"/>
    <n v="6889"/>
    <n v="6840"/>
    <n v="4123"/>
    <n v="3376"/>
    <n v="2137"/>
    <n v="1177"/>
    <n v="973"/>
    <n v="55760"/>
    <n v="59426"/>
    <n v="61467"/>
    <n v="60368"/>
    <n v="54508"/>
    <n v="49356"/>
    <n v="42932"/>
    <n v="37045"/>
    <n v="28160"/>
    <n v="23665"/>
    <n v="16028"/>
    <n v="14089"/>
    <n v="9301"/>
    <n v="7091"/>
    <n v="4336"/>
    <n v="2580"/>
    <n v="1791"/>
  </r>
  <r>
    <s v="NGA"/>
    <x v="0"/>
    <m/>
    <x v="32"/>
    <m/>
    <s v="DEGEMA"/>
    <m/>
    <n v="288895"/>
    <n v="275603"/>
    <n v="564498"/>
    <n v="33783"/>
    <n v="37156"/>
    <n v="37854"/>
    <n v="36431"/>
    <n v="28244"/>
    <n v="20661"/>
    <n v="17469"/>
    <n v="15123"/>
    <n v="14828"/>
    <n v="12362"/>
    <n v="9952"/>
    <n v="7727"/>
    <n v="7121"/>
    <n v="4913"/>
    <n v="2656"/>
    <n v="1781"/>
    <n v="834"/>
    <n v="31804"/>
    <n v="34322"/>
    <n v="34621"/>
    <n v="32399"/>
    <n v="23292"/>
    <n v="19747"/>
    <n v="18165"/>
    <n v="18099"/>
    <n v="14764"/>
    <n v="13225"/>
    <n v="9468"/>
    <n v="9373"/>
    <n v="5797"/>
    <n v="4297"/>
    <n v="2869"/>
    <n v="2284"/>
    <n v="1077"/>
    <n v="65587"/>
    <n v="71478"/>
    <n v="72475"/>
    <n v="68830"/>
    <n v="51536"/>
    <n v="40408"/>
    <n v="35634"/>
    <n v="33222"/>
    <n v="29592"/>
    <n v="25587"/>
    <n v="19420"/>
    <n v="17100"/>
    <n v="12918"/>
    <n v="9210"/>
    <n v="5525"/>
    <n v="4065"/>
    <n v="1911"/>
  </r>
  <r>
    <s v="NGA"/>
    <x v="0"/>
    <m/>
    <x v="32"/>
    <m/>
    <s v="ELEME"/>
    <m/>
    <n v="202615"/>
    <n v="189163"/>
    <n v="391778"/>
    <n v="22443"/>
    <n v="24599"/>
    <n v="26552"/>
    <n v="25799"/>
    <n v="21544"/>
    <n v="15574"/>
    <n v="11914"/>
    <n v="10975"/>
    <n v="10419"/>
    <n v="9443"/>
    <n v="7190"/>
    <n v="5414"/>
    <n v="4683"/>
    <n v="2785"/>
    <n v="1804"/>
    <n v="829"/>
    <n v="648"/>
    <n v="20864"/>
    <n v="23470"/>
    <n v="25080"/>
    <n v="23144"/>
    <n v="17241"/>
    <n v="14455"/>
    <n v="12723"/>
    <n v="12831"/>
    <n v="10210"/>
    <n v="9285"/>
    <n v="6283"/>
    <n v="5078"/>
    <n v="3393"/>
    <n v="2621"/>
    <n v="1105"/>
    <n v="847"/>
    <n v="533"/>
    <n v="43307"/>
    <n v="48069"/>
    <n v="51632"/>
    <n v="48943"/>
    <n v="38785"/>
    <n v="30029"/>
    <n v="24637"/>
    <n v="23806"/>
    <n v="20629"/>
    <n v="18728"/>
    <n v="13473"/>
    <n v="10492"/>
    <n v="8076"/>
    <n v="5406"/>
    <n v="2909"/>
    <n v="1676"/>
    <n v="1181"/>
  </r>
  <r>
    <s v="NGA"/>
    <x v="0"/>
    <m/>
    <x v="32"/>
    <m/>
    <s v="EMUOHA"/>
    <m/>
    <n v="115945"/>
    <n v="111555"/>
    <n v="227500"/>
    <n v="15233"/>
    <n v="14554"/>
    <n v="15035"/>
    <n v="14235"/>
    <n v="11362"/>
    <n v="8499"/>
    <n v="7078"/>
    <n v="6221"/>
    <n v="5840"/>
    <n v="4946"/>
    <n v="3856"/>
    <n v="2883"/>
    <n v="2408"/>
    <n v="1701"/>
    <n v="1084"/>
    <n v="614"/>
    <n v="396"/>
    <n v="13784"/>
    <n v="13414"/>
    <n v="14501"/>
    <n v="13294"/>
    <n v="10100"/>
    <n v="8269"/>
    <n v="7560"/>
    <n v="6861"/>
    <n v="5627"/>
    <n v="4799"/>
    <n v="3408"/>
    <n v="3308"/>
    <n v="2436"/>
    <n v="1946"/>
    <n v="1092"/>
    <n v="714"/>
    <n v="442"/>
    <n v="29017"/>
    <n v="27968"/>
    <n v="29536"/>
    <n v="27529"/>
    <n v="21462"/>
    <n v="16768"/>
    <n v="14638"/>
    <n v="13082"/>
    <n v="11467"/>
    <n v="9745"/>
    <n v="7264"/>
    <n v="6191"/>
    <n v="4844"/>
    <n v="3647"/>
    <n v="2176"/>
    <n v="1328"/>
    <n v="838"/>
  </r>
  <r>
    <s v="NGA"/>
    <x v="0"/>
    <m/>
    <x v="32"/>
    <m/>
    <s v="ETCHE"/>
    <m/>
    <n v="160827"/>
    <n v="154166"/>
    <n v="314993"/>
    <n v="18853"/>
    <n v="19959"/>
    <n v="20855"/>
    <n v="20130"/>
    <n v="16203"/>
    <n v="12126"/>
    <n v="10247"/>
    <n v="9133"/>
    <n v="8396"/>
    <n v="7003"/>
    <n v="5583"/>
    <n v="3993"/>
    <n v="3398"/>
    <n v="2029"/>
    <n v="1468"/>
    <n v="806"/>
    <n v="645"/>
    <n v="17523"/>
    <n v="18435"/>
    <n v="19463"/>
    <n v="18108"/>
    <n v="13831"/>
    <n v="11723"/>
    <n v="10624"/>
    <n v="10007"/>
    <n v="8212"/>
    <n v="7184"/>
    <n v="5275"/>
    <n v="4481"/>
    <n v="3629"/>
    <n v="2468"/>
    <n v="1480"/>
    <n v="1058"/>
    <n v="665"/>
    <n v="36376"/>
    <n v="38394"/>
    <n v="40318"/>
    <n v="38238"/>
    <n v="30034"/>
    <n v="23849"/>
    <n v="20871"/>
    <n v="19140"/>
    <n v="16608"/>
    <n v="14187"/>
    <n v="10858"/>
    <n v="8474"/>
    <n v="7027"/>
    <n v="4497"/>
    <n v="2948"/>
    <n v="1864"/>
    <n v="1310"/>
  </r>
  <r>
    <s v="NGA"/>
    <x v="0"/>
    <m/>
    <x v="32"/>
    <m/>
    <s v="GOKANA"/>
    <m/>
    <n v="150581"/>
    <n v="148239"/>
    <n v="298820"/>
    <n v="17964"/>
    <n v="19457"/>
    <n v="19897"/>
    <n v="18781"/>
    <n v="14531"/>
    <n v="10736"/>
    <n v="8798"/>
    <n v="8095"/>
    <n v="7618"/>
    <n v="6666"/>
    <n v="5526"/>
    <n v="3787"/>
    <n v="3266"/>
    <n v="2373"/>
    <n v="1504"/>
    <n v="1072"/>
    <n v="510"/>
    <n v="17248"/>
    <n v="18511"/>
    <n v="18866"/>
    <n v="17160"/>
    <n v="12285"/>
    <n v="10733"/>
    <n v="9760"/>
    <n v="9805"/>
    <n v="7876"/>
    <n v="7108"/>
    <n v="5136"/>
    <n v="4628"/>
    <n v="3099"/>
    <n v="3082"/>
    <n v="1377"/>
    <n v="853"/>
    <n v="712"/>
    <n v="35212"/>
    <n v="37968"/>
    <n v="38763"/>
    <n v="35941"/>
    <n v="26816"/>
    <n v="21469"/>
    <n v="18558"/>
    <n v="17900"/>
    <n v="15494"/>
    <n v="13774"/>
    <n v="10662"/>
    <n v="8415"/>
    <n v="6365"/>
    <n v="5455"/>
    <n v="2881"/>
    <n v="1925"/>
    <n v="1222"/>
  </r>
  <r>
    <s v="NGA"/>
    <x v="0"/>
    <m/>
    <x v="32"/>
    <m/>
    <s v="IKWERRE"/>
    <m/>
    <n v="128593"/>
    <n v="119518"/>
    <n v="248111"/>
    <n v="14794"/>
    <n v="14711"/>
    <n v="15842"/>
    <n v="16344"/>
    <n v="14293"/>
    <n v="10641"/>
    <n v="8587"/>
    <n v="7447"/>
    <n v="6461"/>
    <n v="5685"/>
    <n v="4274"/>
    <n v="3269"/>
    <n v="2356"/>
    <n v="1749"/>
    <n v="1073"/>
    <n v="662"/>
    <n v="405"/>
    <n v="13695"/>
    <n v="13751"/>
    <n v="15351"/>
    <n v="15217"/>
    <n v="12231"/>
    <n v="9658"/>
    <n v="8107"/>
    <n v="7459"/>
    <n v="5925"/>
    <n v="5111"/>
    <n v="3822"/>
    <n v="3109"/>
    <n v="2253"/>
    <n v="1691"/>
    <n v="1020"/>
    <n v="636"/>
    <n v="482"/>
    <n v="28489"/>
    <n v="28462"/>
    <n v="31193"/>
    <n v="31561"/>
    <n v="26524"/>
    <n v="20299"/>
    <n v="16694"/>
    <n v="14906"/>
    <n v="12386"/>
    <n v="10796"/>
    <n v="8096"/>
    <n v="6378"/>
    <n v="4609"/>
    <n v="3440"/>
    <n v="2093"/>
    <n v="1298"/>
    <n v="887"/>
  </r>
  <r>
    <s v="NGA"/>
    <x v="0"/>
    <m/>
    <x v="32"/>
    <m/>
    <s v="KHANA"/>
    <m/>
    <n v="181770"/>
    <n v="179393"/>
    <n v="361163"/>
    <n v="20486"/>
    <n v="22620"/>
    <n v="23992"/>
    <n v="24001"/>
    <n v="18703"/>
    <n v="13653"/>
    <n v="10945"/>
    <n v="9866"/>
    <n v="9310"/>
    <n v="8012"/>
    <n v="6038"/>
    <n v="4525"/>
    <n v="3946"/>
    <n v="2759"/>
    <n v="1529"/>
    <n v="889"/>
    <n v="496"/>
    <n v="19487"/>
    <n v="21569"/>
    <n v="23096"/>
    <n v="22825"/>
    <n v="16799"/>
    <n v="13612"/>
    <n v="12473"/>
    <n v="11652"/>
    <n v="9532"/>
    <n v="8272"/>
    <n v="5798"/>
    <n v="4777"/>
    <n v="3615"/>
    <n v="3097"/>
    <n v="1417"/>
    <n v="816"/>
    <n v="556"/>
    <n v="39973"/>
    <n v="44189"/>
    <n v="47088"/>
    <n v="46826"/>
    <n v="35502"/>
    <n v="27265"/>
    <n v="23418"/>
    <n v="21518"/>
    <n v="18842"/>
    <n v="16284"/>
    <n v="11836"/>
    <n v="9302"/>
    <n v="7561"/>
    <n v="5856"/>
    <n v="2946"/>
    <n v="1705"/>
    <n v="1052"/>
  </r>
  <r>
    <s v="NGA"/>
    <x v="0"/>
    <m/>
    <x v="32"/>
    <m/>
    <s v="OBIO/AKPOR"/>
    <m/>
    <n v="372077"/>
    <n v="335931"/>
    <n v="708008"/>
    <n v="43654"/>
    <n v="35799"/>
    <n v="35411"/>
    <n v="37087"/>
    <n v="45033"/>
    <n v="43167"/>
    <n v="37553"/>
    <n v="29886"/>
    <n v="20877"/>
    <n v="16246"/>
    <n v="9698"/>
    <n v="8051"/>
    <n v="3706"/>
    <n v="2940"/>
    <n v="1312"/>
    <n v="1023"/>
    <n v="634"/>
    <n v="41544"/>
    <n v="35558"/>
    <n v="40746"/>
    <n v="40867"/>
    <n v="42627"/>
    <n v="36873"/>
    <n v="27573"/>
    <n v="21231"/>
    <n v="14157"/>
    <n v="11019"/>
    <n v="7142"/>
    <n v="6184"/>
    <n v="3402"/>
    <n v="3301"/>
    <n v="1588"/>
    <n v="1324"/>
    <n v="795"/>
    <n v="85198"/>
    <n v="71357"/>
    <n v="76157"/>
    <n v="77954"/>
    <n v="87660"/>
    <n v="80040"/>
    <n v="65126"/>
    <n v="51117"/>
    <n v="35034"/>
    <n v="27265"/>
    <n v="16840"/>
    <n v="14235"/>
    <n v="7108"/>
    <n v="6241"/>
    <n v="2900"/>
    <n v="2347"/>
    <n v="1429"/>
  </r>
  <r>
    <s v="NGA"/>
    <x v="0"/>
    <m/>
    <x v="32"/>
    <m/>
    <s v="OGBA/EGBEMA/NDONI"/>
    <m/>
    <n v="187929"/>
    <n v="178769"/>
    <n v="366698"/>
    <n v="23297"/>
    <n v="23639"/>
    <n v="24155"/>
    <n v="22940"/>
    <n v="19071"/>
    <n v="14241"/>
    <n v="11846"/>
    <n v="10114"/>
    <n v="9283"/>
    <n v="7824"/>
    <n v="5978"/>
    <n v="5141"/>
    <n v="3626"/>
    <n v="3091"/>
    <n v="1809"/>
    <n v="1274"/>
    <n v="600"/>
    <n v="22137"/>
    <n v="22069"/>
    <n v="22286"/>
    <n v="20606"/>
    <n v="16411"/>
    <n v="13348"/>
    <n v="11700"/>
    <n v="11197"/>
    <n v="8995"/>
    <n v="8027"/>
    <n v="5605"/>
    <n v="5594"/>
    <n v="3474"/>
    <n v="3223"/>
    <n v="1895"/>
    <n v="1482"/>
    <n v="720"/>
    <n v="45434"/>
    <n v="45708"/>
    <n v="46441"/>
    <n v="43546"/>
    <n v="35482"/>
    <n v="27589"/>
    <n v="23546"/>
    <n v="21311"/>
    <n v="18278"/>
    <n v="15851"/>
    <n v="11583"/>
    <n v="10735"/>
    <n v="7100"/>
    <n v="6314"/>
    <n v="3704"/>
    <n v="2756"/>
    <n v="1320"/>
  </r>
  <r>
    <s v="NGA"/>
    <x v="0"/>
    <m/>
    <x v="32"/>
    <m/>
    <s v="OGU/BOLO"/>
    <m/>
    <n v="49401"/>
    <n v="47570"/>
    <n v="96971"/>
    <n v="5908"/>
    <n v="6350"/>
    <n v="6471"/>
    <n v="6146"/>
    <n v="5040"/>
    <n v="3644"/>
    <n v="2919"/>
    <n v="2635"/>
    <n v="2415"/>
    <n v="2022"/>
    <n v="1559"/>
    <n v="1535"/>
    <n v="1028"/>
    <n v="791"/>
    <n v="552"/>
    <n v="275"/>
    <n v="111"/>
    <n v="5667"/>
    <n v="5935"/>
    <n v="5980"/>
    <n v="5481"/>
    <n v="4023"/>
    <n v="3286"/>
    <n v="2997"/>
    <n v="2902"/>
    <n v="2429"/>
    <n v="2221"/>
    <n v="1403"/>
    <n v="1703"/>
    <n v="1397"/>
    <n v="1126"/>
    <n v="465"/>
    <n v="420"/>
    <n v="135"/>
    <n v="11575"/>
    <n v="12285"/>
    <n v="12451"/>
    <n v="11627"/>
    <n v="9063"/>
    <n v="6930"/>
    <n v="5916"/>
    <n v="5537"/>
    <n v="4844"/>
    <n v="4243"/>
    <n v="2962"/>
    <n v="3238"/>
    <n v="2425"/>
    <n v="1917"/>
    <n v="1017"/>
    <n v="695"/>
    <n v="246"/>
  </r>
  <r>
    <s v="NGA"/>
    <x v="0"/>
    <m/>
    <x v="32"/>
    <m/>
    <s v="OKRIKA"/>
    <m/>
    <n v="146599"/>
    <n v="139722"/>
    <n v="286321"/>
    <n v="16486"/>
    <n v="18452"/>
    <n v="19216"/>
    <n v="18711"/>
    <n v="15023"/>
    <n v="10870"/>
    <n v="8802"/>
    <n v="7944"/>
    <n v="7411"/>
    <n v="6282"/>
    <n v="4736"/>
    <n v="4288"/>
    <n v="2895"/>
    <n v="2592"/>
    <n v="1512"/>
    <n v="949"/>
    <n v="430"/>
    <n v="15545"/>
    <n v="17108"/>
    <n v="18007"/>
    <n v="16457"/>
    <n v="12086"/>
    <n v="10336"/>
    <n v="9267"/>
    <n v="9323"/>
    <n v="7377"/>
    <n v="6672"/>
    <n v="4505"/>
    <n v="4557"/>
    <n v="3212"/>
    <n v="2765"/>
    <n v="1117"/>
    <n v="787"/>
    <n v="601"/>
    <n v="32031"/>
    <n v="35560"/>
    <n v="37223"/>
    <n v="35168"/>
    <n v="27109"/>
    <n v="21206"/>
    <n v="18069"/>
    <n v="17267"/>
    <n v="14788"/>
    <n v="12954"/>
    <n v="9241"/>
    <n v="8845"/>
    <n v="6107"/>
    <n v="5357"/>
    <n v="2629"/>
    <n v="1736"/>
    <n v="1031"/>
  </r>
  <r>
    <s v="NGA"/>
    <x v="0"/>
    <m/>
    <x v="32"/>
    <m/>
    <s v="OMUMA"/>
    <m/>
    <n v="63990"/>
    <n v="62530"/>
    <n v="126520"/>
    <n v="7263"/>
    <n v="7832"/>
    <n v="8218"/>
    <n v="8330"/>
    <n v="6689"/>
    <n v="4734"/>
    <n v="3850"/>
    <n v="3400"/>
    <n v="3276"/>
    <n v="2748"/>
    <n v="2345"/>
    <n v="1487"/>
    <n v="1650"/>
    <n v="1045"/>
    <n v="662"/>
    <n v="249"/>
    <n v="212"/>
    <n v="6901"/>
    <n v="7313"/>
    <n v="7865"/>
    <n v="7678"/>
    <n v="5663"/>
    <n v="4612"/>
    <n v="4267"/>
    <n v="4107"/>
    <n v="3374"/>
    <n v="2983"/>
    <n v="2373"/>
    <n v="1507"/>
    <n v="1385"/>
    <n v="1381"/>
    <n v="536"/>
    <n v="304"/>
    <n v="281"/>
    <n v="14164"/>
    <n v="15145"/>
    <n v="16083"/>
    <n v="16008"/>
    <n v="12352"/>
    <n v="9346"/>
    <n v="8117"/>
    <n v="7507"/>
    <n v="6650"/>
    <n v="5731"/>
    <n v="4718"/>
    <n v="2994"/>
    <n v="3035"/>
    <n v="2426"/>
    <n v="1198"/>
    <n v="553"/>
    <n v="493"/>
  </r>
  <r>
    <s v="NGA"/>
    <x v="0"/>
    <m/>
    <x v="32"/>
    <m/>
    <s v="OPOBO/NKORO"/>
    <m/>
    <n v="108719"/>
    <n v="106446"/>
    <n v="215165"/>
    <n v="13284"/>
    <n v="13765"/>
    <n v="14170"/>
    <n v="13495"/>
    <n v="10566"/>
    <n v="7927"/>
    <n v="6330"/>
    <n v="5777"/>
    <n v="5360"/>
    <n v="4812"/>
    <n v="3936"/>
    <n v="2994"/>
    <n v="2240"/>
    <n v="1684"/>
    <n v="1186"/>
    <n v="753"/>
    <n v="440"/>
    <n v="12606"/>
    <n v="12850"/>
    <n v="13273"/>
    <n v="12152"/>
    <n v="8990"/>
    <n v="7619"/>
    <n v="6930"/>
    <n v="7054"/>
    <n v="5571"/>
    <n v="5242"/>
    <n v="3905"/>
    <n v="3294"/>
    <n v="2431"/>
    <n v="2265"/>
    <n v="830"/>
    <n v="870"/>
    <n v="564"/>
    <n v="25890"/>
    <n v="26615"/>
    <n v="27443"/>
    <n v="25647"/>
    <n v="19556"/>
    <n v="15546"/>
    <n v="13260"/>
    <n v="12831"/>
    <n v="10931"/>
    <n v="10054"/>
    <n v="7841"/>
    <n v="6288"/>
    <n v="4671"/>
    <n v="3949"/>
    <n v="2016"/>
    <n v="1623"/>
    <n v="1004"/>
  </r>
  <r>
    <s v="NGA"/>
    <x v="0"/>
    <m/>
    <x v="32"/>
    <m/>
    <s v="OYIGBO"/>
    <m/>
    <n v="81609"/>
    <n v="78834"/>
    <n v="160443"/>
    <n v="10289"/>
    <n v="9715"/>
    <n v="10033"/>
    <n v="9207"/>
    <n v="7767"/>
    <n v="6382"/>
    <n v="5842"/>
    <n v="5177"/>
    <n v="4651"/>
    <n v="4042"/>
    <n v="2819"/>
    <n v="2202"/>
    <n v="1395"/>
    <n v="1012"/>
    <n v="507"/>
    <n v="371"/>
    <n v="198"/>
    <n v="9844"/>
    <n v="9642"/>
    <n v="10695"/>
    <n v="9520"/>
    <n v="7442"/>
    <n v="6485"/>
    <n v="5712"/>
    <n v="5003"/>
    <n v="3792"/>
    <n v="3220"/>
    <n v="2284"/>
    <n v="1778"/>
    <n v="1218"/>
    <n v="1059"/>
    <n v="541"/>
    <n v="379"/>
    <n v="220"/>
    <n v="20133"/>
    <n v="19357"/>
    <n v="20728"/>
    <n v="18727"/>
    <n v="15209"/>
    <n v="12867"/>
    <n v="11554"/>
    <n v="10180"/>
    <n v="8443"/>
    <n v="7262"/>
    <n v="5103"/>
    <n v="3980"/>
    <n v="2613"/>
    <n v="2071"/>
    <n v="1048"/>
    <n v="750"/>
    <n v="418"/>
  </r>
  <r>
    <s v="NGA"/>
    <x v="0"/>
    <m/>
    <x v="32"/>
    <m/>
    <s v="PORT HARCOURT"/>
    <m/>
    <n v="302651"/>
    <n v="271548"/>
    <n v="574199"/>
    <n v="30207"/>
    <n v="28359"/>
    <n v="31092"/>
    <n v="32551"/>
    <n v="36952"/>
    <n v="34244"/>
    <n v="27573"/>
    <n v="22222"/>
    <n v="16857"/>
    <n v="14382"/>
    <n v="9015"/>
    <n v="8231"/>
    <n v="4142"/>
    <n v="3515"/>
    <n v="1632"/>
    <n v="1086"/>
    <n v="591"/>
    <n v="28959"/>
    <n v="28292"/>
    <n v="35268"/>
    <n v="34441"/>
    <n v="32462"/>
    <n v="26665"/>
    <n v="20313"/>
    <n v="17163"/>
    <n v="12407"/>
    <n v="10918"/>
    <n v="7275"/>
    <n v="6687"/>
    <n v="3477"/>
    <n v="3305"/>
    <n v="1743"/>
    <n v="1366"/>
    <n v="807"/>
    <n v="59166"/>
    <n v="56651"/>
    <n v="66360"/>
    <n v="66992"/>
    <n v="69414"/>
    <n v="60909"/>
    <n v="47886"/>
    <n v="39385"/>
    <n v="29264"/>
    <n v="25300"/>
    <n v="16290"/>
    <n v="14918"/>
    <n v="7619"/>
    <n v="6820"/>
    <n v="3375"/>
    <n v="2452"/>
    <n v="1398"/>
  </r>
  <r>
    <s v="NGA"/>
    <x v="0"/>
    <m/>
    <x v="32"/>
    <m/>
    <s v="TAI"/>
    <m/>
    <n v="126907"/>
    <n v="120932"/>
    <n v="247839"/>
    <n v="15090"/>
    <n v="15854"/>
    <n v="16475"/>
    <n v="16297"/>
    <n v="12942"/>
    <n v="9409"/>
    <n v="7758"/>
    <n v="6819"/>
    <n v="6406"/>
    <n v="5385"/>
    <n v="4481"/>
    <n v="2889"/>
    <n v="3055"/>
    <n v="1622"/>
    <n v="1381"/>
    <n v="762"/>
    <n v="282"/>
    <n v="14159"/>
    <n v="14724"/>
    <n v="15448"/>
    <n v="14851"/>
    <n v="10942"/>
    <n v="8893"/>
    <n v="8039"/>
    <n v="7733"/>
    <n v="6392"/>
    <n v="5673"/>
    <n v="4658"/>
    <n v="2707"/>
    <n v="3687"/>
    <n v="1110"/>
    <n v="549"/>
    <n v="999"/>
    <n v="368"/>
    <n v="29249"/>
    <n v="30578"/>
    <n v="31923"/>
    <n v="31148"/>
    <n v="23884"/>
    <n v="18302"/>
    <n v="15797"/>
    <n v="14552"/>
    <n v="12798"/>
    <n v="11058"/>
    <n v="9139"/>
    <n v="5596"/>
    <n v="6742"/>
    <n v="2732"/>
    <n v="1930"/>
    <n v="1761"/>
    <n v="650"/>
  </r>
  <r>
    <s v="NGA"/>
    <x v="0"/>
    <m/>
    <x v="33"/>
    <m/>
    <s v="BINJI"/>
    <m/>
    <n v="88863"/>
    <n v="85724"/>
    <n v="174587"/>
    <n v="19044"/>
    <n v="14219"/>
    <n v="10967"/>
    <n v="9132"/>
    <n v="6822"/>
    <n v="5507"/>
    <n v="5035"/>
    <n v="4386"/>
    <n v="3683"/>
    <n v="2735"/>
    <n v="2351"/>
    <n v="1443"/>
    <n v="1538"/>
    <n v="633"/>
    <n v="809"/>
    <n v="309"/>
    <n v="250"/>
    <n v="17381"/>
    <n v="13276"/>
    <n v="9967"/>
    <n v="8612"/>
    <n v="7097"/>
    <n v="6249"/>
    <n v="5396"/>
    <n v="4097"/>
    <n v="3540"/>
    <n v="2401"/>
    <n v="2278"/>
    <n v="1560"/>
    <n v="1602"/>
    <n v="833"/>
    <n v="889"/>
    <n v="259"/>
    <n v="287"/>
    <n v="36425"/>
    <n v="27495"/>
    <n v="20934"/>
    <n v="17744"/>
    <n v="13919"/>
    <n v="11756"/>
    <n v="10431"/>
    <n v="8483"/>
    <n v="7223"/>
    <n v="5136"/>
    <n v="4629"/>
    <n v="3003"/>
    <n v="3140"/>
    <n v="1466"/>
    <n v="1698"/>
    <n v="568"/>
    <n v="537"/>
  </r>
  <r>
    <s v="NGA"/>
    <x v="0"/>
    <m/>
    <x v="33"/>
    <m/>
    <s v="BODINGA"/>
    <m/>
    <n v="117397"/>
    <n v="114725"/>
    <n v="232122"/>
    <n v="23567"/>
    <n v="18890"/>
    <n v="14357"/>
    <n v="11838"/>
    <n v="8380"/>
    <n v="7273"/>
    <n v="6931"/>
    <n v="5695"/>
    <n v="5223"/>
    <n v="3757"/>
    <n v="3491"/>
    <n v="2439"/>
    <n v="2293"/>
    <n v="1172"/>
    <n v="1097"/>
    <n v="645"/>
    <n v="349"/>
    <n v="21963"/>
    <n v="17590"/>
    <n v="13615"/>
    <n v="12086"/>
    <n v="9640"/>
    <n v="8495"/>
    <n v="7170"/>
    <n v="5481"/>
    <n v="4924"/>
    <n v="2960"/>
    <n v="3486"/>
    <n v="1768"/>
    <n v="2323"/>
    <n v="1006"/>
    <n v="1224"/>
    <n v="545"/>
    <n v="449"/>
    <n v="45530"/>
    <n v="36480"/>
    <n v="27972"/>
    <n v="23924"/>
    <n v="18020"/>
    <n v="15768"/>
    <n v="14101"/>
    <n v="11176"/>
    <n v="10147"/>
    <n v="6717"/>
    <n v="6977"/>
    <n v="4207"/>
    <n v="4616"/>
    <n v="2178"/>
    <n v="2321"/>
    <n v="1190"/>
    <n v="798"/>
  </r>
  <r>
    <s v="NGA"/>
    <x v="0"/>
    <m/>
    <x v="33"/>
    <m/>
    <s v="DANGE-SHUNI"/>
    <m/>
    <n v="146802"/>
    <n v="142644"/>
    <n v="289446"/>
    <n v="29143"/>
    <n v="22877"/>
    <n v="17318"/>
    <n v="14154"/>
    <n v="10139"/>
    <n v="9518"/>
    <n v="9194"/>
    <n v="7759"/>
    <n v="6610"/>
    <n v="4389"/>
    <n v="4419"/>
    <n v="3770"/>
    <n v="2807"/>
    <n v="2023"/>
    <n v="1483"/>
    <n v="749"/>
    <n v="450"/>
    <n v="27895"/>
    <n v="22703"/>
    <n v="16161"/>
    <n v="14001"/>
    <n v="12059"/>
    <n v="10524"/>
    <n v="8936"/>
    <n v="6395"/>
    <n v="6305"/>
    <n v="3676"/>
    <n v="4332"/>
    <n v="2447"/>
    <n v="2655"/>
    <n v="1535"/>
    <n v="1689"/>
    <n v="771"/>
    <n v="560"/>
    <n v="57038"/>
    <n v="45580"/>
    <n v="33479"/>
    <n v="28155"/>
    <n v="22198"/>
    <n v="20042"/>
    <n v="18130"/>
    <n v="14154"/>
    <n v="12915"/>
    <n v="8065"/>
    <n v="8751"/>
    <n v="6217"/>
    <n v="5462"/>
    <n v="3558"/>
    <n v="3172"/>
    <n v="1520"/>
    <n v="1010"/>
  </r>
  <r>
    <s v="NGA"/>
    <x v="0"/>
    <m/>
    <x v="33"/>
    <m/>
    <s v="GADA"/>
    <m/>
    <n v="180503"/>
    <n v="184851"/>
    <n v="365354"/>
    <n v="38506"/>
    <n v="31249"/>
    <n v="20352"/>
    <n v="16793"/>
    <n v="11741"/>
    <n v="11361"/>
    <n v="11021"/>
    <n v="9167"/>
    <n v="8375"/>
    <n v="4898"/>
    <n v="5437"/>
    <n v="3438"/>
    <n v="3489"/>
    <n v="1597"/>
    <n v="1786"/>
    <n v="683"/>
    <n v="610"/>
    <n v="36658"/>
    <n v="29699"/>
    <n v="17901"/>
    <n v="17857"/>
    <n v="16815"/>
    <n v="15268"/>
    <n v="13304"/>
    <n v="8803"/>
    <n v="8647"/>
    <n v="4152"/>
    <n v="5414"/>
    <n v="2448"/>
    <n v="3271"/>
    <n v="1464"/>
    <n v="1816"/>
    <n v="630"/>
    <n v="704"/>
    <n v="75164"/>
    <n v="60948"/>
    <n v="38253"/>
    <n v="34650"/>
    <n v="28556"/>
    <n v="26629"/>
    <n v="24325"/>
    <n v="17970"/>
    <n v="17022"/>
    <n v="9050"/>
    <n v="10851"/>
    <n v="5886"/>
    <n v="6760"/>
    <n v="3061"/>
    <n v="3602"/>
    <n v="1313"/>
    <n v="1314"/>
  </r>
  <r>
    <s v="NGA"/>
    <x v="0"/>
    <m/>
    <x v="33"/>
    <m/>
    <s v="GORONYO"/>
    <m/>
    <n v="135343"/>
    <n v="135556"/>
    <n v="270899"/>
    <n v="28389"/>
    <n v="23024"/>
    <n v="16143"/>
    <n v="13040"/>
    <n v="9164"/>
    <n v="8249"/>
    <n v="8157"/>
    <n v="6629"/>
    <n v="6065"/>
    <n v="3640"/>
    <n v="3995"/>
    <n v="2545"/>
    <n v="2569"/>
    <n v="1218"/>
    <n v="1398"/>
    <n v="580"/>
    <n v="538"/>
    <n v="27066"/>
    <n v="21752"/>
    <n v="14404"/>
    <n v="13352"/>
    <n v="11675"/>
    <n v="10231"/>
    <n v="9013"/>
    <n v="6183"/>
    <n v="6155"/>
    <n v="3222"/>
    <n v="4126"/>
    <n v="1945"/>
    <n v="2662"/>
    <n v="1067"/>
    <n v="1498"/>
    <n v="571"/>
    <n v="634"/>
    <n v="55455"/>
    <n v="44776"/>
    <n v="30547"/>
    <n v="26392"/>
    <n v="20839"/>
    <n v="18480"/>
    <n v="17170"/>
    <n v="12812"/>
    <n v="12220"/>
    <n v="6862"/>
    <n v="8121"/>
    <n v="4490"/>
    <n v="5231"/>
    <n v="2285"/>
    <n v="2896"/>
    <n v="1151"/>
    <n v="1172"/>
  </r>
  <r>
    <s v="NGA"/>
    <x v="0"/>
    <m/>
    <x v="33"/>
    <m/>
    <s v="GUDU"/>
    <m/>
    <n v="69013"/>
    <n v="67347"/>
    <n v="136360"/>
    <n v="14029"/>
    <n v="11349"/>
    <n v="8621"/>
    <n v="7163"/>
    <n v="4993"/>
    <n v="4364"/>
    <n v="4025"/>
    <n v="3446"/>
    <n v="2899"/>
    <n v="2113"/>
    <n v="1885"/>
    <n v="1156"/>
    <n v="1088"/>
    <n v="755"/>
    <n v="548"/>
    <n v="314"/>
    <n v="265"/>
    <n v="12909"/>
    <n v="10758"/>
    <n v="8273"/>
    <n v="7005"/>
    <n v="5788"/>
    <n v="4981"/>
    <n v="4037"/>
    <n v="3202"/>
    <n v="2785"/>
    <n v="1869"/>
    <n v="1751"/>
    <n v="1116"/>
    <n v="1165"/>
    <n v="549"/>
    <n v="575"/>
    <n v="282"/>
    <n v="302"/>
    <n v="26938"/>
    <n v="22107"/>
    <n v="16894"/>
    <n v="14168"/>
    <n v="10781"/>
    <n v="9345"/>
    <n v="8062"/>
    <n v="6648"/>
    <n v="5684"/>
    <n v="3982"/>
    <n v="3636"/>
    <n v="2272"/>
    <n v="2253"/>
    <n v="1304"/>
    <n v="1123"/>
    <n v="596"/>
    <n v="567"/>
  </r>
  <r>
    <s v="NGA"/>
    <x v="0"/>
    <m/>
    <x v="33"/>
    <m/>
    <s v="GWADABAWA"/>
    <m/>
    <n v="165054"/>
    <n v="161712"/>
    <n v="326766"/>
    <n v="35150"/>
    <n v="28198"/>
    <n v="19956"/>
    <n v="15683"/>
    <n v="10659"/>
    <n v="9553"/>
    <n v="9881"/>
    <n v="8138"/>
    <n v="7679"/>
    <n v="4664"/>
    <n v="4970"/>
    <n v="3105"/>
    <n v="3152"/>
    <n v="1582"/>
    <n v="1578"/>
    <n v="627"/>
    <n v="479"/>
    <n v="31823"/>
    <n v="25636"/>
    <n v="17052"/>
    <n v="15555"/>
    <n v="14498"/>
    <n v="12804"/>
    <n v="11391"/>
    <n v="7757"/>
    <n v="7463"/>
    <n v="3638"/>
    <n v="4630"/>
    <n v="2321"/>
    <n v="3180"/>
    <n v="1257"/>
    <n v="1638"/>
    <n v="522"/>
    <n v="547"/>
    <n v="66973"/>
    <n v="53834"/>
    <n v="37008"/>
    <n v="31238"/>
    <n v="25157"/>
    <n v="22357"/>
    <n v="21272"/>
    <n v="15895"/>
    <n v="15142"/>
    <n v="8302"/>
    <n v="9600"/>
    <n v="5426"/>
    <n v="6332"/>
    <n v="2839"/>
    <n v="3216"/>
    <n v="1149"/>
    <n v="1026"/>
  </r>
  <r>
    <s v="NGA"/>
    <x v="0"/>
    <m/>
    <x v="33"/>
    <m/>
    <s v="ILLELA"/>
    <m/>
    <n v="74886"/>
    <n v="74120"/>
    <n v="149006"/>
    <n v="16488"/>
    <n v="12191"/>
    <n v="8519"/>
    <n v="6692"/>
    <n v="4611"/>
    <n v="4737"/>
    <n v="4788"/>
    <n v="4223"/>
    <n v="3380"/>
    <n v="2394"/>
    <n v="2174"/>
    <n v="1415"/>
    <n v="1355"/>
    <n v="692"/>
    <n v="665"/>
    <n v="330"/>
    <n v="232"/>
    <n v="14714"/>
    <n v="11213"/>
    <n v="7627"/>
    <n v="7777"/>
    <n v="6692"/>
    <n v="6039"/>
    <n v="5118"/>
    <n v="3620"/>
    <n v="3250"/>
    <n v="1842"/>
    <n v="2159"/>
    <n v="1050"/>
    <n v="1285"/>
    <n v="576"/>
    <n v="618"/>
    <n v="244"/>
    <n v="296"/>
    <n v="31202"/>
    <n v="23404"/>
    <n v="16146"/>
    <n v="14469"/>
    <n v="11303"/>
    <n v="10776"/>
    <n v="9906"/>
    <n v="7843"/>
    <n v="6630"/>
    <n v="4236"/>
    <n v="4333"/>
    <n v="2465"/>
    <n v="2640"/>
    <n v="1268"/>
    <n v="1283"/>
    <n v="574"/>
    <n v="528"/>
  </r>
  <r>
    <s v="NGA"/>
    <x v="0"/>
    <m/>
    <x v="33"/>
    <m/>
    <s v="ISA"/>
    <m/>
    <n v="100975"/>
    <n v="104717"/>
    <n v="205692"/>
    <n v="21369"/>
    <n v="17256"/>
    <n v="12008"/>
    <n v="9634"/>
    <n v="6612"/>
    <n v="6012"/>
    <n v="5966"/>
    <n v="4774"/>
    <n v="4602"/>
    <n v="2682"/>
    <n v="3211"/>
    <n v="1992"/>
    <n v="2061"/>
    <n v="901"/>
    <n v="1040"/>
    <n v="458"/>
    <n v="397"/>
    <n v="19994"/>
    <n v="17706"/>
    <n v="11581"/>
    <n v="9774"/>
    <n v="9070"/>
    <n v="7874"/>
    <n v="7068"/>
    <n v="4931"/>
    <n v="5061"/>
    <n v="2409"/>
    <n v="3128"/>
    <n v="1493"/>
    <n v="1821"/>
    <n v="803"/>
    <n v="1142"/>
    <n v="365"/>
    <n v="497"/>
    <n v="41363"/>
    <n v="34962"/>
    <n v="23589"/>
    <n v="19408"/>
    <n v="15682"/>
    <n v="13886"/>
    <n v="13034"/>
    <n v="9705"/>
    <n v="9663"/>
    <n v="5091"/>
    <n v="6339"/>
    <n v="3485"/>
    <n v="3882"/>
    <n v="1704"/>
    <n v="2182"/>
    <n v="823"/>
    <n v="894"/>
  </r>
  <r>
    <s v="NGA"/>
    <x v="0"/>
    <m/>
    <x v="33"/>
    <m/>
    <s v="KEBBE"/>
    <m/>
    <n v="87143"/>
    <n v="84726"/>
    <n v="171869"/>
    <n v="18199"/>
    <n v="14053"/>
    <n v="11248"/>
    <n v="9148"/>
    <n v="6656"/>
    <n v="4761"/>
    <n v="5151"/>
    <n v="4510"/>
    <n v="3755"/>
    <n v="2670"/>
    <n v="2457"/>
    <n v="1256"/>
    <n v="1310"/>
    <n v="612"/>
    <n v="760"/>
    <n v="260"/>
    <n v="337"/>
    <n v="17182"/>
    <n v="13093"/>
    <n v="10187"/>
    <n v="8487"/>
    <n v="6970"/>
    <n v="6221"/>
    <n v="5321"/>
    <n v="4219"/>
    <n v="3531"/>
    <n v="2453"/>
    <n v="2242"/>
    <n v="1344"/>
    <n v="1441"/>
    <n v="730"/>
    <n v="746"/>
    <n v="308"/>
    <n v="251"/>
    <n v="35381"/>
    <n v="27146"/>
    <n v="21435"/>
    <n v="17635"/>
    <n v="13626"/>
    <n v="10982"/>
    <n v="10472"/>
    <n v="8729"/>
    <n v="7286"/>
    <n v="5123"/>
    <n v="4699"/>
    <n v="2600"/>
    <n v="2751"/>
    <n v="1342"/>
    <n v="1506"/>
    <n v="568"/>
    <n v="588"/>
  </r>
  <r>
    <s v="NGA"/>
    <x v="0"/>
    <m/>
    <x v="33"/>
    <m/>
    <s v="KWARE"/>
    <m/>
    <n v="67462"/>
    <n v="67548"/>
    <n v="135010"/>
    <n v="13848"/>
    <n v="10462"/>
    <n v="8004"/>
    <n v="6431"/>
    <n v="4032"/>
    <n v="4035"/>
    <n v="4060"/>
    <n v="3478"/>
    <n v="3315"/>
    <n v="2122"/>
    <n v="2454"/>
    <n v="1736"/>
    <n v="1432"/>
    <n v="840"/>
    <n v="653"/>
    <n v="350"/>
    <n v="210"/>
    <n v="13379"/>
    <n v="10078"/>
    <n v="7453"/>
    <n v="6521"/>
    <n v="5795"/>
    <n v="4974"/>
    <n v="4508"/>
    <n v="3120"/>
    <n v="3052"/>
    <n v="1688"/>
    <n v="2235"/>
    <n v="1272"/>
    <n v="1380"/>
    <n v="698"/>
    <n v="868"/>
    <n v="253"/>
    <n v="274"/>
    <n v="27227"/>
    <n v="20540"/>
    <n v="15457"/>
    <n v="12952"/>
    <n v="9827"/>
    <n v="9009"/>
    <n v="8568"/>
    <n v="6598"/>
    <n v="6367"/>
    <n v="3810"/>
    <n v="4689"/>
    <n v="3008"/>
    <n v="2812"/>
    <n v="1538"/>
    <n v="1521"/>
    <n v="603"/>
    <n v="484"/>
  </r>
  <r>
    <s v="NGA"/>
    <x v="0"/>
    <m/>
    <x v="33"/>
    <m/>
    <s v="RABAH"/>
    <m/>
    <n v="107378"/>
    <n v="105354"/>
    <n v="212732"/>
    <n v="21684"/>
    <n v="18131"/>
    <n v="13315"/>
    <n v="10391"/>
    <n v="6755"/>
    <n v="6275"/>
    <n v="6501"/>
    <n v="5333"/>
    <n v="5084"/>
    <n v="2937"/>
    <n v="3441"/>
    <n v="2147"/>
    <n v="2300"/>
    <n v="1066"/>
    <n v="1149"/>
    <n v="460"/>
    <n v="409"/>
    <n v="20398"/>
    <n v="16985"/>
    <n v="11496"/>
    <n v="10477"/>
    <n v="9033"/>
    <n v="7708"/>
    <n v="7209"/>
    <n v="4612"/>
    <n v="5044"/>
    <n v="2491"/>
    <n v="3249"/>
    <n v="1535"/>
    <n v="2044"/>
    <n v="906"/>
    <n v="1246"/>
    <n v="377"/>
    <n v="544"/>
    <n v="42082"/>
    <n v="35116"/>
    <n v="24811"/>
    <n v="20868"/>
    <n v="15788"/>
    <n v="13983"/>
    <n v="13710"/>
    <n v="9945"/>
    <n v="10128"/>
    <n v="5428"/>
    <n v="6690"/>
    <n v="3682"/>
    <n v="4344"/>
    <n v="1972"/>
    <n v="2395"/>
    <n v="837"/>
    <n v="953"/>
  </r>
  <r>
    <s v="NGA"/>
    <x v="0"/>
    <m/>
    <x v="33"/>
    <m/>
    <s v="SABON BIRNI"/>
    <m/>
    <n v="118054"/>
    <n v="127216"/>
    <n v="245270"/>
    <n v="25185"/>
    <n v="19845"/>
    <n v="11973"/>
    <n v="10191"/>
    <n v="7215"/>
    <n v="8014"/>
    <n v="8179"/>
    <n v="6368"/>
    <n v="5452"/>
    <n v="3154"/>
    <n v="3636"/>
    <n v="2434"/>
    <n v="2408"/>
    <n v="1445"/>
    <n v="1445"/>
    <n v="577"/>
    <n v="533"/>
    <n v="24701"/>
    <n v="20498"/>
    <n v="12388"/>
    <n v="12059"/>
    <n v="12299"/>
    <n v="10263"/>
    <n v="8398"/>
    <n v="5620"/>
    <n v="6007"/>
    <n v="2783"/>
    <n v="3820"/>
    <n v="1863"/>
    <n v="2679"/>
    <n v="1101"/>
    <n v="1629"/>
    <n v="534"/>
    <n v="574"/>
    <n v="49886"/>
    <n v="40343"/>
    <n v="24361"/>
    <n v="22250"/>
    <n v="19514"/>
    <n v="18277"/>
    <n v="16577"/>
    <n v="11988"/>
    <n v="11459"/>
    <n v="5937"/>
    <n v="7456"/>
    <n v="4297"/>
    <n v="5087"/>
    <n v="2546"/>
    <n v="3074"/>
    <n v="1111"/>
    <n v="1107"/>
  </r>
  <r>
    <s v="NGA"/>
    <x v="0"/>
    <m/>
    <x v="33"/>
    <m/>
    <s v="SHAGARI"/>
    <m/>
    <n v="112866"/>
    <n v="109260"/>
    <n v="222126"/>
    <n v="23805"/>
    <n v="19068"/>
    <n v="13642"/>
    <n v="10968"/>
    <n v="7350"/>
    <n v="6803"/>
    <n v="6557"/>
    <n v="5863"/>
    <n v="5003"/>
    <n v="3293"/>
    <n v="3102"/>
    <n v="2324"/>
    <n v="2070"/>
    <n v="1142"/>
    <n v="1056"/>
    <n v="499"/>
    <n v="321"/>
    <n v="21815"/>
    <n v="18444"/>
    <n v="12826"/>
    <n v="10583"/>
    <n v="9107"/>
    <n v="7873"/>
    <n v="6775"/>
    <n v="4801"/>
    <n v="4507"/>
    <n v="2637"/>
    <n v="3160"/>
    <n v="1661"/>
    <n v="2053"/>
    <n v="1041"/>
    <n v="1097"/>
    <n v="486"/>
    <n v="394"/>
    <n v="45620"/>
    <n v="37512"/>
    <n v="26468"/>
    <n v="21551"/>
    <n v="16457"/>
    <n v="14676"/>
    <n v="13332"/>
    <n v="10664"/>
    <n v="9510"/>
    <n v="5930"/>
    <n v="6262"/>
    <n v="3985"/>
    <n v="4123"/>
    <n v="2183"/>
    <n v="2153"/>
    <n v="985"/>
    <n v="715"/>
  </r>
  <r>
    <s v="NGA"/>
    <x v="0"/>
    <m/>
    <x v="33"/>
    <m/>
    <s v="SILAME"/>
    <m/>
    <n v="74703"/>
    <n v="71700"/>
    <n v="146403"/>
    <n v="15361"/>
    <n v="12299"/>
    <n v="9279"/>
    <n v="7094"/>
    <n v="5014"/>
    <n v="4559"/>
    <n v="4560"/>
    <n v="3945"/>
    <n v="3543"/>
    <n v="2390"/>
    <n v="2132"/>
    <n v="1325"/>
    <n v="1363"/>
    <n v="647"/>
    <n v="684"/>
    <n v="280"/>
    <n v="228"/>
    <n v="14098"/>
    <n v="11322"/>
    <n v="8248"/>
    <n v="7317"/>
    <n v="6201"/>
    <n v="5632"/>
    <n v="4812"/>
    <n v="3407"/>
    <n v="3033"/>
    <n v="1636"/>
    <n v="1886"/>
    <n v="957"/>
    <n v="1237"/>
    <n v="552"/>
    <n v="820"/>
    <n v="288"/>
    <n v="254"/>
    <n v="29459"/>
    <n v="23621"/>
    <n v="17527"/>
    <n v="14411"/>
    <n v="11215"/>
    <n v="10191"/>
    <n v="9372"/>
    <n v="7352"/>
    <n v="6576"/>
    <n v="4026"/>
    <n v="4018"/>
    <n v="2282"/>
    <n v="2600"/>
    <n v="1199"/>
    <n v="1504"/>
    <n v="568"/>
    <n v="482"/>
  </r>
  <r>
    <s v="NGA"/>
    <x v="0"/>
    <m/>
    <x v="33"/>
    <m/>
    <s v="SOKOTO NORTH"/>
    <m/>
    <n v="168880"/>
    <n v="146899"/>
    <n v="315779"/>
    <n v="30785"/>
    <n v="24415"/>
    <n v="24184"/>
    <n v="20545"/>
    <n v="15130"/>
    <n v="11125"/>
    <n v="8894"/>
    <n v="8080"/>
    <n v="6515"/>
    <n v="5200"/>
    <n v="3858"/>
    <n v="3762"/>
    <n v="2236"/>
    <n v="1899"/>
    <n v="1133"/>
    <n v="742"/>
    <n v="377"/>
    <n v="27711"/>
    <n v="21894"/>
    <n v="18756"/>
    <n v="14726"/>
    <n v="11807"/>
    <n v="9843"/>
    <n v="8683"/>
    <n v="7145"/>
    <n v="6528"/>
    <n v="4239"/>
    <n v="4347"/>
    <n v="3290"/>
    <n v="2851"/>
    <n v="1695"/>
    <n v="1826"/>
    <n v="749"/>
    <n v="809"/>
    <n v="58496"/>
    <n v="46309"/>
    <n v="42940"/>
    <n v="35271"/>
    <n v="26937"/>
    <n v="20968"/>
    <n v="17577"/>
    <n v="15225"/>
    <n v="13043"/>
    <n v="9439"/>
    <n v="8205"/>
    <n v="7052"/>
    <n v="5087"/>
    <n v="3594"/>
    <n v="2959"/>
    <n v="1491"/>
    <n v="1186"/>
  </r>
  <r>
    <s v="NGA"/>
    <x v="0"/>
    <m/>
    <x v="33"/>
    <m/>
    <s v="SOKOTO SOUTH"/>
    <m/>
    <n v="140640"/>
    <n v="127266"/>
    <n v="267906"/>
    <n v="23441"/>
    <n v="18801"/>
    <n v="19140"/>
    <n v="16158"/>
    <n v="13444"/>
    <n v="10507"/>
    <n v="8081"/>
    <n v="7483"/>
    <n v="6019"/>
    <n v="4950"/>
    <n v="3502"/>
    <n v="3928"/>
    <n v="1933"/>
    <n v="1473"/>
    <n v="851"/>
    <n v="644"/>
    <n v="285"/>
    <n v="22292"/>
    <n v="18210"/>
    <n v="16959"/>
    <n v="13919"/>
    <n v="10595"/>
    <n v="9026"/>
    <n v="7402"/>
    <n v="6531"/>
    <n v="5857"/>
    <n v="3916"/>
    <n v="3735"/>
    <n v="2710"/>
    <n v="2213"/>
    <n v="1280"/>
    <n v="1370"/>
    <n v="647"/>
    <n v="604"/>
    <n v="45733"/>
    <n v="37011"/>
    <n v="36099"/>
    <n v="30077"/>
    <n v="24039"/>
    <n v="19533"/>
    <n v="15483"/>
    <n v="14014"/>
    <n v="11876"/>
    <n v="8866"/>
    <n v="7237"/>
    <n v="6638"/>
    <n v="4146"/>
    <n v="2753"/>
    <n v="2221"/>
    <n v="1291"/>
    <n v="889"/>
  </r>
  <r>
    <s v="NGA"/>
    <x v="0"/>
    <m/>
    <x v="33"/>
    <m/>
    <s v="TAMBUWAL"/>
    <m/>
    <n v="152282"/>
    <n v="150351"/>
    <n v="302633"/>
    <n v="30953"/>
    <n v="25337"/>
    <n v="20030"/>
    <n v="15413"/>
    <n v="10379"/>
    <n v="9458"/>
    <n v="8544"/>
    <n v="7388"/>
    <n v="6354"/>
    <n v="4648"/>
    <n v="4034"/>
    <n v="3109"/>
    <n v="2543"/>
    <n v="1575"/>
    <n v="1328"/>
    <n v="693"/>
    <n v="496"/>
    <n v="29089"/>
    <n v="24079"/>
    <n v="18398"/>
    <n v="15569"/>
    <n v="12139"/>
    <n v="10754"/>
    <n v="9032"/>
    <n v="7264"/>
    <n v="6299"/>
    <n v="4068"/>
    <n v="4010"/>
    <n v="2658"/>
    <n v="2705"/>
    <n v="1556"/>
    <n v="1613"/>
    <n v="649"/>
    <n v="469"/>
    <n v="60042"/>
    <n v="49416"/>
    <n v="38428"/>
    <n v="30982"/>
    <n v="22518"/>
    <n v="20212"/>
    <n v="17576"/>
    <n v="14652"/>
    <n v="12653"/>
    <n v="8716"/>
    <n v="8044"/>
    <n v="5767"/>
    <n v="5248"/>
    <n v="3131"/>
    <n v="2941"/>
    <n v="1342"/>
    <n v="965"/>
  </r>
  <r>
    <s v="NGA"/>
    <x v="0"/>
    <m/>
    <x v="33"/>
    <m/>
    <s v="TANGAZA"/>
    <m/>
    <n v="79400"/>
    <n v="84646"/>
    <n v="164046"/>
    <n v="16774"/>
    <n v="13638"/>
    <n v="9376"/>
    <n v="7462"/>
    <n v="4832"/>
    <n v="4824"/>
    <n v="4790"/>
    <n v="3846"/>
    <n v="3697"/>
    <n v="2255"/>
    <n v="2529"/>
    <n v="1596"/>
    <n v="1600"/>
    <n v="847"/>
    <n v="780"/>
    <n v="309"/>
    <n v="245"/>
    <n v="16317"/>
    <n v="13353"/>
    <n v="8771"/>
    <n v="8462"/>
    <n v="7342"/>
    <n v="6650"/>
    <n v="5839"/>
    <n v="3925"/>
    <n v="4065"/>
    <n v="1963"/>
    <n v="2678"/>
    <n v="1431"/>
    <n v="1580"/>
    <n v="779"/>
    <n v="865"/>
    <n v="309"/>
    <n v="317"/>
    <n v="33091"/>
    <n v="26991"/>
    <n v="18147"/>
    <n v="15924"/>
    <n v="12174"/>
    <n v="11474"/>
    <n v="10629"/>
    <n v="7771"/>
    <n v="7762"/>
    <n v="4218"/>
    <n v="5207"/>
    <n v="3027"/>
    <n v="3180"/>
    <n v="1626"/>
    <n v="1645"/>
    <n v="618"/>
    <n v="562"/>
  </r>
  <r>
    <s v="NGA"/>
    <x v="0"/>
    <m/>
    <x v="33"/>
    <m/>
    <s v="TURETA"/>
    <m/>
    <n v="52051"/>
    <n v="50315"/>
    <n v="102366"/>
    <n v="11254"/>
    <n v="8532"/>
    <n v="6359"/>
    <n v="5023"/>
    <n v="3749"/>
    <n v="3242"/>
    <n v="3077"/>
    <n v="2509"/>
    <n v="2424"/>
    <n v="1448"/>
    <n v="1296"/>
    <n v="984"/>
    <n v="822"/>
    <n v="489"/>
    <n v="525"/>
    <n v="172"/>
    <n v="146"/>
    <n v="10523"/>
    <n v="8095"/>
    <n v="5828"/>
    <n v="5078"/>
    <n v="4178"/>
    <n v="3559"/>
    <n v="3043"/>
    <n v="2331"/>
    <n v="2169"/>
    <n v="1276"/>
    <n v="1444"/>
    <n v="579"/>
    <n v="847"/>
    <n v="328"/>
    <n v="546"/>
    <n v="191"/>
    <n v="300"/>
    <n v="21777"/>
    <n v="16627"/>
    <n v="12187"/>
    <n v="10101"/>
    <n v="7927"/>
    <n v="6801"/>
    <n v="6120"/>
    <n v="4840"/>
    <n v="4593"/>
    <n v="2724"/>
    <n v="2740"/>
    <n v="1563"/>
    <n v="1669"/>
    <n v="817"/>
    <n v="1071"/>
    <n v="363"/>
    <n v="446"/>
  </r>
  <r>
    <s v="NGA"/>
    <x v="0"/>
    <m/>
    <x v="33"/>
    <m/>
    <s v="WAMAKO"/>
    <m/>
    <n v="102672"/>
    <n v="97229"/>
    <n v="199901"/>
    <n v="18982"/>
    <n v="15033"/>
    <n v="11675"/>
    <n v="9672"/>
    <n v="8441"/>
    <n v="7300"/>
    <n v="6650"/>
    <n v="5714"/>
    <n v="5192"/>
    <n v="3406"/>
    <n v="3363"/>
    <n v="2468"/>
    <n v="2043"/>
    <n v="1158"/>
    <n v="924"/>
    <n v="376"/>
    <n v="275"/>
    <n v="17755"/>
    <n v="14444"/>
    <n v="11327"/>
    <n v="9844"/>
    <n v="9302"/>
    <n v="7605"/>
    <n v="6542"/>
    <n v="4617"/>
    <n v="4581"/>
    <n v="2439"/>
    <n v="2894"/>
    <n v="1518"/>
    <n v="1843"/>
    <n v="847"/>
    <n v="983"/>
    <n v="360"/>
    <n v="328"/>
    <n v="36737"/>
    <n v="29477"/>
    <n v="23002"/>
    <n v="19516"/>
    <n v="17743"/>
    <n v="14905"/>
    <n v="13192"/>
    <n v="10331"/>
    <n v="9773"/>
    <n v="5845"/>
    <n v="6257"/>
    <n v="3986"/>
    <n v="3886"/>
    <n v="2005"/>
    <n v="1907"/>
    <n v="736"/>
    <n v="603"/>
  </r>
  <r>
    <s v="NGA"/>
    <x v="0"/>
    <m/>
    <x v="33"/>
    <m/>
    <s v="WURNO"/>
    <m/>
    <n v="115034"/>
    <n v="112599"/>
    <n v="227633"/>
    <n v="23155"/>
    <n v="18640"/>
    <n v="14932"/>
    <n v="11726"/>
    <n v="7629"/>
    <n v="6754"/>
    <n v="6654"/>
    <n v="5573"/>
    <n v="5125"/>
    <n v="3260"/>
    <n v="3435"/>
    <n v="2406"/>
    <n v="2317"/>
    <n v="1310"/>
    <n v="1198"/>
    <n v="521"/>
    <n v="399"/>
    <n v="21577"/>
    <n v="17829"/>
    <n v="12872"/>
    <n v="10868"/>
    <n v="9450"/>
    <n v="8229"/>
    <n v="7269"/>
    <n v="5125"/>
    <n v="5098"/>
    <n v="2743"/>
    <n v="3532"/>
    <n v="1940"/>
    <n v="2498"/>
    <n v="1025"/>
    <n v="1522"/>
    <n v="543"/>
    <n v="479"/>
    <n v="44732"/>
    <n v="36469"/>
    <n v="27804"/>
    <n v="22594"/>
    <n v="17079"/>
    <n v="14983"/>
    <n v="13923"/>
    <n v="10698"/>
    <n v="10223"/>
    <n v="6003"/>
    <n v="6967"/>
    <n v="4346"/>
    <n v="4815"/>
    <n v="2335"/>
    <n v="2720"/>
    <n v="1064"/>
    <n v="878"/>
  </r>
  <r>
    <s v="NGA"/>
    <x v="0"/>
    <m/>
    <x v="33"/>
    <m/>
    <s v="YABO"/>
    <m/>
    <n v="84439"/>
    <n v="78785"/>
    <n v="163224"/>
    <n v="18048"/>
    <n v="14539"/>
    <n v="10312"/>
    <n v="8362"/>
    <n v="5391"/>
    <n v="4903"/>
    <n v="4686"/>
    <n v="4290"/>
    <n v="3445"/>
    <n v="2743"/>
    <n v="2302"/>
    <n v="1714"/>
    <n v="1554"/>
    <n v="911"/>
    <n v="697"/>
    <n v="338"/>
    <n v="204"/>
    <n v="16268"/>
    <n v="12958"/>
    <n v="9169"/>
    <n v="7344"/>
    <n v="6152"/>
    <n v="5628"/>
    <n v="4898"/>
    <n v="3691"/>
    <n v="3400"/>
    <n v="2038"/>
    <n v="2151"/>
    <n v="1372"/>
    <n v="1457"/>
    <n v="655"/>
    <n v="784"/>
    <n v="452"/>
    <n v="368"/>
    <n v="34316"/>
    <n v="27497"/>
    <n v="19481"/>
    <n v="15706"/>
    <n v="11543"/>
    <n v="10531"/>
    <n v="9584"/>
    <n v="7981"/>
    <n v="6845"/>
    <n v="4781"/>
    <n v="4453"/>
    <n v="3086"/>
    <n v="3011"/>
    <n v="1566"/>
    <n v="1481"/>
    <n v="790"/>
    <n v="572"/>
  </r>
  <r>
    <s v="NGA"/>
    <x v="0"/>
    <m/>
    <x v="34"/>
    <m/>
    <s v="ARDO KOLA"/>
    <m/>
    <n v="63286"/>
    <n v="60755"/>
    <n v="124041"/>
    <n v="11345"/>
    <n v="9687"/>
    <n v="7396"/>
    <n v="6129"/>
    <n v="4888"/>
    <n v="4846"/>
    <n v="4354"/>
    <n v="3926"/>
    <n v="2977"/>
    <n v="2168"/>
    <n v="1704"/>
    <n v="1256"/>
    <n v="1033"/>
    <n v="601"/>
    <n v="534"/>
    <n v="261"/>
    <n v="181"/>
    <n v="10768"/>
    <n v="9515"/>
    <n v="7475"/>
    <n v="6268"/>
    <n v="5567"/>
    <n v="4857"/>
    <n v="3960"/>
    <n v="2949"/>
    <n v="2457"/>
    <n v="1663"/>
    <n v="1544"/>
    <n v="1010"/>
    <n v="1067"/>
    <n v="625"/>
    <n v="566"/>
    <n v="242"/>
    <n v="222"/>
    <n v="22113"/>
    <n v="19202"/>
    <n v="14871"/>
    <n v="12397"/>
    <n v="10455"/>
    <n v="9703"/>
    <n v="8314"/>
    <n v="6875"/>
    <n v="5434"/>
    <n v="3831"/>
    <n v="3248"/>
    <n v="2266"/>
    <n v="2100"/>
    <n v="1226"/>
    <n v="1100"/>
    <n v="503"/>
    <n v="403"/>
  </r>
  <r>
    <s v="NGA"/>
    <x v="0"/>
    <m/>
    <x v="34"/>
    <m/>
    <s v="BALI"/>
    <m/>
    <n v="135312"/>
    <n v="127712"/>
    <n v="263024"/>
    <n v="25455"/>
    <n v="21024"/>
    <n v="16224"/>
    <n v="13942"/>
    <n v="10401"/>
    <n v="9009"/>
    <n v="8621"/>
    <n v="7649"/>
    <n v="6355"/>
    <n v="4749"/>
    <n v="3670"/>
    <n v="2589"/>
    <n v="2100"/>
    <n v="1374"/>
    <n v="1113"/>
    <n v="598"/>
    <n v="439"/>
    <n v="23679"/>
    <n v="20097"/>
    <n v="15349"/>
    <n v="13841"/>
    <n v="11397"/>
    <n v="9766"/>
    <n v="8395"/>
    <n v="6388"/>
    <n v="5340"/>
    <n v="3421"/>
    <n v="2936"/>
    <n v="2082"/>
    <n v="1909"/>
    <n v="1063"/>
    <n v="1061"/>
    <n v="552"/>
    <n v="436"/>
    <n v="49134"/>
    <n v="41121"/>
    <n v="31573"/>
    <n v="27783"/>
    <n v="21798"/>
    <n v="18775"/>
    <n v="17016"/>
    <n v="14037"/>
    <n v="11695"/>
    <n v="8170"/>
    <n v="6606"/>
    <n v="4671"/>
    <n v="4009"/>
    <n v="2437"/>
    <n v="2174"/>
    <n v="1150"/>
    <n v="875"/>
  </r>
  <r>
    <s v="NGA"/>
    <x v="0"/>
    <m/>
    <x v="34"/>
    <m/>
    <s v="DONGA"/>
    <m/>
    <n v="102440"/>
    <n v="98539"/>
    <n v="200979"/>
    <n v="19495"/>
    <n v="15741"/>
    <n v="12774"/>
    <n v="10780"/>
    <n v="8057"/>
    <n v="7071"/>
    <n v="6503"/>
    <n v="5523"/>
    <n v="4518"/>
    <n v="3295"/>
    <n v="2590"/>
    <n v="1843"/>
    <n v="1605"/>
    <n v="963"/>
    <n v="809"/>
    <n v="588"/>
    <n v="285"/>
    <n v="18663"/>
    <n v="15003"/>
    <n v="12155"/>
    <n v="10357"/>
    <n v="8470"/>
    <n v="7429"/>
    <n v="6259"/>
    <n v="4862"/>
    <n v="4011"/>
    <n v="2806"/>
    <n v="2381"/>
    <n v="1702"/>
    <n v="1680"/>
    <n v="1183"/>
    <n v="785"/>
    <n v="454"/>
    <n v="341"/>
    <n v="38159"/>
    <n v="30744"/>
    <n v="24929"/>
    <n v="21137"/>
    <n v="16527"/>
    <n v="14500"/>
    <n v="12762"/>
    <n v="10385"/>
    <n v="8528"/>
    <n v="6100"/>
    <n v="4971"/>
    <n v="3545"/>
    <n v="3285"/>
    <n v="2145"/>
    <n v="1594"/>
    <n v="1042"/>
    <n v="626"/>
  </r>
  <r>
    <s v="NGA"/>
    <x v="0"/>
    <m/>
    <x v="34"/>
    <m/>
    <s v="GASHAKA"/>
    <m/>
    <n v="69979"/>
    <n v="63025"/>
    <n v="133004"/>
    <n v="12573"/>
    <n v="10254"/>
    <n v="8502"/>
    <n v="7718"/>
    <n v="5779"/>
    <n v="5083"/>
    <n v="4679"/>
    <n v="3927"/>
    <n v="3270"/>
    <n v="2450"/>
    <n v="1836"/>
    <n v="1242"/>
    <n v="983"/>
    <n v="692"/>
    <n v="514"/>
    <n v="262"/>
    <n v="215"/>
    <n v="11544"/>
    <n v="9306"/>
    <n v="7802"/>
    <n v="6948"/>
    <n v="5865"/>
    <n v="5018"/>
    <n v="4157"/>
    <n v="3269"/>
    <n v="2640"/>
    <n v="1852"/>
    <n v="1332"/>
    <n v="1137"/>
    <n v="763"/>
    <n v="515"/>
    <n v="430"/>
    <n v="259"/>
    <n v="188"/>
    <n v="24117"/>
    <n v="19560"/>
    <n v="16304"/>
    <n v="14666"/>
    <n v="11644"/>
    <n v="10101"/>
    <n v="8836"/>
    <n v="7196"/>
    <n v="5910"/>
    <n v="4302"/>
    <n v="3168"/>
    <n v="2379"/>
    <n v="1746"/>
    <n v="1207"/>
    <n v="944"/>
    <n v="521"/>
    <n v="403"/>
  </r>
  <r>
    <s v="NGA"/>
    <x v="0"/>
    <m/>
    <x v="34"/>
    <m/>
    <s v="GASSOL"/>
    <m/>
    <n v="159088"/>
    <n v="146395"/>
    <n v="305483"/>
    <n v="30028"/>
    <n v="24388"/>
    <n v="19745"/>
    <n v="16177"/>
    <n v="12573"/>
    <n v="11639"/>
    <n v="10532"/>
    <n v="8934"/>
    <n v="7141"/>
    <n v="5015"/>
    <n v="4150"/>
    <n v="2538"/>
    <n v="2310"/>
    <n v="1503"/>
    <n v="1199"/>
    <n v="743"/>
    <n v="473"/>
    <n v="28056"/>
    <n v="22890"/>
    <n v="17862"/>
    <n v="16065"/>
    <n v="13545"/>
    <n v="11263"/>
    <n v="9183"/>
    <n v="6837"/>
    <n v="5988"/>
    <n v="3749"/>
    <n v="3222"/>
    <n v="2158"/>
    <n v="2060"/>
    <n v="1296"/>
    <n v="1197"/>
    <n v="532"/>
    <n v="492"/>
    <n v="58084"/>
    <n v="47278"/>
    <n v="37607"/>
    <n v="32242"/>
    <n v="26118"/>
    <n v="22902"/>
    <n v="19715"/>
    <n v="15771"/>
    <n v="13129"/>
    <n v="8764"/>
    <n v="7372"/>
    <n v="4696"/>
    <n v="4370"/>
    <n v="2799"/>
    <n v="2396"/>
    <n v="1275"/>
    <n v="965"/>
  </r>
  <r>
    <s v="NGA"/>
    <x v="0"/>
    <m/>
    <x v="34"/>
    <m/>
    <s v="IBI"/>
    <m/>
    <n v="54244"/>
    <n v="52279"/>
    <n v="106523"/>
    <n v="10004"/>
    <n v="8539"/>
    <n v="6333"/>
    <n v="5511"/>
    <n v="4249"/>
    <n v="3885"/>
    <n v="3737"/>
    <n v="3034"/>
    <n v="2538"/>
    <n v="1790"/>
    <n v="1400"/>
    <n v="1006"/>
    <n v="797"/>
    <n v="479"/>
    <n v="436"/>
    <n v="303"/>
    <n v="203"/>
    <n v="9563"/>
    <n v="8247"/>
    <n v="6258"/>
    <n v="5505"/>
    <n v="4959"/>
    <n v="4121"/>
    <n v="3519"/>
    <n v="2477"/>
    <n v="2275"/>
    <n v="1329"/>
    <n v="1205"/>
    <n v="754"/>
    <n v="772"/>
    <n v="426"/>
    <n v="401"/>
    <n v="260"/>
    <n v="208"/>
    <n v="19567"/>
    <n v="16786"/>
    <n v="12591"/>
    <n v="11016"/>
    <n v="9208"/>
    <n v="8006"/>
    <n v="7256"/>
    <n v="5511"/>
    <n v="4813"/>
    <n v="3119"/>
    <n v="2605"/>
    <n v="1760"/>
    <n v="1569"/>
    <n v="905"/>
    <n v="837"/>
    <n v="563"/>
    <n v="411"/>
  </r>
  <r>
    <s v="NGA"/>
    <x v="0"/>
    <m/>
    <x v="34"/>
    <m/>
    <s v="JALINGO"/>
    <m/>
    <n v="102712"/>
    <n v="95563"/>
    <n v="198275"/>
    <n v="16545"/>
    <n v="13732"/>
    <n v="12045"/>
    <n v="10986"/>
    <n v="9499"/>
    <n v="8828"/>
    <n v="7445"/>
    <n v="6815"/>
    <n v="4858"/>
    <n v="4054"/>
    <n v="2558"/>
    <n v="2110"/>
    <n v="1222"/>
    <n v="909"/>
    <n v="568"/>
    <n v="355"/>
    <n v="183"/>
    <n v="15411"/>
    <n v="13734"/>
    <n v="13070"/>
    <n v="11913"/>
    <n v="9361"/>
    <n v="7722"/>
    <n v="6232"/>
    <n v="4947"/>
    <n v="3840"/>
    <n v="2700"/>
    <n v="1905"/>
    <n v="1323"/>
    <n v="1067"/>
    <n v="866"/>
    <n v="755"/>
    <n v="421"/>
    <n v="296"/>
    <n v="31956"/>
    <n v="27466"/>
    <n v="25115"/>
    <n v="22899"/>
    <n v="18860"/>
    <n v="16550"/>
    <n v="13677"/>
    <n v="11762"/>
    <n v="8698"/>
    <n v="6754"/>
    <n v="4463"/>
    <n v="3433"/>
    <n v="2289"/>
    <n v="1775"/>
    <n v="1323"/>
    <n v="776"/>
    <n v="479"/>
  </r>
  <r>
    <s v="NGA"/>
    <x v="0"/>
    <m/>
    <x v="34"/>
    <m/>
    <s v="KARIM LAMIDO"/>
    <m/>
    <n v="124028"/>
    <n v="120106"/>
    <n v="244134"/>
    <n v="24061"/>
    <n v="19117"/>
    <n v="15638"/>
    <n v="12928"/>
    <n v="9876"/>
    <n v="8539"/>
    <n v="7530"/>
    <n v="6628"/>
    <n v="5243"/>
    <n v="4098"/>
    <n v="2923"/>
    <n v="2426"/>
    <n v="1545"/>
    <n v="1276"/>
    <n v="963"/>
    <n v="783"/>
    <n v="454"/>
    <n v="23159"/>
    <n v="18062"/>
    <n v="14810"/>
    <n v="12636"/>
    <n v="10202"/>
    <n v="8768"/>
    <n v="7308"/>
    <n v="5880"/>
    <n v="4770"/>
    <n v="3500"/>
    <n v="2901"/>
    <n v="2469"/>
    <n v="1931"/>
    <n v="1349"/>
    <n v="1194"/>
    <n v="741"/>
    <n v="426"/>
    <n v="47220"/>
    <n v="37179"/>
    <n v="30448"/>
    <n v="25564"/>
    <n v="20078"/>
    <n v="17307"/>
    <n v="14838"/>
    <n v="12508"/>
    <n v="10013"/>
    <n v="7598"/>
    <n v="5824"/>
    <n v="4895"/>
    <n v="3476"/>
    <n v="2625"/>
    <n v="2157"/>
    <n v="1524"/>
    <n v="880"/>
  </r>
  <r>
    <s v="NGA"/>
    <x v="0"/>
    <m/>
    <x v="34"/>
    <m/>
    <s v="KURMI"/>
    <m/>
    <n v="58106"/>
    <n v="55819"/>
    <n v="113925"/>
    <n v="11123"/>
    <n v="8647"/>
    <n v="7220"/>
    <n v="6279"/>
    <n v="4602"/>
    <n v="4068"/>
    <n v="3536"/>
    <n v="3177"/>
    <n v="2513"/>
    <n v="1995"/>
    <n v="1407"/>
    <n v="1119"/>
    <n v="866"/>
    <n v="693"/>
    <n v="463"/>
    <n v="240"/>
    <n v="158"/>
    <n v="10666"/>
    <n v="8126"/>
    <n v="6749"/>
    <n v="5906"/>
    <n v="4815"/>
    <n v="4166"/>
    <n v="3497"/>
    <n v="2868"/>
    <n v="2309"/>
    <n v="1700"/>
    <n v="1397"/>
    <n v="1062"/>
    <n v="910"/>
    <n v="719"/>
    <n v="499"/>
    <n v="251"/>
    <n v="179"/>
    <n v="21789"/>
    <n v="16773"/>
    <n v="13969"/>
    <n v="12185"/>
    <n v="9417"/>
    <n v="8234"/>
    <n v="7033"/>
    <n v="6045"/>
    <n v="4822"/>
    <n v="3695"/>
    <n v="2804"/>
    <n v="2181"/>
    <n v="1776"/>
    <n v="1412"/>
    <n v="962"/>
    <n v="491"/>
    <n v="337"/>
  </r>
  <r>
    <s v="NGA"/>
    <x v="0"/>
    <m/>
    <x v="34"/>
    <m/>
    <s v="LAU"/>
    <m/>
    <n v="63684"/>
    <n v="60637"/>
    <n v="124321"/>
    <n v="11249"/>
    <n v="9765"/>
    <n v="7906"/>
    <n v="6696"/>
    <n v="5073"/>
    <n v="4549"/>
    <n v="4144"/>
    <n v="3545"/>
    <n v="2863"/>
    <n v="2178"/>
    <n v="1600"/>
    <n v="1316"/>
    <n v="903"/>
    <n v="737"/>
    <n v="560"/>
    <n v="378"/>
    <n v="222"/>
    <n v="10388"/>
    <n v="9029"/>
    <n v="7486"/>
    <n v="6563"/>
    <n v="5604"/>
    <n v="4604"/>
    <n v="3822"/>
    <n v="3083"/>
    <n v="2623"/>
    <n v="1861"/>
    <n v="1596"/>
    <n v="1094"/>
    <n v="976"/>
    <n v="722"/>
    <n v="615"/>
    <n v="341"/>
    <n v="230"/>
    <n v="21637"/>
    <n v="18794"/>
    <n v="15392"/>
    <n v="13259"/>
    <n v="10677"/>
    <n v="9153"/>
    <n v="7966"/>
    <n v="6628"/>
    <n v="5486"/>
    <n v="4039"/>
    <n v="3196"/>
    <n v="2410"/>
    <n v="1879"/>
    <n v="1459"/>
    <n v="1175"/>
    <n v="719"/>
    <n v="452"/>
  </r>
  <r>
    <s v="NGA"/>
    <x v="0"/>
    <m/>
    <x v="34"/>
    <m/>
    <s v="SARDAUNA"/>
    <m/>
    <n v="140109"/>
    <n v="139904"/>
    <n v="280013"/>
    <n v="26340"/>
    <n v="21657"/>
    <n v="17766"/>
    <n v="14413"/>
    <n v="10985"/>
    <n v="9862"/>
    <n v="8520"/>
    <n v="7783"/>
    <n v="5755"/>
    <n v="4646"/>
    <n v="3216"/>
    <n v="2915"/>
    <n v="1939"/>
    <n v="1599"/>
    <n v="1220"/>
    <n v="897"/>
    <n v="596"/>
    <n v="25779"/>
    <n v="21333"/>
    <n v="17547"/>
    <n v="14643"/>
    <n v="11917"/>
    <n v="10115"/>
    <n v="8245"/>
    <n v="6874"/>
    <n v="5856"/>
    <n v="4337"/>
    <n v="3518"/>
    <n v="2782"/>
    <n v="2204"/>
    <n v="1647"/>
    <n v="1440"/>
    <n v="978"/>
    <n v="689"/>
    <n v="52119"/>
    <n v="42990"/>
    <n v="35313"/>
    <n v="29056"/>
    <n v="22902"/>
    <n v="19977"/>
    <n v="16765"/>
    <n v="14657"/>
    <n v="11611"/>
    <n v="8983"/>
    <n v="6734"/>
    <n v="5697"/>
    <n v="4143"/>
    <n v="3246"/>
    <n v="2660"/>
    <n v="1875"/>
    <n v="1285"/>
  </r>
  <r>
    <s v="NGA"/>
    <x v="0"/>
    <m/>
    <x v="34"/>
    <m/>
    <s v="TAKUM"/>
    <m/>
    <n v="100025"/>
    <n v="97095"/>
    <n v="197120"/>
    <n v="19430"/>
    <n v="15131"/>
    <n v="12476"/>
    <n v="10404"/>
    <n v="7980"/>
    <n v="6989"/>
    <n v="6258"/>
    <n v="5282"/>
    <n v="4280"/>
    <n v="3350"/>
    <n v="2719"/>
    <n v="1617"/>
    <n v="1514"/>
    <n v="1050"/>
    <n v="754"/>
    <n v="493"/>
    <n v="298"/>
    <n v="18824"/>
    <n v="14449"/>
    <n v="11709"/>
    <n v="10213"/>
    <n v="8312"/>
    <n v="7253"/>
    <n v="6007"/>
    <n v="4743"/>
    <n v="4015"/>
    <n v="2929"/>
    <n v="2456"/>
    <n v="1695"/>
    <n v="1778"/>
    <n v="1208"/>
    <n v="784"/>
    <n v="379"/>
    <n v="343"/>
    <n v="38255"/>
    <n v="29580"/>
    <n v="24185"/>
    <n v="20617"/>
    <n v="16292"/>
    <n v="14242"/>
    <n v="12265"/>
    <n v="10025"/>
    <n v="8294"/>
    <n v="6278"/>
    <n v="5175"/>
    <n v="3312"/>
    <n v="3292"/>
    <n v="2257"/>
    <n v="1538"/>
    <n v="872"/>
    <n v="641"/>
  </r>
  <r>
    <s v="NGA"/>
    <x v="0"/>
    <m/>
    <x v="34"/>
    <m/>
    <s v="USSA"/>
    <m/>
    <n v="71346"/>
    <n v="67711"/>
    <n v="139057"/>
    <n v="13521"/>
    <n v="10746"/>
    <n v="8876"/>
    <n v="7345"/>
    <n v="5584"/>
    <n v="4925"/>
    <n v="4437"/>
    <n v="3850"/>
    <n v="3237"/>
    <n v="2454"/>
    <n v="1868"/>
    <n v="1456"/>
    <n v="1122"/>
    <n v="760"/>
    <n v="542"/>
    <n v="392"/>
    <n v="231"/>
    <n v="12855"/>
    <n v="9924"/>
    <n v="8231"/>
    <n v="6987"/>
    <n v="5725"/>
    <n v="5035"/>
    <n v="4319"/>
    <n v="3527"/>
    <n v="2969"/>
    <n v="2102"/>
    <n v="1663"/>
    <n v="1411"/>
    <n v="1125"/>
    <n v="950"/>
    <n v="496"/>
    <n v="179"/>
    <n v="209"/>
    <n v="26374"/>
    <n v="20670"/>
    <n v="17107"/>
    <n v="14332"/>
    <n v="11309"/>
    <n v="9960"/>
    <n v="8756"/>
    <n v="7377"/>
    <n v="6208"/>
    <n v="4558"/>
    <n v="3531"/>
    <n v="2867"/>
    <n v="2247"/>
    <n v="1712"/>
    <n v="1038"/>
    <n v="571"/>
    <n v="440"/>
  </r>
  <r>
    <s v="NGA"/>
    <x v="0"/>
    <m/>
    <x v="34"/>
    <m/>
    <s v="WUKARI"/>
    <m/>
    <n v="165147"/>
    <n v="149700"/>
    <n v="314847"/>
    <n v="29011"/>
    <n v="23873"/>
    <n v="20891"/>
    <n v="18754"/>
    <n v="13285"/>
    <n v="11724"/>
    <n v="10941"/>
    <n v="9089"/>
    <n v="7996"/>
    <n v="5788"/>
    <n v="4369"/>
    <n v="2822"/>
    <n v="2416"/>
    <n v="1727"/>
    <n v="1152"/>
    <n v="841"/>
    <n v="468"/>
    <n v="25654"/>
    <n v="21694"/>
    <n v="18760"/>
    <n v="17061"/>
    <n v="13901"/>
    <n v="11787"/>
    <n v="10217"/>
    <n v="7757"/>
    <n v="6405"/>
    <n v="4452"/>
    <n v="3514"/>
    <n v="2537"/>
    <n v="2199"/>
    <n v="1490"/>
    <n v="1092"/>
    <n v="730"/>
    <n v="450"/>
    <n v="54665"/>
    <n v="45567"/>
    <n v="39651"/>
    <n v="35815"/>
    <n v="27186"/>
    <n v="23511"/>
    <n v="21158"/>
    <n v="16846"/>
    <n v="14401"/>
    <n v="10240"/>
    <n v="7883"/>
    <n v="5359"/>
    <n v="4615"/>
    <n v="3217"/>
    <n v="2244"/>
    <n v="1571"/>
    <n v="918"/>
  </r>
  <r>
    <s v="NGA"/>
    <x v="0"/>
    <m/>
    <x v="34"/>
    <m/>
    <s v="YORRO"/>
    <m/>
    <n v="61675"/>
    <n v="59466"/>
    <n v="121141"/>
    <n v="10398"/>
    <n v="9163"/>
    <n v="7642"/>
    <n v="6640"/>
    <n v="4922"/>
    <n v="4387"/>
    <n v="4084"/>
    <n v="3533"/>
    <n v="2868"/>
    <n v="2164"/>
    <n v="1650"/>
    <n v="1246"/>
    <n v="1029"/>
    <n v="763"/>
    <n v="604"/>
    <n v="380"/>
    <n v="202"/>
    <n v="9877"/>
    <n v="8792"/>
    <n v="7281"/>
    <n v="6322"/>
    <n v="5282"/>
    <n v="4575"/>
    <n v="3792"/>
    <n v="3117"/>
    <n v="2622"/>
    <n v="1918"/>
    <n v="1545"/>
    <n v="1200"/>
    <n v="1150"/>
    <n v="831"/>
    <n v="597"/>
    <n v="335"/>
    <n v="230"/>
    <n v="20275"/>
    <n v="17955"/>
    <n v="14923"/>
    <n v="12962"/>
    <n v="10204"/>
    <n v="8962"/>
    <n v="7876"/>
    <n v="6650"/>
    <n v="5490"/>
    <n v="4082"/>
    <n v="3195"/>
    <n v="2446"/>
    <n v="2179"/>
    <n v="1594"/>
    <n v="1201"/>
    <n v="715"/>
    <n v="432"/>
  </r>
  <r>
    <s v="NGA"/>
    <x v="0"/>
    <m/>
    <x v="34"/>
    <m/>
    <s v="ZING"/>
    <m/>
    <n v="91832"/>
    <n v="88784"/>
    <n v="180616"/>
    <n v="16241"/>
    <n v="14066"/>
    <n v="11770"/>
    <n v="9984"/>
    <n v="7351"/>
    <n v="6510"/>
    <n v="5738"/>
    <n v="5037"/>
    <n v="3942"/>
    <n v="3192"/>
    <n v="2276"/>
    <n v="1758"/>
    <n v="1310"/>
    <n v="1020"/>
    <n v="787"/>
    <n v="524"/>
    <n v="326"/>
    <n v="15411"/>
    <n v="13387"/>
    <n v="11006"/>
    <n v="9503"/>
    <n v="7850"/>
    <n v="6780"/>
    <n v="5573"/>
    <n v="4512"/>
    <n v="3721"/>
    <n v="2687"/>
    <n v="2236"/>
    <n v="1735"/>
    <n v="1517"/>
    <n v="1140"/>
    <n v="827"/>
    <n v="591"/>
    <n v="308"/>
    <n v="31652"/>
    <n v="27453"/>
    <n v="22776"/>
    <n v="19487"/>
    <n v="15201"/>
    <n v="13290"/>
    <n v="11311"/>
    <n v="9549"/>
    <n v="7663"/>
    <n v="5879"/>
    <n v="4512"/>
    <n v="3493"/>
    <n v="2827"/>
    <n v="2160"/>
    <n v="1614"/>
    <n v="1115"/>
    <n v="634"/>
  </r>
  <r>
    <s v="NGA"/>
    <x v="0"/>
    <m/>
    <x v="35"/>
    <m/>
    <s v="BADE"/>
    <m/>
    <n v="106490"/>
    <n v="94200"/>
    <n v="200690"/>
    <n v="20133"/>
    <n v="16090"/>
    <n v="13440"/>
    <n v="11672"/>
    <n v="8599"/>
    <n v="7293"/>
    <n v="7013"/>
    <n v="5603"/>
    <n v="4923"/>
    <n v="3164"/>
    <n v="2755"/>
    <n v="1565"/>
    <n v="1623"/>
    <n v="853"/>
    <n v="975"/>
    <n v="460"/>
    <n v="329"/>
    <n v="18082"/>
    <n v="14745"/>
    <n v="11381"/>
    <n v="10284"/>
    <n v="8587"/>
    <n v="7313"/>
    <n v="5907"/>
    <n v="4243"/>
    <n v="3863"/>
    <n v="2248"/>
    <n v="2638"/>
    <n v="1119"/>
    <n v="1456"/>
    <n v="683"/>
    <n v="920"/>
    <n v="374"/>
    <n v="357"/>
    <n v="38215"/>
    <n v="30835"/>
    <n v="24821"/>
    <n v="21956"/>
    <n v="17186"/>
    <n v="14606"/>
    <n v="12920"/>
    <n v="9846"/>
    <n v="8786"/>
    <n v="5412"/>
    <n v="5393"/>
    <n v="2684"/>
    <n v="3079"/>
    <n v="1536"/>
    <n v="1895"/>
    <n v="834"/>
    <n v="686"/>
  </r>
  <r>
    <s v="NGA"/>
    <x v="0"/>
    <m/>
    <x v="35"/>
    <m/>
    <s v="BURSARI"/>
    <m/>
    <n v="76750"/>
    <n v="72352"/>
    <n v="149102"/>
    <n v="14302"/>
    <n v="12166"/>
    <n v="9029"/>
    <n v="7350"/>
    <n v="5766"/>
    <n v="5356"/>
    <n v="5384"/>
    <n v="3932"/>
    <n v="3661"/>
    <n v="2158"/>
    <n v="2468"/>
    <n v="1292"/>
    <n v="1612"/>
    <n v="737"/>
    <n v="927"/>
    <n v="345"/>
    <n v="265"/>
    <n v="13024"/>
    <n v="11054"/>
    <n v="8798"/>
    <n v="7990"/>
    <n v="6649"/>
    <n v="5142"/>
    <n v="4563"/>
    <n v="3169"/>
    <n v="3353"/>
    <n v="1851"/>
    <n v="2100"/>
    <n v="1173"/>
    <n v="1371"/>
    <n v="664"/>
    <n v="915"/>
    <n v="277"/>
    <n v="259"/>
    <n v="27326"/>
    <n v="23220"/>
    <n v="17827"/>
    <n v="15340"/>
    <n v="12415"/>
    <n v="10498"/>
    <n v="9947"/>
    <n v="7101"/>
    <n v="7014"/>
    <n v="4009"/>
    <n v="4568"/>
    <n v="2465"/>
    <n v="2983"/>
    <n v="1401"/>
    <n v="1842"/>
    <n v="622"/>
    <n v="524"/>
  </r>
  <r>
    <s v="NGA"/>
    <x v="0"/>
    <m/>
    <x v="35"/>
    <m/>
    <s v="DAMATURU"/>
    <m/>
    <n v="70684"/>
    <n v="56357"/>
    <n v="127041"/>
    <n v="11356"/>
    <n v="9962"/>
    <n v="9424"/>
    <n v="7695"/>
    <n v="6818"/>
    <n v="6141"/>
    <n v="5195"/>
    <n v="3829"/>
    <n v="3248"/>
    <n v="2121"/>
    <n v="1694"/>
    <n v="1173"/>
    <n v="904"/>
    <n v="391"/>
    <n v="418"/>
    <n v="184"/>
    <n v="131"/>
    <n v="10246"/>
    <n v="8366"/>
    <n v="7354"/>
    <n v="7880"/>
    <n v="5498"/>
    <n v="4333"/>
    <n v="3460"/>
    <n v="2304"/>
    <n v="2056"/>
    <n v="1107"/>
    <n v="1297"/>
    <n v="656"/>
    <n v="738"/>
    <n v="354"/>
    <n v="404"/>
    <n v="150"/>
    <n v="154"/>
    <n v="21602"/>
    <n v="18328"/>
    <n v="16778"/>
    <n v="15575"/>
    <n v="12316"/>
    <n v="10474"/>
    <n v="8655"/>
    <n v="6133"/>
    <n v="5304"/>
    <n v="3228"/>
    <n v="2991"/>
    <n v="1829"/>
    <n v="1642"/>
    <n v="745"/>
    <n v="822"/>
    <n v="334"/>
    <n v="285"/>
  </r>
  <r>
    <s v="NGA"/>
    <x v="0"/>
    <m/>
    <x v="35"/>
    <m/>
    <s v="FIKA"/>
    <m/>
    <n v="69483"/>
    <n v="67642"/>
    <n v="137125"/>
    <n v="12782"/>
    <n v="11342"/>
    <n v="8930"/>
    <n v="7611"/>
    <n v="5511"/>
    <n v="4767"/>
    <n v="4427"/>
    <n v="3453"/>
    <n v="2849"/>
    <n v="1795"/>
    <n v="1862"/>
    <n v="1120"/>
    <n v="1107"/>
    <n v="635"/>
    <n v="691"/>
    <n v="323"/>
    <n v="278"/>
    <n v="12359"/>
    <n v="10920"/>
    <n v="9086"/>
    <n v="7656"/>
    <n v="5811"/>
    <n v="4713"/>
    <n v="3801"/>
    <n v="2732"/>
    <n v="2715"/>
    <n v="1664"/>
    <n v="1889"/>
    <n v="1027"/>
    <n v="1310"/>
    <n v="613"/>
    <n v="762"/>
    <n v="281"/>
    <n v="303"/>
    <n v="25141"/>
    <n v="22262"/>
    <n v="18016"/>
    <n v="15267"/>
    <n v="11322"/>
    <n v="9480"/>
    <n v="8228"/>
    <n v="6185"/>
    <n v="5564"/>
    <n v="3459"/>
    <n v="3751"/>
    <n v="2147"/>
    <n v="2417"/>
    <n v="1248"/>
    <n v="1453"/>
    <n v="604"/>
    <n v="581"/>
  </r>
  <r>
    <s v="NGA"/>
    <x v="0"/>
    <m/>
    <x v="35"/>
    <m/>
    <s v="FUNE"/>
    <m/>
    <n v="318535"/>
    <n v="316987"/>
    <n v="635522"/>
    <n v="64516"/>
    <n v="53669"/>
    <n v="39129"/>
    <n v="32082"/>
    <n v="23175"/>
    <n v="20603"/>
    <n v="19057"/>
    <n v="15343"/>
    <n v="13503"/>
    <n v="8966"/>
    <n v="9194"/>
    <n v="5347"/>
    <n v="5425"/>
    <n v="2855"/>
    <n v="3294"/>
    <n v="1357"/>
    <n v="1020"/>
    <n v="61306"/>
    <n v="52924"/>
    <n v="39329"/>
    <n v="33895"/>
    <n v="27122"/>
    <n v="22544"/>
    <n v="19196"/>
    <n v="13574"/>
    <n v="12983"/>
    <n v="7660"/>
    <n v="8187"/>
    <n v="4470"/>
    <n v="5335"/>
    <n v="2702"/>
    <n v="3253"/>
    <n v="1321"/>
    <n v="1186"/>
    <n v="125822"/>
    <n v="106593"/>
    <n v="78458"/>
    <n v="65977"/>
    <n v="50297"/>
    <n v="43147"/>
    <n v="38253"/>
    <n v="28917"/>
    <n v="26486"/>
    <n v="16626"/>
    <n v="17381"/>
    <n v="9817"/>
    <n v="10760"/>
    <n v="5557"/>
    <n v="6547"/>
    <n v="2678"/>
    <n v="2206"/>
  </r>
  <r>
    <s v="NGA"/>
    <x v="0"/>
    <m/>
    <x v="35"/>
    <m/>
    <s v="GEIDAM"/>
    <m/>
    <n v="129246"/>
    <n v="113635"/>
    <n v="242881"/>
    <n v="23082"/>
    <n v="18926"/>
    <n v="16123"/>
    <n v="14464"/>
    <n v="10651"/>
    <n v="8674"/>
    <n v="8512"/>
    <n v="6154"/>
    <n v="6450"/>
    <n v="3904"/>
    <n v="4174"/>
    <n v="2105"/>
    <n v="2615"/>
    <n v="1162"/>
    <n v="1404"/>
    <n v="453"/>
    <n v="393"/>
    <n v="20667"/>
    <n v="17018"/>
    <n v="13512"/>
    <n v="12175"/>
    <n v="10506"/>
    <n v="8456"/>
    <n v="7814"/>
    <n v="4975"/>
    <n v="5249"/>
    <n v="2954"/>
    <n v="3403"/>
    <n v="1588"/>
    <n v="2081"/>
    <n v="1056"/>
    <n v="1251"/>
    <n v="424"/>
    <n v="506"/>
    <n v="43749"/>
    <n v="35944"/>
    <n v="29635"/>
    <n v="26639"/>
    <n v="21157"/>
    <n v="17130"/>
    <n v="16326"/>
    <n v="11129"/>
    <n v="11699"/>
    <n v="6858"/>
    <n v="7577"/>
    <n v="3693"/>
    <n v="4696"/>
    <n v="2218"/>
    <n v="2655"/>
    <n v="877"/>
    <n v="899"/>
  </r>
  <r>
    <s v="NGA"/>
    <x v="0"/>
    <m/>
    <x v="35"/>
    <m/>
    <s v="GUJBA"/>
    <m/>
    <n v="101530"/>
    <n v="79872"/>
    <n v="181402"/>
    <n v="16378"/>
    <n v="15326"/>
    <n v="16515"/>
    <n v="13043"/>
    <n v="8778"/>
    <n v="6445"/>
    <n v="6005"/>
    <n v="4207"/>
    <n v="4054"/>
    <n v="2585"/>
    <n v="2496"/>
    <n v="1764"/>
    <n v="1632"/>
    <n v="773"/>
    <n v="909"/>
    <n v="339"/>
    <n v="281"/>
    <n v="14694"/>
    <n v="13277"/>
    <n v="10598"/>
    <n v="8073"/>
    <n v="7218"/>
    <n v="5619"/>
    <n v="4755"/>
    <n v="3100"/>
    <n v="3636"/>
    <n v="2137"/>
    <n v="2053"/>
    <n v="1256"/>
    <n v="1412"/>
    <n v="624"/>
    <n v="874"/>
    <n v="279"/>
    <n v="267"/>
    <n v="31072"/>
    <n v="28603"/>
    <n v="27113"/>
    <n v="21116"/>
    <n v="15996"/>
    <n v="12064"/>
    <n v="10760"/>
    <n v="7307"/>
    <n v="7690"/>
    <n v="4722"/>
    <n v="4549"/>
    <n v="3020"/>
    <n v="3044"/>
    <n v="1397"/>
    <n v="1783"/>
    <n v="618"/>
    <n v="548"/>
  </r>
  <r>
    <s v="NGA"/>
    <x v="0"/>
    <m/>
    <x v="35"/>
    <m/>
    <s v="GULANI"/>
    <m/>
    <n v="72385"/>
    <n v="72288"/>
    <n v="144673"/>
    <n v="14200"/>
    <n v="11944"/>
    <n v="7916"/>
    <n v="6280"/>
    <n v="5495"/>
    <n v="5256"/>
    <n v="5112"/>
    <n v="3736"/>
    <n v="3297"/>
    <n v="1909"/>
    <n v="2261"/>
    <n v="1359"/>
    <n v="1514"/>
    <n v="650"/>
    <n v="796"/>
    <n v="386"/>
    <n v="274"/>
    <n v="13741"/>
    <n v="11793"/>
    <n v="8489"/>
    <n v="8777"/>
    <n v="7068"/>
    <n v="4866"/>
    <n v="4053"/>
    <n v="2836"/>
    <n v="3019"/>
    <n v="1574"/>
    <n v="1956"/>
    <n v="979"/>
    <n v="1230"/>
    <n v="655"/>
    <n v="734"/>
    <n v="283"/>
    <n v="235"/>
    <n v="27941"/>
    <n v="23737"/>
    <n v="16405"/>
    <n v="15057"/>
    <n v="12563"/>
    <n v="10122"/>
    <n v="9165"/>
    <n v="6572"/>
    <n v="6316"/>
    <n v="3483"/>
    <n v="4217"/>
    <n v="2338"/>
    <n v="2744"/>
    <n v="1305"/>
    <n v="1530"/>
    <n v="669"/>
    <n v="509"/>
  </r>
  <r>
    <s v="NGA"/>
    <x v="0"/>
    <m/>
    <x v="35"/>
    <m/>
    <s v="JAKUSKO"/>
    <m/>
    <n v="305069"/>
    <n v="279759"/>
    <n v="584828"/>
    <n v="57424"/>
    <n v="48960"/>
    <n v="38297"/>
    <n v="32876"/>
    <n v="23558"/>
    <n v="19346"/>
    <n v="19144"/>
    <n v="14823"/>
    <n v="14708"/>
    <n v="8987"/>
    <n v="9308"/>
    <n v="4486"/>
    <n v="5667"/>
    <n v="2358"/>
    <n v="3029"/>
    <n v="1109"/>
    <n v="989"/>
    <n v="52354"/>
    <n v="44200"/>
    <n v="33897"/>
    <n v="29757"/>
    <n v="25682"/>
    <n v="20681"/>
    <n v="18361"/>
    <n v="13053"/>
    <n v="12076"/>
    <n v="7513"/>
    <n v="7407"/>
    <n v="3644"/>
    <n v="4527"/>
    <n v="1912"/>
    <n v="2593"/>
    <n v="1067"/>
    <n v="1035"/>
    <n v="109778"/>
    <n v="93160"/>
    <n v="72194"/>
    <n v="62633"/>
    <n v="49240"/>
    <n v="40027"/>
    <n v="37505"/>
    <n v="27876"/>
    <n v="26784"/>
    <n v="16500"/>
    <n v="16715"/>
    <n v="8130"/>
    <n v="10194"/>
    <n v="4270"/>
    <n v="5622"/>
    <n v="2176"/>
    <n v="2024"/>
  </r>
  <r>
    <s v="NGA"/>
    <x v="0"/>
    <m/>
    <x v="35"/>
    <m/>
    <s v="KARASUWA"/>
    <m/>
    <n v="80037"/>
    <n v="71898"/>
    <n v="151935"/>
    <n v="15338"/>
    <n v="12491"/>
    <n v="10701"/>
    <n v="8736"/>
    <n v="5877"/>
    <n v="5059"/>
    <n v="5094"/>
    <n v="3919"/>
    <n v="3682"/>
    <n v="2382"/>
    <n v="2443"/>
    <n v="982"/>
    <n v="1497"/>
    <n v="585"/>
    <n v="748"/>
    <n v="225"/>
    <n v="278"/>
    <n v="13591"/>
    <n v="11107"/>
    <n v="8850"/>
    <n v="7404"/>
    <n v="6630"/>
    <n v="5299"/>
    <n v="4662"/>
    <n v="3362"/>
    <n v="3167"/>
    <n v="1768"/>
    <n v="2066"/>
    <n v="979"/>
    <n v="1175"/>
    <n v="609"/>
    <n v="731"/>
    <n v="226"/>
    <n v="272"/>
    <n v="28929"/>
    <n v="23598"/>
    <n v="19551"/>
    <n v="16140"/>
    <n v="12507"/>
    <n v="10358"/>
    <n v="9756"/>
    <n v="7281"/>
    <n v="6849"/>
    <n v="4150"/>
    <n v="4509"/>
    <n v="1961"/>
    <n v="2672"/>
    <n v="1194"/>
    <n v="1479"/>
    <n v="451"/>
    <n v="550"/>
  </r>
  <r>
    <s v="NGA"/>
    <x v="0"/>
    <m/>
    <x v="35"/>
    <m/>
    <s v="MACHINA"/>
    <m/>
    <n v="38317"/>
    <n v="34939"/>
    <n v="73256"/>
    <n v="7063"/>
    <n v="5946"/>
    <n v="4442"/>
    <n v="3622"/>
    <n v="2710"/>
    <n v="2723"/>
    <n v="2830"/>
    <n v="2065"/>
    <n v="2097"/>
    <n v="1159"/>
    <n v="1261"/>
    <n v="604"/>
    <n v="744"/>
    <n v="309"/>
    <n v="444"/>
    <n v="147"/>
    <n v="151"/>
    <n v="6311"/>
    <n v="5427"/>
    <n v="3916"/>
    <n v="3584"/>
    <n v="3350"/>
    <n v="2738"/>
    <n v="2506"/>
    <n v="1675"/>
    <n v="1592"/>
    <n v="863"/>
    <n v="986"/>
    <n v="512"/>
    <n v="550"/>
    <n v="337"/>
    <n v="336"/>
    <n v="113"/>
    <n v="143"/>
    <n v="13374"/>
    <n v="11373"/>
    <n v="8358"/>
    <n v="7206"/>
    <n v="6060"/>
    <n v="5461"/>
    <n v="5336"/>
    <n v="3740"/>
    <n v="3689"/>
    <n v="2022"/>
    <n v="2247"/>
    <n v="1116"/>
    <n v="1294"/>
    <n v="646"/>
    <n v="780"/>
    <n v="260"/>
    <n v="294"/>
  </r>
  <r>
    <s v="NGA"/>
    <x v="0"/>
    <m/>
    <x v="35"/>
    <m/>
    <s v="NANGERE"/>
    <m/>
    <n v="47318"/>
    <n v="45547"/>
    <n v="92865"/>
    <n v="9223"/>
    <n v="7986"/>
    <n v="6302"/>
    <n v="5118"/>
    <n v="3369"/>
    <n v="3268"/>
    <n v="2890"/>
    <n v="2171"/>
    <n v="1935"/>
    <n v="1222"/>
    <n v="1185"/>
    <n v="731"/>
    <n v="666"/>
    <n v="436"/>
    <n v="447"/>
    <n v="205"/>
    <n v="164"/>
    <n v="8804"/>
    <n v="7879"/>
    <n v="5908"/>
    <n v="4630"/>
    <n v="3956"/>
    <n v="3071"/>
    <n v="2561"/>
    <n v="1885"/>
    <n v="1780"/>
    <n v="1046"/>
    <n v="1207"/>
    <n v="684"/>
    <n v="837"/>
    <n v="373"/>
    <n v="516"/>
    <n v="204"/>
    <n v="206"/>
    <n v="18027"/>
    <n v="15865"/>
    <n v="12210"/>
    <n v="9748"/>
    <n v="7325"/>
    <n v="6339"/>
    <n v="5451"/>
    <n v="4056"/>
    <n v="3715"/>
    <n v="2268"/>
    <n v="2392"/>
    <n v="1415"/>
    <n v="1503"/>
    <n v="809"/>
    <n v="963"/>
    <n v="409"/>
    <n v="370"/>
  </r>
  <r>
    <s v="NGA"/>
    <x v="0"/>
    <m/>
    <x v="35"/>
    <m/>
    <s v="NGURU"/>
    <m/>
    <n v="93901"/>
    <n v="80321"/>
    <n v="174222"/>
    <n v="16579"/>
    <n v="14691"/>
    <n v="12362"/>
    <n v="10865"/>
    <n v="7169"/>
    <n v="6077"/>
    <n v="5979"/>
    <n v="4823"/>
    <n v="4346"/>
    <n v="2811"/>
    <n v="2566"/>
    <n v="1559"/>
    <n v="1754"/>
    <n v="863"/>
    <n v="817"/>
    <n v="374"/>
    <n v="266"/>
    <n v="14111"/>
    <n v="11727"/>
    <n v="10165"/>
    <n v="10203"/>
    <n v="7394"/>
    <n v="5919"/>
    <n v="5142"/>
    <n v="3601"/>
    <n v="3480"/>
    <n v="1908"/>
    <n v="2116"/>
    <n v="1114"/>
    <n v="1384"/>
    <n v="652"/>
    <n v="835"/>
    <n v="286"/>
    <n v="284"/>
    <n v="30690"/>
    <n v="26418"/>
    <n v="22527"/>
    <n v="21068"/>
    <n v="14563"/>
    <n v="11996"/>
    <n v="11121"/>
    <n v="8424"/>
    <n v="7826"/>
    <n v="4719"/>
    <n v="4682"/>
    <n v="2673"/>
    <n v="3138"/>
    <n v="1515"/>
    <n v="1652"/>
    <n v="660"/>
    <n v="550"/>
  </r>
  <r>
    <s v="NGA"/>
    <x v="0"/>
    <m/>
    <x v="35"/>
    <m/>
    <s v="POTISKUM"/>
    <m/>
    <n v="112464"/>
    <n v="104909"/>
    <n v="217373"/>
    <n v="21495"/>
    <n v="17079"/>
    <n v="15274"/>
    <n v="12754"/>
    <n v="9184"/>
    <n v="7962"/>
    <n v="7090"/>
    <n v="5798"/>
    <n v="4475"/>
    <n v="3242"/>
    <n v="2631"/>
    <n v="1688"/>
    <n v="1368"/>
    <n v="900"/>
    <n v="807"/>
    <n v="404"/>
    <n v="313"/>
    <n v="20428"/>
    <n v="16058"/>
    <n v="14448"/>
    <n v="12298"/>
    <n v="9194"/>
    <n v="7615"/>
    <n v="6009"/>
    <n v="4353"/>
    <n v="3910"/>
    <n v="2420"/>
    <n v="2449"/>
    <n v="1521"/>
    <n v="1494"/>
    <n v="803"/>
    <n v="965"/>
    <n v="475"/>
    <n v="469"/>
    <n v="41923"/>
    <n v="33137"/>
    <n v="29722"/>
    <n v="25052"/>
    <n v="18378"/>
    <n v="15577"/>
    <n v="13099"/>
    <n v="10151"/>
    <n v="8385"/>
    <n v="5662"/>
    <n v="5080"/>
    <n v="3209"/>
    <n v="2862"/>
    <n v="1703"/>
    <n v="1772"/>
    <n v="879"/>
    <n v="782"/>
  </r>
  <r>
    <s v="NGA"/>
    <x v="0"/>
    <m/>
    <x v="35"/>
    <m/>
    <s v="TARMUWA"/>
    <m/>
    <n v="59104"/>
    <n v="53396"/>
    <n v="112500"/>
    <n v="10574"/>
    <n v="9438"/>
    <n v="6550"/>
    <n v="5781"/>
    <n v="4834"/>
    <n v="4170"/>
    <n v="4402"/>
    <n v="2974"/>
    <n v="2963"/>
    <n v="1584"/>
    <n v="1983"/>
    <n v="992"/>
    <n v="1258"/>
    <n v="537"/>
    <n v="699"/>
    <n v="190"/>
    <n v="175"/>
    <n v="9332"/>
    <n v="8453"/>
    <n v="5838"/>
    <n v="6346"/>
    <n v="5419"/>
    <n v="3942"/>
    <n v="3665"/>
    <n v="2149"/>
    <n v="2460"/>
    <n v="1121"/>
    <n v="1486"/>
    <n v="837"/>
    <n v="1028"/>
    <n v="384"/>
    <n v="566"/>
    <n v="197"/>
    <n v="173"/>
    <n v="19906"/>
    <n v="17891"/>
    <n v="12388"/>
    <n v="12127"/>
    <n v="10253"/>
    <n v="8112"/>
    <n v="8067"/>
    <n v="5123"/>
    <n v="5423"/>
    <n v="2705"/>
    <n v="3469"/>
    <n v="1829"/>
    <n v="2286"/>
    <n v="921"/>
    <n v="1265"/>
    <n v="387"/>
    <n v="348"/>
  </r>
  <r>
    <s v="NGA"/>
    <x v="0"/>
    <m/>
    <x v="35"/>
    <m/>
    <s v="YUNUSARI"/>
    <m/>
    <n v="93822"/>
    <n v="87633"/>
    <n v="181455"/>
    <n v="17686"/>
    <n v="14810"/>
    <n v="10193"/>
    <n v="8527"/>
    <n v="6852"/>
    <n v="6432"/>
    <n v="6867"/>
    <n v="4788"/>
    <n v="5438"/>
    <n v="2795"/>
    <n v="3235"/>
    <n v="1406"/>
    <n v="2170"/>
    <n v="662"/>
    <n v="1239"/>
    <n v="361"/>
    <n v="361"/>
    <n v="15736"/>
    <n v="13560"/>
    <n v="9790"/>
    <n v="9423"/>
    <n v="8927"/>
    <n v="6407"/>
    <n v="6176"/>
    <n v="3932"/>
    <n v="4059"/>
    <n v="1949"/>
    <n v="2528"/>
    <n v="1141"/>
    <n v="1639"/>
    <n v="691"/>
    <n v="1024"/>
    <n v="320"/>
    <n v="331"/>
    <n v="33422"/>
    <n v="28370"/>
    <n v="19983"/>
    <n v="17950"/>
    <n v="15779"/>
    <n v="12839"/>
    <n v="13043"/>
    <n v="8720"/>
    <n v="9497"/>
    <n v="4744"/>
    <n v="5763"/>
    <n v="2547"/>
    <n v="3809"/>
    <n v="1353"/>
    <n v="2263"/>
    <n v="681"/>
    <n v="692"/>
  </r>
  <r>
    <s v="NGA"/>
    <x v="0"/>
    <m/>
    <x v="35"/>
    <m/>
    <s v="YUSUFARI"/>
    <m/>
    <n v="107275"/>
    <n v="104997"/>
    <n v="212272"/>
    <n v="20208"/>
    <n v="16824"/>
    <n v="11068"/>
    <n v="8393"/>
    <n v="7412"/>
    <n v="7784"/>
    <n v="8248"/>
    <n v="5630"/>
    <n v="6132"/>
    <n v="3151"/>
    <n v="4176"/>
    <n v="2079"/>
    <n v="2760"/>
    <n v="967"/>
    <n v="1503"/>
    <n v="510"/>
    <n v="430"/>
    <n v="18824"/>
    <n v="16729"/>
    <n v="11990"/>
    <n v="9841"/>
    <n v="9712"/>
    <n v="7377"/>
    <n v="7424"/>
    <n v="4096"/>
    <n v="5316"/>
    <n v="2455"/>
    <n v="3787"/>
    <n v="1533"/>
    <n v="2492"/>
    <n v="947"/>
    <n v="1595"/>
    <n v="431"/>
    <n v="448"/>
    <n v="39032"/>
    <n v="33553"/>
    <n v="23058"/>
    <n v="18234"/>
    <n v="17124"/>
    <n v="15161"/>
    <n v="15672"/>
    <n v="9726"/>
    <n v="11448"/>
    <n v="5606"/>
    <n v="7963"/>
    <n v="3612"/>
    <n v="5252"/>
    <n v="1914"/>
    <n v="3098"/>
    <n v="941"/>
    <n v="878"/>
  </r>
  <r>
    <s v="NGA"/>
    <x v="0"/>
    <m/>
    <x v="36"/>
    <m/>
    <s v="ANKA"/>
    <m/>
    <n v="103810"/>
    <n v="100951"/>
    <n v="204761"/>
    <n v="21058"/>
    <n v="16899"/>
    <n v="12824"/>
    <n v="11105"/>
    <n v="7259"/>
    <n v="6753"/>
    <n v="6652"/>
    <n v="5158"/>
    <n v="4553"/>
    <n v="2834"/>
    <n v="2801"/>
    <n v="1658"/>
    <n v="1798"/>
    <n v="798"/>
    <n v="883"/>
    <n v="415"/>
    <n v="362"/>
    <n v="19686"/>
    <n v="16314"/>
    <n v="11889"/>
    <n v="10912"/>
    <n v="9216"/>
    <n v="7619"/>
    <n v="6400"/>
    <n v="4415"/>
    <n v="4059"/>
    <n v="2268"/>
    <n v="2667"/>
    <n v="1336"/>
    <n v="1590"/>
    <n v="753"/>
    <n v="1058"/>
    <n v="394"/>
    <n v="375"/>
    <n v="40744"/>
    <n v="33213"/>
    <n v="24713"/>
    <n v="22017"/>
    <n v="16475"/>
    <n v="14372"/>
    <n v="13052"/>
    <n v="9573"/>
    <n v="8612"/>
    <n v="5102"/>
    <n v="5468"/>
    <n v="2994"/>
    <n v="3388"/>
    <n v="1551"/>
    <n v="1941"/>
    <n v="809"/>
    <n v="737"/>
  </r>
  <r>
    <s v="NGA"/>
    <x v="0"/>
    <m/>
    <x v="36"/>
    <m/>
    <s v="BAKURA"/>
    <m/>
    <n v="119506"/>
    <n v="121106"/>
    <n v="240612"/>
    <n v="24798"/>
    <n v="20716"/>
    <n v="13995"/>
    <n v="11201"/>
    <n v="7720"/>
    <n v="7481"/>
    <n v="7515"/>
    <n v="6217"/>
    <n v="5419"/>
    <n v="3299"/>
    <n v="3635"/>
    <n v="2229"/>
    <n v="2330"/>
    <n v="976"/>
    <n v="1165"/>
    <n v="457"/>
    <n v="353"/>
    <n v="24096"/>
    <n v="20234"/>
    <n v="13045"/>
    <n v="12339"/>
    <n v="11067"/>
    <n v="9409"/>
    <n v="7861"/>
    <n v="5375"/>
    <n v="5218"/>
    <n v="2719"/>
    <n v="3339"/>
    <n v="1414"/>
    <n v="2184"/>
    <n v="798"/>
    <n v="1250"/>
    <n v="349"/>
    <n v="409"/>
    <n v="48894"/>
    <n v="40950"/>
    <n v="27040"/>
    <n v="23540"/>
    <n v="18787"/>
    <n v="16890"/>
    <n v="15376"/>
    <n v="11592"/>
    <n v="10637"/>
    <n v="6018"/>
    <n v="6974"/>
    <n v="3643"/>
    <n v="4514"/>
    <n v="1774"/>
    <n v="2415"/>
    <n v="806"/>
    <n v="762"/>
  </r>
  <r>
    <s v="NGA"/>
    <x v="0"/>
    <m/>
    <x v="36"/>
    <m/>
    <s v="BIRNIN MAGAJI/KIYAW"/>
    <m/>
    <n v="137699"/>
    <n v="139976"/>
    <n v="277675"/>
    <n v="28405"/>
    <n v="24090"/>
    <n v="15964"/>
    <n v="13121"/>
    <n v="8525"/>
    <n v="8254"/>
    <n v="8825"/>
    <n v="7069"/>
    <n v="6343"/>
    <n v="3773"/>
    <n v="4175"/>
    <n v="2566"/>
    <n v="2655"/>
    <n v="1322"/>
    <n v="1444"/>
    <n v="624"/>
    <n v="544"/>
    <n v="26750"/>
    <n v="23441"/>
    <n v="15347"/>
    <n v="13996"/>
    <n v="12812"/>
    <n v="10979"/>
    <n v="9535"/>
    <n v="6184"/>
    <n v="6208"/>
    <n v="2946"/>
    <n v="3809"/>
    <n v="1864"/>
    <n v="2409"/>
    <n v="1104"/>
    <n v="1447"/>
    <n v="557"/>
    <n v="588"/>
    <n v="55155"/>
    <n v="47531"/>
    <n v="31311"/>
    <n v="27117"/>
    <n v="21337"/>
    <n v="19233"/>
    <n v="18360"/>
    <n v="13253"/>
    <n v="12551"/>
    <n v="6719"/>
    <n v="7984"/>
    <n v="4430"/>
    <n v="5064"/>
    <n v="2426"/>
    <n v="2891"/>
    <n v="1181"/>
    <n v="1132"/>
  </r>
  <r>
    <s v="NGA"/>
    <x v="0"/>
    <m/>
    <x v="36"/>
    <m/>
    <s v="BUKKUYUM"/>
    <m/>
    <n v="169888"/>
    <n v="166884"/>
    <n v="336772"/>
    <n v="40480"/>
    <n v="28961"/>
    <n v="19715"/>
    <n v="14825"/>
    <n v="10661"/>
    <n v="10461"/>
    <n v="10053"/>
    <n v="7950"/>
    <n v="6991"/>
    <n v="4504"/>
    <n v="4736"/>
    <n v="3181"/>
    <n v="3026"/>
    <n v="1492"/>
    <n v="1627"/>
    <n v="716"/>
    <n v="509"/>
    <n v="34603"/>
    <n v="27736"/>
    <n v="18741"/>
    <n v="16787"/>
    <n v="14320"/>
    <n v="12149"/>
    <n v="10080"/>
    <n v="7203"/>
    <n v="6787"/>
    <n v="3786"/>
    <n v="4750"/>
    <n v="2422"/>
    <n v="2974"/>
    <n v="1429"/>
    <n v="1828"/>
    <n v="710"/>
    <n v="579"/>
    <n v="75083"/>
    <n v="56697"/>
    <n v="38456"/>
    <n v="31612"/>
    <n v="24981"/>
    <n v="22610"/>
    <n v="20133"/>
    <n v="15153"/>
    <n v="13778"/>
    <n v="8290"/>
    <n v="9486"/>
    <n v="5603"/>
    <n v="6000"/>
    <n v="2921"/>
    <n v="3455"/>
    <n v="1426"/>
    <n v="1088"/>
  </r>
  <r>
    <s v="NGA"/>
    <x v="0"/>
    <m/>
    <x v="36"/>
    <m/>
    <s v="BUNGUDU"/>
    <m/>
    <n v="153885"/>
    <n v="153406"/>
    <n v="307291"/>
    <n v="30396"/>
    <n v="25080"/>
    <n v="18696"/>
    <n v="15093"/>
    <n v="10843"/>
    <n v="10701"/>
    <n v="10150"/>
    <n v="8054"/>
    <n v="6903"/>
    <n v="4345"/>
    <n v="4149"/>
    <n v="2765"/>
    <n v="2583"/>
    <n v="1455"/>
    <n v="1400"/>
    <n v="702"/>
    <n v="570"/>
    <n v="28900"/>
    <n v="24534"/>
    <n v="17835"/>
    <n v="17103"/>
    <n v="14428"/>
    <n v="11722"/>
    <n v="9610"/>
    <n v="6750"/>
    <n v="6390"/>
    <n v="3518"/>
    <n v="4054"/>
    <n v="2268"/>
    <n v="2380"/>
    <n v="1182"/>
    <n v="1506"/>
    <n v="591"/>
    <n v="635"/>
    <n v="59296"/>
    <n v="49614"/>
    <n v="36531"/>
    <n v="32196"/>
    <n v="25271"/>
    <n v="22423"/>
    <n v="19760"/>
    <n v="14804"/>
    <n v="13293"/>
    <n v="7863"/>
    <n v="8203"/>
    <n v="5033"/>
    <n v="4963"/>
    <n v="2637"/>
    <n v="2906"/>
    <n v="1293"/>
    <n v="1205"/>
  </r>
  <r>
    <s v="NGA"/>
    <x v="0"/>
    <m/>
    <x v="36"/>
    <m/>
    <s v="GUMMI"/>
    <m/>
    <n v="144148"/>
    <n v="144347"/>
    <n v="288495"/>
    <n v="29627"/>
    <n v="23665"/>
    <n v="15890"/>
    <n v="12630"/>
    <n v="9520"/>
    <n v="10438"/>
    <n v="10480"/>
    <n v="7667"/>
    <n v="6677"/>
    <n v="3643"/>
    <n v="4363"/>
    <n v="2717"/>
    <n v="2905"/>
    <n v="1455"/>
    <n v="1453"/>
    <n v="592"/>
    <n v="426"/>
    <n v="28484"/>
    <n v="23661"/>
    <n v="14883"/>
    <n v="15905"/>
    <n v="14143"/>
    <n v="11024"/>
    <n v="8991"/>
    <n v="5754"/>
    <n v="6202"/>
    <n v="2901"/>
    <n v="4193"/>
    <n v="1874"/>
    <n v="2612"/>
    <n v="1209"/>
    <n v="1499"/>
    <n v="574"/>
    <n v="438"/>
    <n v="58111"/>
    <n v="47326"/>
    <n v="30773"/>
    <n v="28535"/>
    <n v="23663"/>
    <n v="21462"/>
    <n v="19471"/>
    <n v="13421"/>
    <n v="12879"/>
    <n v="6544"/>
    <n v="8556"/>
    <n v="4591"/>
    <n v="5517"/>
    <n v="2664"/>
    <n v="2952"/>
    <n v="1166"/>
    <n v="864"/>
  </r>
  <r>
    <s v="NGA"/>
    <x v="0"/>
    <m/>
    <x v="36"/>
    <m/>
    <s v="GUSAU"/>
    <m/>
    <n v="257943"/>
    <n v="236887"/>
    <n v="494830"/>
    <n v="47256"/>
    <n v="38690"/>
    <n v="35170"/>
    <n v="28090"/>
    <n v="19878"/>
    <n v="18343"/>
    <n v="16021"/>
    <n v="13650"/>
    <n v="10936"/>
    <n v="7624"/>
    <n v="6478"/>
    <n v="5527"/>
    <n v="3759"/>
    <n v="2608"/>
    <n v="2004"/>
    <n v="1062"/>
    <n v="847"/>
    <n v="45390"/>
    <n v="38699"/>
    <n v="28181"/>
    <n v="24068"/>
    <n v="21196"/>
    <n v="18197"/>
    <n v="14210"/>
    <n v="10774"/>
    <n v="9846"/>
    <n v="5850"/>
    <n v="6210"/>
    <n v="4003"/>
    <n v="3686"/>
    <n v="2032"/>
    <n v="2370"/>
    <n v="1055"/>
    <n v="1120"/>
    <n v="92646"/>
    <n v="77389"/>
    <n v="63351"/>
    <n v="52158"/>
    <n v="41074"/>
    <n v="36540"/>
    <n v="30231"/>
    <n v="24424"/>
    <n v="20782"/>
    <n v="13474"/>
    <n v="12688"/>
    <n v="9530"/>
    <n v="7445"/>
    <n v="4640"/>
    <n v="4374"/>
    <n v="2117"/>
    <n v="1967"/>
  </r>
  <r>
    <s v="NGA"/>
    <x v="0"/>
    <m/>
    <x v="36"/>
    <m/>
    <s v="KAURA-NAMODA"/>
    <m/>
    <n v="220624"/>
    <n v="209826"/>
    <n v="430450"/>
    <n v="44246"/>
    <n v="35550"/>
    <n v="28807"/>
    <n v="24001"/>
    <n v="16305"/>
    <n v="13682"/>
    <n v="12745"/>
    <n v="10796"/>
    <n v="9305"/>
    <n v="6630"/>
    <n v="5727"/>
    <n v="3905"/>
    <n v="3330"/>
    <n v="2088"/>
    <n v="1747"/>
    <n v="996"/>
    <n v="764"/>
    <n v="41305"/>
    <n v="33369"/>
    <n v="24641"/>
    <n v="21088"/>
    <n v="18069"/>
    <n v="15872"/>
    <n v="13236"/>
    <n v="9910"/>
    <n v="8639"/>
    <n v="5619"/>
    <n v="5565"/>
    <n v="3239"/>
    <n v="3565"/>
    <n v="1905"/>
    <n v="1990"/>
    <n v="874"/>
    <n v="940"/>
    <n v="85551"/>
    <n v="68919"/>
    <n v="53448"/>
    <n v="45089"/>
    <n v="34374"/>
    <n v="29554"/>
    <n v="25981"/>
    <n v="20706"/>
    <n v="17944"/>
    <n v="12249"/>
    <n v="11292"/>
    <n v="7144"/>
    <n v="6895"/>
    <n v="3993"/>
    <n v="3737"/>
    <n v="1870"/>
    <n v="1704"/>
  </r>
  <r>
    <s v="NGA"/>
    <x v="0"/>
    <m/>
    <x v="36"/>
    <m/>
    <s v="MARADUN"/>
    <m/>
    <n v="146882"/>
    <n v="138784"/>
    <n v="285666"/>
    <n v="30065"/>
    <n v="24774"/>
    <n v="19082"/>
    <n v="15017"/>
    <n v="10526"/>
    <n v="9188"/>
    <n v="8768"/>
    <n v="7134"/>
    <n v="6183"/>
    <n v="4213"/>
    <n v="4040"/>
    <n v="2131"/>
    <n v="2491"/>
    <n v="917"/>
    <n v="1326"/>
    <n v="507"/>
    <n v="520"/>
    <n v="27795"/>
    <n v="21623"/>
    <n v="16258"/>
    <n v="14335"/>
    <n v="12133"/>
    <n v="10431"/>
    <n v="8786"/>
    <n v="6410"/>
    <n v="5667"/>
    <n v="3597"/>
    <n v="3772"/>
    <n v="1983"/>
    <n v="2425"/>
    <n v="1080"/>
    <n v="1410"/>
    <n v="595"/>
    <n v="484"/>
    <n v="57860"/>
    <n v="46397"/>
    <n v="35340"/>
    <n v="29352"/>
    <n v="22659"/>
    <n v="19619"/>
    <n v="17554"/>
    <n v="13544"/>
    <n v="11850"/>
    <n v="7810"/>
    <n v="7812"/>
    <n v="4114"/>
    <n v="4916"/>
    <n v="1997"/>
    <n v="2736"/>
    <n v="1102"/>
    <n v="1004"/>
  </r>
  <r>
    <s v="NGA"/>
    <x v="0"/>
    <m/>
    <x v="36"/>
    <m/>
    <s v="MARU"/>
    <m/>
    <n v="210355"/>
    <n v="207527"/>
    <n v="417882"/>
    <n v="43652"/>
    <n v="34470"/>
    <n v="25481"/>
    <n v="20070"/>
    <n v="14901"/>
    <n v="13682"/>
    <n v="13311"/>
    <n v="10639"/>
    <n v="9264"/>
    <n v="5921"/>
    <n v="6104"/>
    <n v="3491"/>
    <n v="3841"/>
    <n v="1972"/>
    <n v="1992"/>
    <n v="822"/>
    <n v="742"/>
    <n v="41039"/>
    <n v="32933"/>
    <n v="23701"/>
    <n v="22592"/>
    <n v="18956"/>
    <n v="15277"/>
    <n v="12894"/>
    <n v="8980"/>
    <n v="8745"/>
    <n v="4997"/>
    <n v="5940"/>
    <n v="2864"/>
    <n v="3533"/>
    <n v="1508"/>
    <n v="2029"/>
    <n v="729"/>
    <n v="810"/>
    <n v="84691"/>
    <n v="67403"/>
    <n v="49182"/>
    <n v="42662"/>
    <n v="33857"/>
    <n v="28959"/>
    <n v="26205"/>
    <n v="19619"/>
    <n v="18009"/>
    <n v="10918"/>
    <n v="12044"/>
    <n v="6355"/>
    <n v="7374"/>
    <n v="3480"/>
    <n v="4021"/>
    <n v="1551"/>
    <n v="1552"/>
  </r>
  <r>
    <s v="NGA"/>
    <x v="0"/>
    <m/>
    <x v="36"/>
    <m/>
    <s v="SHINKAFI"/>
    <m/>
    <n v="91249"/>
    <n v="94865"/>
    <n v="186114"/>
    <n v="18812"/>
    <n v="15298"/>
    <n v="10300"/>
    <n v="8259"/>
    <n v="5545"/>
    <n v="5400"/>
    <n v="5868"/>
    <n v="4512"/>
    <n v="4789"/>
    <n v="2588"/>
    <n v="3281"/>
    <n v="1891"/>
    <n v="2046"/>
    <n v="810"/>
    <n v="1133"/>
    <n v="377"/>
    <n v="340"/>
    <n v="18085"/>
    <n v="15917"/>
    <n v="10632"/>
    <n v="8133"/>
    <n v="7843"/>
    <n v="7053"/>
    <n v="6709"/>
    <n v="4345"/>
    <n v="4687"/>
    <n v="2245"/>
    <n v="3117"/>
    <n v="1393"/>
    <n v="1939"/>
    <n v="828"/>
    <n v="1086"/>
    <n v="430"/>
    <n v="423"/>
    <n v="36897"/>
    <n v="31215"/>
    <n v="20932"/>
    <n v="16392"/>
    <n v="13388"/>
    <n v="12453"/>
    <n v="12577"/>
    <n v="8857"/>
    <n v="9476"/>
    <n v="4833"/>
    <n v="6398"/>
    <n v="3284"/>
    <n v="3985"/>
    <n v="1638"/>
    <n v="2219"/>
    <n v="807"/>
    <n v="763"/>
  </r>
  <r>
    <s v="NGA"/>
    <x v="0"/>
    <m/>
    <x v="36"/>
    <m/>
    <s v="TALATA MAFARA"/>
    <m/>
    <n v="146354"/>
    <n v="145541"/>
    <n v="291895"/>
    <n v="29633"/>
    <n v="23780"/>
    <n v="17822"/>
    <n v="14061"/>
    <n v="10310"/>
    <n v="9895"/>
    <n v="9507"/>
    <n v="7515"/>
    <n v="6454"/>
    <n v="4067"/>
    <n v="4159"/>
    <n v="2795"/>
    <n v="2518"/>
    <n v="1291"/>
    <n v="1389"/>
    <n v="664"/>
    <n v="494"/>
    <n v="28075"/>
    <n v="23348"/>
    <n v="16213"/>
    <n v="15487"/>
    <n v="13346"/>
    <n v="11191"/>
    <n v="9120"/>
    <n v="6629"/>
    <n v="6153"/>
    <n v="3711"/>
    <n v="3966"/>
    <n v="1959"/>
    <n v="2612"/>
    <n v="1001"/>
    <n v="1458"/>
    <n v="660"/>
    <n v="612"/>
    <n v="57708"/>
    <n v="47128"/>
    <n v="34035"/>
    <n v="29548"/>
    <n v="23656"/>
    <n v="21086"/>
    <n v="18627"/>
    <n v="14144"/>
    <n v="12607"/>
    <n v="7778"/>
    <n v="8125"/>
    <n v="4754"/>
    <n v="5130"/>
    <n v="2292"/>
    <n v="2847"/>
    <n v="1324"/>
    <n v="1106"/>
  </r>
  <r>
    <s v="NGA"/>
    <x v="0"/>
    <m/>
    <x v="36"/>
    <m/>
    <s v="TSAFE"/>
    <m/>
    <n v="184563"/>
    <n v="195130"/>
    <n v="379693"/>
    <n v="38004"/>
    <n v="32614"/>
    <n v="22171"/>
    <n v="16928"/>
    <n v="11733"/>
    <n v="11939"/>
    <n v="11681"/>
    <n v="9284"/>
    <n v="7906"/>
    <n v="5314"/>
    <n v="5068"/>
    <n v="3753"/>
    <n v="3031"/>
    <n v="1857"/>
    <n v="1711"/>
    <n v="869"/>
    <n v="700"/>
    <n v="37980"/>
    <n v="33412"/>
    <n v="22884"/>
    <n v="20234"/>
    <n v="17728"/>
    <n v="15049"/>
    <n v="12192"/>
    <n v="8520"/>
    <n v="7798"/>
    <n v="4386"/>
    <n v="4655"/>
    <n v="2673"/>
    <n v="2854"/>
    <n v="1366"/>
    <n v="1869"/>
    <n v="726"/>
    <n v="804"/>
    <n v="75984"/>
    <n v="66026"/>
    <n v="45055"/>
    <n v="37162"/>
    <n v="29461"/>
    <n v="26988"/>
    <n v="23873"/>
    <n v="17804"/>
    <n v="15704"/>
    <n v="9700"/>
    <n v="9723"/>
    <n v="6426"/>
    <n v="5885"/>
    <n v="3223"/>
    <n v="3580"/>
    <n v="1595"/>
    <n v="1504"/>
  </r>
  <r>
    <s v="NGA"/>
    <x v="0"/>
    <m/>
    <x v="36"/>
    <m/>
    <s v="ZURMI"/>
    <m/>
    <n v="211065"/>
    <n v="215118"/>
    <n v="426183"/>
    <n v="43077"/>
    <n v="35805"/>
    <n v="25201"/>
    <n v="20122"/>
    <n v="13538"/>
    <n v="12913"/>
    <n v="13587"/>
    <n v="10448"/>
    <n v="9983"/>
    <n v="6216"/>
    <n v="6741"/>
    <n v="3780"/>
    <n v="4236"/>
    <n v="1623"/>
    <n v="2176"/>
    <n v="808"/>
    <n v="811"/>
    <n v="40528"/>
    <n v="35499"/>
    <n v="24573"/>
    <n v="21722"/>
    <n v="19410"/>
    <n v="16085"/>
    <n v="14581"/>
    <n v="9987"/>
    <n v="9489"/>
    <n v="5003"/>
    <n v="5902"/>
    <n v="2893"/>
    <n v="3811"/>
    <n v="1614"/>
    <n v="2263"/>
    <n v="864"/>
    <n v="894"/>
    <n v="83605"/>
    <n v="71304"/>
    <n v="49774"/>
    <n v="41844"/>
    <n v="32948"/>
    <n v="28998"/>
    <n v="28168"/>
    <n v="20435"/>
    <n v="19472"/>
    <n v="11219"/>
    <n v="12643"/>
    <n v="6673"/>
    <n v="8047"/>
    <n v="3237"/>
    <n v="4439"/>
    <n v="1672"/>
    <n v="17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3D6F7-FF7F-42F2-8DE9-7B07E78E27B4}" name="PivotTable9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L42" firstHeaderRow="0" firstDataRow="1" firstDataCol="1"/>
  <pivotFields count="61">
    <pivotField showAll="0"/>
    <pivotField axis="axisRow" showAll="0">
      <items count="2">
        <item x="0"/>
        <item t="default"/>
      </items>
    </pivotField>
    <pivotField showAll="0"/>
    <pivotField axis="axisRow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3"/>
  </rowFields>
  <rowItems count="3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t="grand">
      <x/>
    </i>
  </rowItems>
  <colFields count="1">
    <field x="-2"/>
  </colFields>
  <colItems count="3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</colItems>
  <dataFields count="37">
    <dataField name="Sum of Male_00-04" fld="10" baseField="0" baseItem="0"/>
    <dataField name="Sum of Male_05-09" fld="11" baseField="0" baseItem="0"/>
    <dataField name="Sum of Male_10-14" fld="12" baseField="0" baseItem="0"/>
    <dataField name="Sum of Male_15-19" fld="13" baseField="0" baseItem="0"/>
    <dataField name="Sum of Male_20-24" fld="14" baseField="0" baseItem="0"/>
    <dataField name="Sum of Male_25-29" fld="15" baseField="0" baseItem="0"/>
    <dataField name="Sum of Male_30-34" fld="16" baseField="0" baseItem="0"/>
    <dataField name="Sum of Male_35-39" fld="17" baseField="0" baseItem="0"/>
    <dataField name="Sum of Male_40-44" fld="18" baseField="0" baseItem="0"/>
    <dataField name="Sum of Male_45-49" fld="19" baseField="0" baseItem="0"/>
    <dataField name="Sum of Male_50-54" fld="20" baseField="0" baseItem="0"/>
    <dataField name="Sum of Male_55-59" fld="21" baseField="0" baseItem="0"/>
    <dataField name="Sum of Male_60-64" fld="22" baseField="0" baseItem="0"/>
    <dataField name="Sum of Male_65-69" fld="23" baseField="0" baseItem="0"/>
    <dataField name="Sum of Male_70-74" fld="24" baseField="0" baseItem="0"/>
    <dataField name="Sum of Male_75-79" fld="25" baseField="0" baseItem="0"/>
    <dataField name="Sum of Male_80+" fld="26" baseField="0" baseItem="0"/>
    <dataField name="Sum of Female_00-04" fld="27" baseField="0" baseItem="0"/>
    <dataField name="Sum of Female_05-09" fld="28" baseField="0" baseItem="0"/>
    <dataField name="Sum of Female_10-14" fld="29" baseField="0" baseItem="0"/>
    <dataField name="Sum of Female_15-19" fld="30" baseField="0" baseItem="0"/>
    <dataField name="Sum of Female_20-24" fld="31" baseField="0" baseItem="0"/>
    <dataField name="Sum of Female_25-29" fld="32" baseField="0" baseItem="0"/>
    <dataField name="Sum of Female_30-34" fld="33" baseField="0" baseItem="0"/>
    <dataField name="Sum of Female_35-39" fld="34" baseField="0" baseItem="0"/>
    <dataField name="Sum of Female_40-44" fld="35" baseField="0" baseItem="0"/>
    <dataField name="Sum of Female_45-49" fld="36" baseField="0" baseItem="0"/>
    <dataField name="Sum of Female_50-54" fld="37" baseField="0" baseItem="0"/>
    <dataField name="Sum of Female_55-59" fld="38" baseField="0" baseItem="0"/>
    <dataField name="Sum of Female_60-64" fld="39" baseField="0" baseItem="0"/>
    <dataField name="Sum of Female_65-69" fld="40" baseField="0" baseItem="0"/>
    <dataField name="Sum of Female_70-74" fld="41" baseField="0" baseItem="0"/>
    <dataField name="Sum of Female_75-79" fld="42" baseField="0" baseItem="0"/>
    <dataField name="Sum of Female_80+" fld="43" baseField="0" baseItem="0"/>
    <dataField name="Sum of Male_Total" fld="7" baseField="0" baseItem="0"/>
    <dataField name="Sum of Female_Total" fld="8" baseField="0" baseItem="0"/>
    <dataField name="Sum of Both_Total" fld="9" baseField="0" baseItem="0"/>
  </dataFields>
  <formats count="4"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fieldPosition="0">
        <references count="2">
          <reference field="1" count="0" selected="0"/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2E27-62BB-46B3-AD1B-DB8D0AFDF4D4}">
  <dimension ref="A1:BF38"/>
  <sheetViews>
    <sheetView tabSelected="1" zoomScaleNormal="100" workbookViewId="0">
      <pane ySplit="1" topLeftCell="A30" activePane="bottomLeft" state="frozen"/>
      <selection pane="bottomLeft" activeCell="A39" sqref="A39:XFD775"/>
    </sheetView>
  </sheetViews>
  <sheetFormatPr baseColWidth="10" defaultColWidth="8.83203125" defaultRowHeight="17"/>
  <cols>
    <col min="1" max="1" width="13.1640625" bestFit="1" customWidth="1"/>
    <col min="2" max="2" width="13.5" bestFit="1" customWidth="1"/>
    <col min="3" max="3" width="26.83203125" bestFit="1" customWidth="1"/>
    <col min="4" max="4" width="13.5" bestFit="1" customWidth="1"/>
    <col min="5" max="38" width="13" style="10" customWidth="1"/>
    <col min="39" max="39" width="11.5" style="10" bestFit="1" customWidth="1"/>
    <col min="40" max="58" width="13" style="10" customWidth="1"/>
  </cols>
  <sheetData>
    <row r="1" spans="1:58" s="1" customFormat="1">
      <c r="A1" s="2" t="s">
        <v>40</v>
      </c>
      <c r="B1" s="2" t="s">
        <v>41</v>
      </c>
      <c r="C1" s="2" t="s">
        <v>0</v>
      </c>
      <c r="D1" s="2" t="s">
        <v>42</v>
      </c>
      <c r="E1" s="11" t="s">
        <v>177</v>
      </c>
      <c r="F1" s="11" t="s">
        <v>176</v>
      </c>
      <c r="G1" s="11" t="s">
        <v>178</v>
      </c>
      <c r="H1" s="11" t="s">
        <v>223</v>
      </c>
      <c r="I1" s="11" t="s">
        <v>224</v>
      </c>
      <c r="J1" s="11" t="s">
        <v>193</v>
      </c>
      <c r="K1" s="11" t="s">
        <v>194</v>
      </c>
      <c r="L1" s="11" t="s">
        <v>195</v>
      </c>
      <c r="M1" s="11" t="s">
        <v>196</v>
      </c>
      <c r="N1" s="11" t="s">
        <v>197</v>
      </c>
      <c r="O1" s="11" t="s">
        <v>198</v>
      </c>
      <c r="P1" s="11" t="s">
        <v>199</v>
      </c>
      <c r="Q1" s="11" t="s">
        <v>200</v>
      </c>
      <c r="R1" s="11" t="s">
        <v>201</v>
      </c>
      <c r="S1" s="11" t="s">
        <v>202</v>
      </c>
      <c r="T1" s="11" t="s">
        <v>203</v>
      </c>
      <c r="U1" s="11" t="s">
        <v>204</v>
      </c>
      <c r="V1" s="11" t="s">
        <v>205</v>
      </c>
      <c r="W1" s="11" t="s">
        <v>206</v>
      </c>
      <c r="X1" s="11" t="s">
        <v>267</v>
      </c>
      <c r="Y1" s="11" t="s">
        <v>221</v>
      </c>
      <c r="Z1" s="11" t="s">
        <v>222</v>
      </c>
      <c r="AA1" s="11" t="s">
        <v>179</v>
      </c>
      <c r="AB1" s="11" t="s">
        <v>180</v>
      </c>
      <c r="AC1" s="11" t="s">
        <v>181</v>
      </c>
      <c r="AD1" s="11" t="s">
        <v>182</v>
      </c>
      <c r="AE1" s="11" t="s">
        <v>183</v>
      </c>
      <c r="AF1" s="11" t="s">
        <v>184</v>
      </c>
      <c r="AG1" s="11" t="s">
        <v>185</v>
      </c>
      <c r="AH1" s="11" t="s">
        <v>186</v>
      </c>
      <c r="AI1" s="11" t="s">
        <v>187</v>
      </c>
      <c r="AJ1" s="11" t="s">
        <v>188</v>
      </c>
      <c r="AK1" s="11" t="s">
        <v>189</v>
      </c>
      <c r="AL1" s="11" t="s">
        <v>190</v>
      </c>
      <c r="AM1" s="11" t="s">
        <v>191</v>
      </c>
      <c r="AN1" s="11" t="s">
        <v>192</v>
      </c>
      <c r="AO1" s="11" t="s">
        <v>268</v>
      </c>
      <c r="AP1" s="11" t="s">
        <v>225</v>
      </c>
      <c r="AQ1" s="11" t="s">
        <v>226</v>
      </c>
      <c r="AR1" s="11" t="s">
        <v>207</v>
      </c>
      <c r="AS1" s="11" t="s">
        <v>208</v>
      </c>
      <c r="AT1" s="11" t="s">
        <v>209</v>
      </c>
      <c r="AU1" s="11" t="s">
        <v>210</v>
      </c>
      <c r="AV1" s="11" t="s">
        <v>211</v>
      </c>
      <c r="AW1" s="11" t="s">
        <v>212</v>
      </c>
      <c r="AX1" s="11" t="s">
        <v>213</v>
      </c>
      <c r="AY1" s="11" t="s">
        <v>214</v>
      </c>
      <c r="AZ1" s="11" t="s">
        <v>215</v>
      </c>
      <c r="BA1" s="11" t="s">
        <v>216</v>
      </c>
      <c r="BB1" s="11" t="s">
        <v>217</v>
      </c>
      <c r="BC1" s="11" t="s">
        <v>218</v>
      </c>
      <c r="BD1" s="11" t="s">
        <v>219</v>
      </c>
      <c r="BE1" s="11" t="s">
        <v>220</v>
      </c>
      <c r="BF1" s="11" t="s">
        <v>269</v>
      </c>
    </row>
    <row r="2" spans="1:58">
      <c r="A2" t="s">
        <v>1</v>
      </c>
      <c r="B2" t="s">
        <v>230</v>
      </c>
      <c r="C2" t="s">
        <v>2</v>
      </c>
      <c r="D2" t="s">
        <v>229</v>
      </c>
      <c r="E2" s="10">
        <v>1937239</v>
      </c>
      <c r="F2" s="10">
        <v>1941738</v>
      </c>
      <c r="G2" s="10">
        <v>3878977</v>
      </c>
      <c r="H2" s="10">
        <v>210483</v>
      </c>
      <c r="I2" s="10">
        <v>215867</v>
      </c>
      <c r="J2" s="10">
        <v>248705</v>
      </c>
      <c r="K2" s="10">
        <v>235360</v>
      </c>
      <c r="L2" s="10">
        <v>175331</v>
      </c>
      <c r="M2" s="10">
        <v>141231</v>
      </c>
      <c r="N2" s="10">
        <v>124752</v>
      </c>
      <c r="O2" s="10">
        <v>118724</v>
      </c>
      <c r="P2" s="10">
        <v>97191</v>
      </c>
      <c r="Q2" s="10">
        <v>89290</v>
      </c>
      <c r="R2" s="10">
        <v>68647</v>
      </c>
      <c r="S2" s="10">
        <v>66458</v>
      </c>
      <c r="T2" s="10">
        <v>45452</v>
      </c>
      <c r="U2" s="10">
        <v>42233</v>
      </c>
      <c r="V2" s="10">
        <v>27155</v>
      </c>
      <c r="W2" s="10">
        <v>18965</v>
      </c>
      <c r="X2" s="10">
        <v>11395</v>
      </c>
      <c r="Y2" s="10">
        <v>218758</v>
      </c>
      <c r="Z2" s="10">
        <v>224631</v>
      </c>
      <c r="AA2" s="10">
        <v>252614</v>
      </c>
      <c r="AB2" s="10">
        <v>244697</v>
      </c>
      <c r="AC2" s="10">
        <v>197853</v>
      </c>
      <c r="AD2" s="10">
        <v>147846</v>
      </c>
      <c r="AE2" s="10">
        <v>119759</v>
      </c>
      <c r="AF2" s="10">
        <v>104223</v>
      </c>
      <c r="AG2" s="10">
        <v>96942</v>
      </c>
      <c r="AH2" s="10">
        <v>86562</v>
      </c>
      <c r="AI2" s="10">
        <v>66047</v>
      </c>
      <c r="AJ2" s="10">
        <v>60055</v>
      </c>
      <c r="AK2" s="10">
        <v>38619</v>
      </c>
      <c r="AL2" s="10">
        <v>36743</v>
      </c>
      <c r="AM2" s="10">
        <v>21766</v>
      </c>
      <c r="AN2" s="10">
        <v>16548</v>
      </c>
      <c r="AO2" s="10">
        <v>8075</v>
      </c>
      <c r="AP2" s="10">
        <v>429241</v>
      </c>
      <c r="AQ2" s="10">
        <v>440498</v>
      </c>
      <c r="AR2" s="10">
        <v>501319</v>
      </c>
      <c r="AS2" s="10">
        <v>480057</v>
      </c>
      <c r="AT2" s="10">
        <v>373184</v>
      </c>
      <c r="AU2" s="10">
        <v>289077</v>
      </c>
      <c r="AV2" s="10">
        <v>244511</v>
      </c>
      <c r="AW2" s="10">
        <v>222947</v>
      </c>
      <c r="AX2" s="10">
        <v>194133</v>
      </c>
      <c r="AY2" s="10">
        <v>175852</v>
      </c>
      <c r="AZ2" s="10">
        <v>134694</v>
      </c>
      <c r="BA2" s="10">
        <v>126513</v>
      </c>
      <c r="BB2" s="10">
        <v>84071</v>
      </c>
      <c r="BC2" s="10">
        <v>78976</v>
      </c>
      <c r="BD2" s="10">
        <v>48921</v>
      </c>
      <c r="BE2" s="10">
        <v>35513</v>
      </c>
      <c r="BF2" s="10">
        <v>19470</v>
      </c>
    </row>
    <row r="3" spans="1:58">
      <c r="A3" t="s">
        <v>1</v>
      </c>
      <c r="B3" t="s">
        <v>230</v>
      </c>
      <c r="C3" t="s">
        <v>3</v>
      </c>
      <c r="D3" t="s">
        <v>266</v>
      </c>
      <c r="E3" s="10">
        <v>2168252</v>
      </c>
      <c r="F3" s="10">
        <v>2228347</v>
      </c>
      <c r="G3" s="10">
        <v>4396599</v>
      </c>
      <c r="H3" s="10">
        <v>372760</v>
      </c>
      <c r="I3" s="10">
        <v>320576</v>
      </c>
      <c r="J3" s="10">
        <v>273011</v>
      </c>
      <c r="K3" s="10">
        <v>233204</v>
      </c>
      <c r="L3" s="10">
        <v>190216</v>
      </c>
      <c r="M3" s="10">
        <v>155723</v>
      </c>
      <c r="N3" s="10">
        <v>131631</v>
      </c>
      <c r="O3" s="10">
        <v>105703</v>
      </c>
      <c r="P3" s="10">
        <v>93150</v>
      </c>
      <c r="Q3" s="10">
        <v>67345</v>
      </c>
      <c r="R3" s="10">
        <v>59734</v>
      </c>
      <c r="S3" s="10">
        <v>45221</v>
      </c>
      <c r="T3" s="10">
        <v>39961</v>
      </c>
      <c r="U3" s="10">
        <v>29740</v>
      </c>
      <c r="V3" s="10">
        <v>26280</v>
      </c>
      <c r="W3" s="10">
        <v>14250</v>
      </c>
      <c r="X3" s="10">
        <v>9747</v>
      </c>
      <c r="Y3" s="10">
        <v>391921</v>
      </c>
      <c r="Z3" s="10">
        <v>331150</v>
      </c>
      <c r="AA3" s="10">
        <v>277805</v>
      </c>
      <c r="AB3" s="10">
        <v>238530</v>
      </c>
      <c r="AC3" s="10">
        <v>190232</v>
      </c>
      <c r="AD3" s="10">
        <v>160292</v>
      </c>
      <c r="AE3" s="10">
        <v>138807</v>
      </c>
      <c r="AF3" s="10">
        <v>119876</v>
      </c>
      <c r="AG3" s="10">
        <v>95845</v>
      </c>
      <c r="AH3" s="10">
        <v>76036</v>
      </c>
      <c r="AI3" s="10">
        <v>56748</v>
      </c>
      <c r="AJ3" s="10">
        <v>48899</v>
      </c>
      <c r="AK3" s="10">
        <v>32936</v>
      </c>
      <c r="AL3" s="10">
        <v>28317</v>
      </c>
      <c r="AM3" s="10">
        <v>20135</v>
      </c>
      <c r="AN3" s="10">
        <v>13404</v>
      </c>
      <c r="AO3" s="10">
        <v>7414</v>
      </c>
      <c r="AP3" s="10">
        <v>764681</v>
      </c>
      <c r="AQ3" s="10">
        <v>651726</v>
      </c>
      <c r="AR3" s="10">
        <v>550816</v>
      </c>
      <c r="AS3" s="10">
        <v>471734</v>
      </c>
      <c r="AT3" s="10">
        <v>380448</v>
      </c>
      <c r="AU3" s="10">
        <v>316015</v>
      </c>
      <c r="AV3" s="10">
        <v>270438</v>
      </c>
      <c r="AW3" s="10">
        <v>225579</v>
      </c>
      <c r="AX3" s="10">
        <v>188995</v>
      </c>
      <c r="AY3" s="10">
        <v>143381</v>
      </c>
      <c r="AZ3" s="10">
        <v>116482</v>
      </c>
      <c r="BA3" s="10">
        <v>94120</v>
      </c>
      <c r="BB3" s="10">
        <v>72897</v>
      </c>
      <c r="BC3" s="10">
        <v>58057</v>
      </c>
      <c r="BD3" s="10">
        <v>46415</v>
      </c>
      <c r="BE3" s="10">
        <v>27654</v>
      </c>
      <c r="BF3" s="10">
        <v>17161</v>
      </c>
    </row>
    <row r="4" spans="1:58">
      <c r="A4" t="s">
        <v>1</v>
      </c>
      <c r="B4" t="s">
        <v>230</v>
      </c>
      <c r="C4" t="s">
        <v>4</v>
      </c>
      <c r="D4" t="s">
        <v>233</v>
      </c>
      <c r="E4" s="10">
        <v>2789212</v>
      </c>
      <c r="F4" s="10">
        <v>2876552</v>
      </c>
      <c r="G4" s="10">
        <v>5665764</v>
      </c>
      <c r="H4" s="10">
        <v>326260</v>
      </c>
      <c r="I4" s="10">
        <v>342223</v>
      </c>
      <c r="J4" s="10">
        <v>353787</v>
      </c>
      <c r="K4" s="10">
        <v>329383</v>
      </c>
      <c r="L4" s="10">
        <v>246884</v>
      </c>
      <c r="M4" s="10">
        <v>207987</v>
      </c>
      <c r="N4" s="10">
        <v>184349</v>
      </c>
      <c r="O4" s="10">
        <v>180667</v>
      </c>
      <c r="P4" s="10">
        <v>144644</v>
      </c>
      <c r="Q4" s="10">
        <v>130441</v>
      </c>
      <c r="R4" s="10">
        <v>94389</v>
      </c>
      <c r="S4" s="10">
        <v>82954</v>
      </c>
      <c r="T4" s="10">
        <v>63215</v>
      </c>
      <c r="U4" s="10">
        <v>52546</v>
      </c>
      <c r="V4" s="10">
        <v>26086</v>
      </c>
      <c r="W4" s="10">
        <v>15922</v>
      </c>
      <c r="X4" s="10">
        <v>7475</v>
      </c>
      <c r="Y4" s="10">
        <v>345584</v>
      </c>
      <c r="Z4" s="10">
        <v>364957</v>
      </c>
      <c r="AA4" s="10">
        <v>371722</v>
      </c>
      <c r="AB4" s="10">
        <v>355275</v>
      </c>
      <c r="AC4" s="10">
        <v>285723</v>
      </c>
      <c r="AD4" s="10">
        <v>216091</v>
      </c>
      <c r="AE4" s="10">
        <v>174848</v>
      </c>
      <c r="AF4" s="10">
        <v>159735</v>
      </c>
      <c r="AG4" s="10">
        <v>143522</v>
      </c>
      <c r="AH4" s="10">
        <v>125640</v>
      </c>
      <c r="AI4" s="10">
        <v>96021</v>
      </c>
      <c r="AJ4" s="10">
        <v>77876</v>
      </c>
      <c r="AK4" s="10">
        <v>61936</v>
      </c>
      <c r="AL4" s="10">
        <v>46240</v>
      </c>
      <c r="AM4" s="10">
        <v>27453</v>
      </c>
      <c r="AN4" s="10">
        <v>16233</v>
      </c>
      <c r="AO4" s="10">
        <v>7696</v>
      </c>
      <c r="AP4" s="10">
        <v>671844</v>
      </c>
      <c r="AQ4" s="10">
        <v>707180</v>
      </c>
      <c r="AR4" s="10">
        <v>725509</v>
      </c>
      <c r="AS4" s="10">
        <v>684658</v>
      </c>
      <c r="AT4" s="10">
        <v>532607</v>
      </c>
      <c r="AU4" s="10">
        <v>424078</v>
      </c>
      <c r="AV4" s="10">
        <v>359197</v>
      </c>
      <c r="AW4" s="10">
        <v>340402</v>
      </c>
      <c r="AX4" s="10">
        <v>288166</v>
      </c>
      <c r="AY4" s="10">
        <v>256081</v>
      </c>
      <c r="AZ4" s="10">
        <v>190410</v>
      </c>
      <c r="BA4" s="10">
        <v>160830</v>
      </c>
      <c r="BB4" s="10">
        <v>125151</v>
      </c>
      <c r="BC4" s="10">
        <v>98786</v>
      </c>
      <c r="BD4" s="10">
        <v>53539</v>
      </c>
      <c r="BE4" s="10">
        <v>32155</v>
      </c>
      <c r="BF4" s="10">
        <v>15171</v>
      </c>
    </row>
    <row r="5" spans="1:58">
      <c r="A5" t="s">
        <v>1</v>
      </c>
      <c r="B5" t="s">
        <v>230</v>
      </c>
      <c r="C5" t="s">
        <v>5</v>
      </c>
      <c r="D5" t="s">
        <v>245</v>
      </c>
      <c r="E5" s="10">
        <v>2932876</v>
      </c>
      <c r="F5" s="10">
        <v>3003908</v>
      </c>
      <c r="G5" s="10">
        <v>5936784</v>
      </c>
      <c r="H5" s="10">
        <v>319470</v>
      </c>
      <c r="I5" s="10">
        <v>334304</v>
      </c>
      <c r="J5" s="10">
        <v>379733</v>
      </c>
      <c r="K5" s="10">
        <v>357447</v>
      </c>
      <c r="L5" s="10">
        <v>273463</v>
      </c>
      <c r="M5" s="10">
        <v>225850</v>
      </c>
      <c r="N5" s="10">
        <v>193788</v>
      </c>
      <c r="O5" s="10">
        <v>185580</v>
      </c>
      <c r="P5" s="10">
        <v>149135</v>
      </c>
      <c r="Q5" s="10">
        <v>135868</v>
      </c>
      <c r="R5" s="10">
        <v>95878</v>
      </c>
      <c r="S5" s="10">
        <v>95605</v>
      </c>
      <c r="T5" s="10">
        <v>59135</v>
      </c>
      <c r="U5" s="10">
        <v>56517</v>
      </c>
      <c r="V5" s="10">
        <v>32959</v>
      </c>
      <c r="W5" s="10">
        <v>25634</v>
      </c>
      <c r="X5" s="10">
        <v>12510</v>
      </c>
      <c r="Y5" s="10">
        <v>332996</v>
      </c>
      <c r="Z5" s="10">
        <v>352714</v>
      </c>
      <c r="AA5" s="10">
        <v>388676</v>
      </c>
      <c r="AB5" s="10">
        <v>376016</v>
      </c>
      <c r="AC5" s="10">
        <v>304587</v>
      </c>
      <c r="AD5" s="10">
        <v>232124</v>
      </c>
      <c r="AE5" s="10">
        <v>187703</v>
      </c>
      <c r="AF5" s="10">
        <v>164634</v>
      </c>
      <c r="AG5" s="10">
        <v>153188</v>
      </c>
      <c r="AH5" s="10">
        <v>134792</v>
      </c>
      <c r="AI5" s="10">
        <v>105401</v>
      </c>
      <c r="AJ5" s="10">
        <v>89482</v>
      </c>
      <c r="AK5" s="10">
        <v>63031</v>
      </c>
      <c r="AL5" s="10">
        <v>53670</v>
      </c>
      <c r="AM5" s="10">
        <v>31439</v>
      </c>
      <c r="AN5" s="10">
        <v>22388</v>
      </c>
      <c r="AO5" s="10">
        <v>11067</v>
      </c>
      <c r="AP5" s="10">
        <v>652466</v>
      </c>
      <c r="AQ5" s="10">
        <v>687018</v>
      </c>
      <c r="AR5" s="10">
        <v>768409</v>
      </c>
      <c r="AS5" s="10">
        <v>733463</v>
      </c>
      <c r="AT5" s="10">
        <v>578050</v>
      </c>
      <c r="AU5" s="10">
        <v>457974</v>
      </c>
      <c r="AV5" s="10">
        <v>381491</v>
      </c>
      <c r="AW5" s="10">
        <v>350214</v>
      </c>
      <c r="AX5" s="10">
        <v>302323</v>
      </c>
      <c r="AY5" s="10">
        <v>270660</v>
      </c>
      <c r="AZ5" s="10">
        <v>201279</v>
      </c>
      <c r="BA5" s="10">
        <v>185087</v>
      </c>
      <c r="BB5" s="10">
        <v>122166</v>
      </c>
      <c r="BC5" s="10">
        <v>110187</v>
      </c>
      <c r="BD5" s="10">
        <v>64398</v>
      </c>
      <c r="BE5" s="10">
        <v>48022</v>
      </c>
      <c r="BF5" s="10">
        <v>23577</v>
      </c>
    </row>
    <row r="6" spans="1:58">
      <c r="A6" t="s">
        <v>1</v>
      </c>
      <c r="B6" t="s">
        <v>230</v>
      </c>
      <c r="C6" t="s">
        <v>6</v>
      </c>
      <c r="D6" t="s">
        <v>253</v>
      </c>
      <c r="E6" s="10">
        <v>3272516</v>
      </c>
      <c r="F6" s="10">
        <v>3417618</v>
      </c>
      <c r="G6" s="10">
        <v>6690134</v>
      </c>
      <c r="H6" s="10">
        <v>639299</v>
      </c>
      <c r="I6" s="10">
        <v>509011</v>
      </c>
      <c r="J6" s="10">
        <v>402259</v>
      </c>
      <c r="K6" s="10">
        <v>352254</v>
      </c>
      <c r="L6" s="10">
        <v>285240</v>
      </c>
      <c r="M6" s="10">
        <v>235858</v>
      </c>
      <c r="N6" s="10">
        <v>198776</v>
      </c>
      <c r="O6" s="10">
        <v>153495</v>
      </c>
      <c r="P6" s="10">
        <v>133251</v>
      </c>
      <c r="Q6" s="10">
        <v>90278</v>
      </c>
      <c r="R6" s="10">
        <v>83531</v>
      </c>
      <c r="S6" s="10">
        <v>51340</v>
      </c>
      <c r="T6" s="10">
        <v>51485</v>
      </c>
      <c r="U6" s="10">
        <v>30115</v>
      </c>
      <c r="V6" s="10">
        <v>28710</v>
      </c>
      <c r="W6" s="10">
        <v>15170</v>
      </c>
      <c r="X6" s="10">
        <v>12444</v>
      </c>
      <c r="Y6" s="10">
        <v>679500</v>
      </c>
      <c r="Z6" s="10">
        <v>545659</v>
      </c>
      <c r="AA6" s="10">
        <v>442014</v>
      </c>
      <c r="AB6" s="10">
        <v>362751</v>
      </c>
      <c r="AC6" s="10">
        <v>260764</v>
      </c>
      <c r="AD6" s="10">
        <v>223221</v>
      </c>
      <c r="AE6" s="10">
        <v>203035</v>
      </c>
      <c r="AF6" s="10">
        <v>168629</v>
      </c>
      <c r="AG6" s="10">
        <v>143572</v>
      </c>
      <c r="AH6" s="10">
        <v>103270</v>
      </c>
      <c r="AI6" s="10">
        <v>89342</v>
      </c>
      <c r="AJ6" s="10">
        <v>57851</v>
      </c>
      <c r="AK6" s="10">
        <v>50345</v>
      </c>
      <c r="AL6" s="10">
        <v>30837</v>
      </c>
      <c r="AM6" s="10">
        <v>29566</v>
      </c>
      <c r="AN6" s="10">
        <v>15850</v>
      </c>
      <c r="AO6" s="10">
        <v>11412</v>
      </c>
      <c r="AP6" s="10">
        <v>1318799</v>
      </c>
      <c r="AQ6" s="10">
        <v>1054670</v>
      </c>
      <c r="AR6" s="10">
        <v>844273</v>
      </c>
      <c r="AS6" s="10">
        <v>715005</v>
      </c>
      <c r="AT6" s="10">
        <v>546004</v>
      </c>
      <c r="AU6" s="10">
        <v>459079</v>
      </c>
      <c r="AV6" s="10">
        <v>401811</v>
      </c>
      <c r="AW6" s="10">
        <v>322124</v>
      </c>
      <c r="AX6" s="10">
        <v>276823</v>
      </c>
      <c r="AY6" s="10">
        <v>193548</v>
      </c>
      <c r="AZ6" s="10">
        <v>172873</v>
      </c>
      <c r="BA6" s="10">
        <v>109191</v>
      </c>
      <c r="BB6" s="10">
        <v>101830</v>
      </c>
      <c r="BC6" s="10">
        <v>60952</v>
      </c>
      <c r="BD6" s="10">
        <v>58276</v>
      </c>
      <c r="BE6" s="10">
        <v>31020</v>
      </c>
      <c r="BF6" s="10">
        <v>23856</v>
      </c>
    </row>
    <row r="7" spans="1:58">
      <c r="A7" t="s">
        <v>1</v>
      </c>
      <c r="B7" t="s">
        <v>230</v>
      </c>
      <c r="C7" t="s">
        <v>7</v>
      </c>
      <c r="D7" t="s">
        <v>265</v>
      </c>
      <c r="E7" s="10">
        <v>1236961</v>
      </c>
      <c r="F7" s="10">
        <v>1300813</v>
      </c>
      <c r="G7" s="10">
        <v>2537774</v>
      </c>
      <c r="H7" s="10">
        <v>150454</v>
      </c>
      <c r="I7" s="10">
        <v>157800</v>
      </c>
      <c r="J7" s="10">
        <v>157102</v>
      </c>
      <c r="K7" s="10">
        <v>144745</v>
      </c>
      <c r="L7" s="10">
        <v>109296</v>
      </c>
      <c r="M7" s="10">
        <v>93373</v>
      </c>
      <c r="N7" s="10">
        <v>84237</v>
      </c>
      <c r="O7" s="10">
        <v>80603</v>
      </c>
      <c r="P7" s="10">
        <v>62980</v>
      </c>
      <c r="Q7" s="10">
        <v>55671</v>
      </c>
      <c r="R7" s="10">
        <v>38799</v>
      </c>
      <c r="S7" s="10">
        <v>34675</v>
      </c>
      <c r="T7" s="10">
        <v>24906</v>
      </c>
      <c r="U7" s="10">
        <v>19395</v>
      </c>
      <c r="V7" s="10">
        <v>10835</v>
      </c>
      <c r="W7" s="10">
        <v>7773</v>
      </c>
      <c r="X7" s="10">
        <v>4317</v>
      </c>
      <c r="Y7" s="10">
        <v>158035</v>
      </c>
      <c r="Z7" s="10">
        <v>169405</v>
      </c>
      <c r="AA7" s="10">
        <v>167379</v>
      </c>
      <c r="AB7" s="10">
        <v>160580</v>
      </c>
      <c r="AC7" s="10">
        <v>128084</v>
      </c>
      <c r="AD7" s="10">
        <v>98740</v>
      </c>
      <c r="AE7" s="10">
        <v>82485</v>
      </c>
      <c r="AF7" s="10">
        <v>72773</v>
      </c>
      <c r="AG7" s="10">
        <v>65964</v>
      </c>
      <c r="AH7" s="10">
        <v>54387</v>
      </c>
      <c r="AI7" s="10">
        <v>43741</v>
      </c>
      <c r="AJ7" s="10">
        <v>31487</v>
      </c>
      <c r="AK7" s="10">
        <v>25781</v>
      </c>
      <c r="AL7" s="10">
        <v>17586</v>
      </c>
      <c r="AM7" s="10">
        <v>12790</v>
      </c>
      <c r="AN7" s="10">
        <v>7288</v>
      </c>
      <c r="AO7" s="10">
        <v>4308</v>
      </c>
      <c r="AP7" s="10">
        <v>308489</v>
      </c>
      <c r="AQ7" s="10">
        <v>327205</v>
      </c>
      <c r="AR7" s="10">
        <v>324481</v>
      </c>
      <c r="AS7" s="10">
        <v>305325</v>
      </c>
      <c r="AT7" s="10">
        <v>237380</v>
      </c>
      <c r="AU7" s="10">
        <v>192113</v>
      </c>
      <c r="AV7" s="10">
        <v>166722</v>
      </c>
      <c r="AW7" s="10">
        <v>153376</v>
      </c>
      <c r="AX7" s="10">
        <v>128944</v>
      </c>
      <c r="AY7" s="10">
        <v>110058</v>
      </c>
      <c r="AZ7" s="10">
        <v>82540</v>
      </c>
      <c r="BA7" s="10">
        <v>66162</v>
      </c>
      <c r="BB7" s="10">
        <v>50687</v>
      </c>
      <c r="BC7" s="10">
        <v>36981</v>
      </c>
      <c r="BD7" s="10">
        <v>23625</v>
      </c>
      <c r="BE7" s="10">
        <v>15061</v>
      </c>
      <c r="BF7" s="10">
        <v>8625</v>
      </c>
    </row>
    <row r="8" spans="1:58">
      <c r="A8" t="s">
        <v>1</v>
      </c>
      <c r="B8" t="s">
        <v>230</v>
      </c>
      <c r="C8" t="s">
        <v>8</v>
      </c>
      <c r="D8" t="s">
        <v>240</v>
      </c>
      <c r="E8" s="10">
        <v>2880342</v>
      </c>
      <c r="F8" s="10">
        <v>2934586</v>
      </c>
      <c r="G8" s="10">
        <v>5814928</v>
      </c>
      <c r="H8" s="10">
        <v>514586</v>
      </c>
      <c r="I8" s="10">
        <v>431588</v>
      </c>
      <c r="J8" s="10">
        <v>371409</v>
      </c>
      <c r="K8" s="10">
        <v>318050</v>
      </c>
      <c r="L8" s="10">
        <v>248992</v>
      </c>
      <c r="M8" s="10">
        <v>199610</v>
      </c>
      <c r="N8" s="10">
        <v>168682</v>
      </c>
      <c r="O8" s="10">
        <v>135038</v>
      </c>
      <c r="P8" s="10">
        <v>120485</v>
      </c>
      <c r="Q8" s="10">
        <v>86544</v>
      </c>
      <c r="R8" s="10">
        <v>75599</v>
      </c>
      <c r="S8" s="10">
        <v>54587</v>
      </c>
      <c r="T8" s="10">
        <v>57410</v>
      </c>
      <c r="U8" s="10">
        <v>37257</v>
      </c>
      <c r="V8" s="10">
        <v>29396</v>
      </c>
      <c r="W8" s="10">
        <v>17770</v>
      </c>
      <c r="X8" s="10">
        <v>13339</v>
      </c>
      <c r="Y8" s="10">
        <v>539300</v>
      </c>
      <c r="Z8" s="10">
        <v>445972</v>
      </c>
      <c r="AA8" s="10">
        <v>382231</v>
      </c>
      <c r="AB8" s="10">
        <v>330874</v>
      </c>
      <c r="AC8" s="10">
        <v>247899</v>
      </c>
      <c r="AD8" s="10">
        <v>201198</v>
      </c>
      <c r="AE8" s="10">
        <v>173256</v>
      </c>
      <c r="AF8" s="10">
        <v>146700</v>
      </c>
      <c r="AG8" s="10">
        <v>119001</v>
      </c>
      <c r="AH8" s="10">
        <v>95899</v>
      </c>
      <c r="AI8" s="10">
        <v>73977</v>
      </c>
      <c r="AJ8" s="10">
        <v>53904</v>
      </c>
      <c r="AK8" s="10">
        <v>43804</v>
      </c>
      <c r="AL8" s="10">
        <v>30213</v>
      </c>
      <c r="AM8" s="10">
        <v>23436</v>
      </c>
      <c r="AN8" s="10">
        <v>16003</v>
      </c>
      <c r="AO8" s="10">
        <v>10919</v>
      </c>
      <c r="AP8" s="10">
        <v>1053886</v>
      </c>
      <c r="AQ8" s="10">
        <v>877560</v>
      </c>
      <c r="AR8" s="10">
        <v>753640</v>
      </c>
      <c r="AS8" s="10">
        <v>648924</v>
      </c>
      <c r="AT8" s="10">
        <v>496891</v>
      </c>
      <c r="AU8" s="10">
        <v>400808</v>
      </c>
      <c r="AV8" s="10">
        <v>341938</v>
      </c>
      <c r="AW8" s="10">
        <v>281738</v>
      </c>
      <c r="AX8" s="10">
        <v>239486</v>
      </c>
      <c r="AY8" s="10">
        <v>182443</v>
      </c>
      <c r="AZ8" s="10">
        <v>149576</v>
      </c>
      <c r="BA8" s="10">
        <v>108491</v>
      </c>
      <c r="BB8" s="10">
        <v>101214</v>
      </c>
      <c r="BC8" s="10">
        <v>67470</v>
      </c>
      <c r="BD8" s="10">
        <v>52832</v>
      </c>
      <c r="BE8" s="10">
        <v>33773</v>
      </c>
      <c r="BF8" s="10">
        <v>24258</v>
      </c>
    </row>
    <row r="9" spans="1:58">
      <c r="A9" t="s">
        <v>1</v>
      </c>
      <c r="B9" t="s">
        <v>230</v>
      </c>
      <c r="C9" t="s">
        <v>9</v>
      </c>
      <c r="D9" t="s">
        <v>231</v>
      </c>
      <c r="E9" s="10">
        <v>3154724</v>
      </c>
      <c r="F9" s="10">
        <v>3440268</v>
      </c>
      <c r="G9" s="10">
        <v>6594992</v>
      </c>
      <c r="H9" s="10">
        <v>596867</v>
      </c>
      <c r="I9" s="10">
        <v>492977</v>
      </c>
      <c r="J9" s="10">
        <v>369247</v>
      </c>
      <c r="K9" s="10">
        <v>326928</v>
      </c>
      <c r="L9" s="10">
        <v>285460</v>
      </c>
      <c r="M9" s="10">
        <v>230533</v>
      </c>
      <c r="N9" s="10">
        <v>201616</v>
      </c>
      <c r="O9" s="10">
        <v>146564</v>
      </c>
      <c r="P9" s="10">
        <v>138886</v>
      </c>
      <c r="Q9" s="10">
        <v>84797</v>
      </c>
      <c r="R9" s="10">
        <v>87266</v>
      </c>
      <c r="S9" s="10">
        <v>49291</v>
      </c>
      <c r="T9" s="10">
        <v>56913</v>
      </c>
      <c r="U9" s="10">
        <v>28951</v>
      </c>
      <c r="V9" s="10">
        <v>31809</v>
      </c>
      <c r="W9" s="10">
        <v>14151</v>
      </c>
      <c r="X9" s="10">
        <v>12468</v>
      </c>
      <c r="Y9" s="10">
        <v>644945</v>
      </c>
      <c r="Z9" s="10">
        <v>544939</v>
      </c>
      <c r="AA9" s="10">
        <v>421873</v>
      </c>
      <c r="AB9" s="10">
        <v>348897</v>
      </c>
      <c r="AC9" s="10">
        <v>270790</v>
      </c>
      <c r="AD9" s="10">
        <v>233981</v>
      </c>
      <c r="AE9" s="10">
        <v>220992</v>
      </c>
      <c r="AF9" s="10">
        <v>176524</v>
      </c>
      <c r="AG9" s="10">
        <v>160850</v>
      </c>
      <c r="AH9" s="10">
        <v>108578</v>
      </c>
      <c r="AI9" s="10">
        <v>98736</v>
      </c>
      <c r="AJ9" s="10">
        <v>60103</v>
      </c>
      <c r="AK9" s="10">
        <v>60783</v>
      </c>
      <c r="AL9" s="10">
        <v>31453</v>
      </c>
      <c r="AM9" s="10">
        <v>31629</v>
      </c>
      <c r="AN9" s="10">
        <v>14056</v>
      </c>
      <c r="AO9" s="10">
        <v>11139</v>
      </c>
      <c r="AP9" s="10">
        <v>1241812</v>
      </c>
      <c r="AQ9" s="10">
        <v>1037916</v>
      </c>
      <c r="AR9" s="10">
        <v>791120</v>
      </c>
      <c r="AS9" s="10">
        <v>675825</v>
      </c>
      <c r="AT9" s="10">
        <v>556250</v>
      </c>
      <c r="AU9" s="10">
        <v>464514</v>
      </c>
      <c r="AV9" s="10">
        <v>422608</v>
      </c>
      <c r="AW9" s="10">
        <v>323088</v>
      </c>
      <c r="AX9" s="10">
        <v>299736</v>
      </c>
      <c r="AY9" s="10">
        <v>193375</v>
      </c>
      <c r="AZ9" s="10">
        <v>186002</v>
      </c>
      <c r="BA9" s="10">
        <v>109394</v>
      </c>
      <c r="BB9" s="10">
        <v>117696</v>
      </c>
      <c r="BC9" s="10">
        <v>60404</v>
      </c>
      <c r="BD9" s="10">
        <v>63438</v>
      </c>
      <c r="BE9" s="10">
        <v>28207</v>
      </c>
      <c r="BF9" s="10">
        <v>23607</v>
      </c>
    </row>
    <row r="10" spans="1:58">
      <c r="A10" t="s">
        <v>1</v>
      </c>
      <c r="B10" t="s">
        <v>230</v>
      </c>
      <c r="C10" t="s">
        <v>10</v>
      </c>
      <c r="D10" t="s">
        <v>236</v>
      </c>
      <c r="E10" s="10">
        <v>1942578</v>
      </c>
      <c r="F10" s="10">
        <v>2015687</v>
      </c>
      <c r="G10" s="10">
        <v>3958265</v>
      </c>
      <c r="H10" s="10">
        <v>243102</v>
      </c>
      <c r="I10" s="10">
        <v>247026</v>
      </c>
      <c r="J10" s="10">
        <v>247067</v>
      </c>
      <c r="K10" s="10">
        <v>228463</v>
      </c>
      <c r="L10" s="10">
        <v>177638</v>
      </c>
      <c r="M10" s="10">
        <v>145558</v>
      </c>
      <c r="N10" s="10">
        <v>127746</v>
      </c>
      <c r="O10" s="10">
        <v>120877</v>
      </c>
      <c r="P10" s="10">
        <v>98133</v>
      </c>
      <c r="Q10" s="10">
        <v>83858</v>
      </c>
      <c r="R10" s="10">
        <v>63626</v>
      </c>
      <c r="S10" s="10">
        <v>48751</v>
      </c>
      <c r="T10" s="10">
        <v>41139</v>
      </c>
      <c r="U10" s="10">
        <v>31640</v>
      </c>
      <c r="V10" s="10">
        <v>18689</v>
      </c>
      <c r="W10" s="10">
        <v>12559</v>
      </c>
      <c r="X10" s="10">
        <v>6706</v>
      </c>
      <c r="Y10" s="10">
        <v>255470</v>
      </c>
      <c r="Z10" s="10">
        <v>263801</v>
      </c>
      <c r="AA10" s="10">
        <v>260335</v>
      </c>
      <c r="AB10" s="10">
        <v>242320</v>
      </c>
      <c r="AC10" s="10">
        <v>199798</v>
      </c>
      <c r="AD10" s="10">
        <v>157222</v>
      </c>
      <c r="AE10" s="10">
        <v>125944</v>
      </c>
      <c r="AF10" s="10">
        <v>111965</v>
      </c>
      <c r="AG10" s="10">
        <v>99844</v>
      </c>
      <c r="AH10" s="10">
        <v>85277</v>
      </c>
      <c r="AI10" s="10">
        <v>65584</v>
      </c>
      <c r="AJ10" s="10">
        <v>48000</v>
      </c>
      <c r="AK10" s="10">
        <v>37811</v>
      </c>
      <c r="AL10" s="10">
        <v>28190</v>
      </c>
      <c r="AM10" s="10">
        <v>17153</v>
      </c>
      <c r="AN10" s="10">
        <v>10955</v>
      </c>
      <c r="AO10" s="10">
        <v>6018</v>
      </c>
      <c r="AP10" s="10">
        <v>498572</v>
      </c>
      <c r="AQ10" s="10">
        <v>510827</v>
      </c>
      <c r="AR10" s="10">
        <v>507402</v>
      </c>
      <c r="AS10" s="10">
        <v>470783</v>
      </c>
      <c r="AT10" s="10">
        <v>377436</v>
      </c>
      <c r="AU10" s="10">
        <v>302780</v>
      </c>
      <c r="AV10" s="10">
        <v>253690</v>
      </c>
      <c r="AW10" s="10">
        <v>232842</v>
      </c>
      <c r="AX10" s="10">
        <v>197977</v>
      </c>
      <c r="AY10" s="10">
        <v>169135</v>
      </c>
      <c r="AZ10" s="10">
        <v>129210</v>
      </c>
      <c r="BA10" s="10">
        <v>96751</v>
      </c>
      <c r="BB10" s="10">
        <v>78950</v>
      </c>
      <c r="BC10" s="10">
        <v>59830</v>
      </c>
      <c r="BD10" s="10">
        <v>35842</v>
      </c>
      <c r="BE10" s="10">
        <v>23514</v>
      </c>
      <c r="BF10" s="10">
        <v>12724</v>
      </c>
    </row>
    <row r="11" spans="1:58">
      <c r="A11" t="s">
        <v>1</v>
      </c>
      <c r="B11" t="s">
        <v>230</v>
      </c>
      <c r="C11" t="s">
        <v>11</v>
      </c>
      <c r="D11" t="s">
        <v>255</v>
      </c>
      <c r="E11" s="10">
        <v>2899761</v>
      </c>
      <c r="F11" s="10">
        <v>2927965</v>
      </c>
      <c r="G11" s="10">
        <v>5827726</v>
      </c>
      <c r="H11" s="10">
        <v>352059</v>
      </c>
      <c r="I11" s="10">
        <v>347139</v>
      </c>
      <c r="J11" s="10">
        <v>365330</v>
      </c>
      <c r="K11" s="10">
        <v>333023</v>
      </c>
      <c r="L11" s="10">
        <v>263756</v>
      </c>
      <c r="M11" s="10">
        <v>214716</v>
      </c>
      <c r="N11" s="10">
        <v>186714</v>
      </c>
      <c r="O11" s="10">
        <v>178217</v>
      </c>
      <c r="P11" s="10">
        <v>142570</v>
      </c>
      <c r="Q11" s="10">
        <v>132157</v>
      </c>
      <c r="R11" s="10">
        <v>95005</v>
      </c>
      <c r="S11" s="10">
        <v>96062</v>
      </c>
      <c r="T11" s="10">
        <v>59273</v>
      </c>
      <c r="U11" s="10">
        <v>55830</v>
      </c>
      <c r="V11" s="10">
        <v>35088</v>
      </c>
      <c r="W11" s="10">
        <v>27040</v>
      </c>
      <c r="X11" s="10">
        <v>15782</v>
      </c>
      <c r="Y11" s="10">
        <v>367102</v>
      </c>
      <c r="Z11" s="10">
        <v>363425</v>
      </c>
      <c r="AA11" s="10">
        <v>373194</v>
      </c>
      <c r="AB11" s="10">
        <v>353940</v>
      </c>
      <c r="AC11" s="10">
        <v>297603</v>
      </c>
      <c r="AD11" s="10">
        <v>227942</v>
      </c>
      <c r="AE11" s="10">
        <v>182870</v>
      </c>
      <c r="AF11" s="10">
        <v>163400</v>
      </c>
      <c r="AG11" s="10">
        <v>139733</v>
      </c>
      <c r="AH11" s="10">
        <v>123629</v>
      </c>
      <c r="AI11" s="10">
        <v>92496</v>
      </c>
      <c r="AJ11" s="10">
        <v>82655</v>
      </c>
      <c r="AK11" s="10">
        <v>52325</v>
      </c>
      <c r="AL11" s="10">
        <v>47402</v>
      </c>
      <c r="AM11" s="10">
        <v>27695</v>
      </c>
      <c r="AN11" s="10">
        <v>21886</v>
      </c>
      <c r="AO11" s="10">
        <v>10668</v>
      </c>
      <c r="AP11" s="10">
        <v>719161</v>
      </c>
      <c r="AQ11" s="10">
        <v>710564</v>
      </c>
      <c r="AR11" s="10">
        <v>738524</v>
      </c>
      <c r="AS11" s="10">
        <v>686963</v>
      </c>
      <c r="AT11" s="10">
        <v>561359</v>
      </c>
      <c r="AU11" s="10">
        <v>442658</v>
      </c>
      <c r="AV11" s="10">
        <v>369584</v>
      </c>
      <c r="AW11" s="10">
        <v>341617</v>
      </c>
      <c r="AX11" s="10">
        <v>282303</v>
      </c>
      <c r="AY11" s="10">
        <v>255786</v>
      </c>
      <c r="AZ11" s="10">
        <v>187501</v>
      </c>
      <c r="BA11" s="10">
        <v>178717</v>
      </c>
      <c r="BB11" s="10">
        <v>111598</v>
      </c>
      <c r="BC11" s="10">
        <v>103232</v>
      </c>
      <c r="BD11" s="10">
        <v>62783</v>
      </c>
      <c r="BE11" s="10">
        <v>48926</v>
      </c>
      <c r="BF11" s="10">
        <v>26450</v>
      </c>
    </row>
    <row r="12" spans="1:58">
      <c r="A12" t="s">
        <v>1</v>
      </c>
      <c r="B12" t="s">
        <v>230</v>
      </c>
      <c r="C12" t="s">
        <v>12</v>
      </c>
      <c r="D12" t="s">
        <v>234</v>
      </c>
      <c r="E12" s="10">
        <v>1523899</v>
      </c>
      <c r="F12" s="10">
        <v>1459234</v>
      </c>
      <c r="G12" s="10">
        <v>2983133</v>
      </c>
      <c r="H12" s="10">
        <v>207890</v>
      </c>
      <c r="I12" s="10">
        <v>199710</v>
      </c>
      <c r="J12" s="10">
        <v>194554</v>
      </c>
      <c r="K12" s="10">
        <v>179000</v>
      </c>
      <c r="L12" s="10">
        <v>125519</v>
      </c>
      <c r="M12" s="10">
        <v>104915</v>
      </c>
      <c r="N12" s="10">
        <v>94035</v>
      </c>
      <c r="O12" s="10">
        <v>90186</v>
      </c>
      <c r="P12" s="10">
        <v>76152</v>
      </c>
      <c r="Q12" s="10">
        <v>67676</v>
      </c>
      <c r="R12" s="10">
        <v>48162</v>
      </c>
      <c r="S12" s="10">
        <v>42488</v>
      </c>
      <c r="T12" s="10">
        <v>33954</v>
      </c>
      <c r="U12" s="10">
        <v>27586</v>
      </c>
      <c r="V12" s="10">
        <v>15951</v>
      </c>
      <c r="W12" s="10">
        <v>9976</v>
      </c>
      <c r="X12" s="10">
        <v>6145</v>
      </c>
      <c r="Y12" s="10">
        <v>213833</v>
      </c>
      <c r="Z12" s="10">
        <v>203754</v>
      </c>
      <c r="AA12" s="10">
        <v>197034</v>
      </c>
      <c r="AB12" s="10">
        <v>176671</v>
      </c>
      <c r="AC12" s="10">
        <v>132083</v>
      </c>
      <c r="AD12" s="10">
        <v>95485</v>
      </c>
      <c r="AE12" s="10">
        <v>79584</v>
      </c>
      <c r="AF12" s="10">
        <v>72338</v>
      </c>
      <c r="AG12" s="10">
        <v>67188</v>
      </c>
      <c r="AH12" s="10">
        <v>58447</v>
      </c>
      <c r="AI12" s="10">
        <v>46109</v>
      </c>
      <c r="AJ12" s="10">
        <v>36235</v>
      </c>
      <c r="AK12" s="10">
        <v>28541</v>
      </c>
      <c r="AL12" s="10">
        <v>22476</v>
      </c>
      <c r="AM12" s="10">
        <v>13855</v>
      </c>
      <c r="AN12" s="10">
        <v>10238</v>
      </c>
      <c r="AO12" s="10">
        <v>5363</v>
      </c>
      <c r="AP12" s="10">
        <v>421723</v>
      </c>
      <c r="AQ12" s="10">
        <v>403464</v>
      </c>
      <c r="AR12" s="10">
        <v>391588</v>
      </c>
      <c r="AS12" s="10">
        <v>355671</v>
      </c>
      <c r="AT12" s="10">
        <v>257602</v>
      </c>
      <c r="AU12" s="10">
        <v>200400</v>
      </c>
      <c r="AV12" s="10">
        <v>173619</v>
      </c>
      <c r="AW12" s="10">
        <v>162524</v>
      </c>
      <c r="AX12" s="10">
        <v>143340</v>
      </c>
      <c r="AY12" s="10">
        <v>126123</v>
      </c>
      <c r="AZ12" s="10">
        <v>94271</v>
      </c>
      <c r="BA12" s="10">
        <v>78723</v>
      </c>
      <c r="BB12" s="10">
        <v>62495</v>
      </c>
      <c r="BC12" s="10">
        <v>50062</v>
      </c>
      <c r="BD12" s="10">
        <v>29806</v>
      </c>
      <c r="BE12" s="10">
        <v>20214</v>
      </c>
      <c r="BF12" s="10">
        <v>11508</v>
      </c>
    </row>
    <row r="13" spans="1:58">
      <c r="A13" t="s">
        <v>1</v>
      </c>
      <c r="B13" t="s">
        <v>230</v>
      </c>
      <c r="C13" t="s">
        <v>13</v>
      </c>
      <c r="D13" t="s">
        <v>249</v>
      </c>
      <c r="E13" s="10">
        <v>2174346</v>
      </c>
      <c r="F13" s="10">
        <v>2218724</v>
      </c>
      <c r="G13" s="10">
        <v>4393070</v>
      </c>
      <c r="H13" s="10">
        <v>261756</v>
      </c>
      <c r="I13" s="10">
        <v>255925</v>
      </c>
      <c r="J13" s="10">
        <v>267795</v>
      </c>
      <c r="K13" s="10">
        <v>245304</v>
      </c>
      <c r="L13" s="10">
        <v>206957</v>
      </c>
      <c r="M13" s="10">
        <v>164130</v>
      </c>
      <c r="N13" s="10">
        <v>137442</v>
      </c>
      <c r="O13" s="10">
        <v>131252</v>
      </c>
      <c r="P13" s="10">
        <v>105276</v>
      </c>
      <c r="Q13" s="10">
        <v>99053</v>
      </c>
      <c r="R13" s="10">
        <v>71708</v>
      </c>
      <c r="S13" s="10">
        <v>74956</v>
      </c>
      <c r="T13" s="10">
        <v>45906</v>
      </c>
      <c r="U13" s="10">
        <v>45164</v>
      </c>
      <c r="V13" s="10">
        <v>27536</v>
      </c>
      <c r="W13" s="10">
        <v>21281</v>
      </c>
      <c r="X13" s="10">
        <v>12905</v>
      </c>
      <c r="Y13" s="10">
        <v>276429</v>
      </c>
      <c r="Z13" s="10">
        <v>267891</v>
      </c>
      <c r="AA13" s="10">
        <v>273219</v>
      </c>
      <c r="AB13" s="10">
        <v>262779</v>
      </c>
      <c r="AC13" s="10">
        <v>244690</v>
      </c>
      <c r="AD13" s="10">
        <v>191737</v>
      </c>
      <c r="AE13" s="10">
        <v>140876</v>
      </c>
      <c r="AF13" s="10">
        <v>122163</v>
      </c>
      <c r="AG13" s="10">
        <v>98953</v>
      </c>
      <c r="AH13" s="10">
        <v>91372</v>
      </c>
      <c r="AI13" s="10">
        <v>65990</v>
      </c>
      <c r="AJ13" s="10">
        <v>65097</v>
      </c>
      <c r="AK13" s="10">
        <v>37391</v>
      </c>
      <c r="AL13" s="10">
        <v>36243</v>
      </c>
      <c r="AM13" s="10">
        <v>20266</v>
      </c>
      <c r="AN13" s="10">
        <v>15590</v>
      </c>
      <c r="AO13" s="10">
        <v>8038</v>
      </c>
      <c r="AP13" s="10">
        <v>538185</v>
      </c>
      <c r="AQ13" s="10">
        <v>523816</v>
      </c>
      <c r="AR13" s="10">
        <v>541014</v>
      </c>
      <c r="AS13" s="10">
        <v>508083</v>
      </c>
      <c r="AT13" s="10">
        <v>451647</v>
      </c>
      <c r="AU13" s="10">
        <v>355867</v>
      </c>
      <c r="AV13" s="10">
        <v>278318</v>
      </c>
      <c r="AW13" s="10">
        <v>253415</v>
      </c>
      <c r="AX13" s="10">
        <v>204229</v>
      </c>
      <c r="AY13" s="10">
        <v>190425</v>
      </c>
      <c r="AZ13" s="10">
        <v>137698</v>
      </c>
      <c r="BA13" s="10">
        <v>140053</v>
      </c>
      <c r="BB13" s="10">
        <v>83297</v>
      </c>
      <c r="BC13" s="10">
        <v>81407</v>
      </c>
      <c r="BD13" s="10">
        <v>47802</v>
      </c>
      <c r="BE13" s="10">
        <v>36871</v>
      </c>
      <c r="BF13" s="10">
        <v>20943</v>
      </c>
    </row>
    <row r="14" spans="1:58">
      <c r="A14" t="s">
        <v>1</v>
      </c>
      <c r="B14" t="s">
        <v>230</v>
      </c>
      <c r="C14" t="s">
        <v>14</v>
      </c>
      <c r="D14" t="s">
        <v>241</v>
      </c>
      <c r="E14" s="10">
        <v>1740362</v>
      </c>
      <c r="F14" s="10">
        <v>1770590</v>
      </c>
      <c r="G14" s="10">
        <v>3510952</v>
      </c>
      <c r="H14" s="10">
        <v>188875</v>
      </c>
      <c r="I14" s="10">
        <v>207004</v>
      </c>
      <c r="J14" s="10">
        <v>230520</v>
      </c>
      <c r="K14" s="10">
        <v>217058</v>
      </c>
      <c r="L14" s="10">
        <v>175326</v>
      </c>
      <c r="M14" s="10">
        <v>125783</v>
      </c>
      <c r="N14" s="10">
        <v>105683</v>
      </c>
      <c r="O14" s="10">
        <v>105824</v>
      </c>
      <c r="P14" s="10">
        <v>84561</v>
      </c>
      <c r="Q14" s="10">
        <v>79616</v>
      </c>
      <c r="R14" s="10">
        <v>54939</v>
      </c>
      <c r="S14" s="10">
        <v>57642</v>
      </c>
      <c r="T14" s="10">
        <v>38065</v>
      </c>
      <c r="U14" s="10">
        <v>34165</v>
      </c>
      <c r="V14" s="10">
        <v>16611</v>
      </c>
      <c r="W14" s="10">
        <v>11695</v>
      </c>
      <c r="X14" s="10">
        <v>6995</v>
      </c>
      <c r="Y14" s="10">
        <v>199031</v>
      </c>
      <c r="Z14" s="10">
        <v>218957</v>
      </c>
      <c r="AA14" s="10">
        <v>241674</v>
      </c>
      <c r="AB14" s="10">
        <v>231477</v>
      </c>
      <c r="AC14" s="10">
        <v>198471</v>
      </c>
      <c r="AD14" s="10">
        <v>134938</v>
      </c>
      <c r="AE14" s="10">
        <v>101395</v>
      </c>
      <c r="AF14" s="10">
        <v>89201</v>
      </c>
      <c r="AG14" s="10">
        <v>83388</v>
      </c>
      <c r="AH14" s="10">
        <v>72033</v>
      </c>
      <c r="AI14" s="10">
        <v>58322</v>
      </c>
      <c r="AJ14" s="10">
        <v>44278</v>
      </c>
      <c r="AK14" s="10">
        <v>36026</v>
      </c>
      <c r="AL14" s="10">
        <v>27713</v>
      </c>
      <c r="AM14" s="10">
        <v>18326</v>
      </c>
      <c r="AN14" s="10">
        <v>9656</v>
      </c>
      <c r="AO14" s="10">
        <v>5704</v>
      </c>
      <c r="AP14" s="10">
        <v>387906</v>
      </c>
      <c r="AQ14" s="10">
        <v>425961</v>
      </c>
      <c r="AR14" s="10">
        <v>472194</v>
      </c>
      <c r="AS14" s="10">
        <v>448535</v>
      </c>
      <c r="AT14" s="10">
        <v>373797</v>
      </c>
      <c r="AU14" s="10">
        <v>260721</v>
      </c>
      <c r="AV14" s="10">
        <v>207078</v>
      </c>
      <c r="AW14" s="10">
        <v>195025</v>
      </c>
      <c r="AX14" s="10">
        <v>167949</v>
      </c>
      <c r="AY14" s="10">
        <v>151649</v>
      </c>
      <c r="AZ14" s="10">
        <v>113261</v>
      </c>
      <c r="BA14" s="10">
        <v>101920</v>
      </c>
      <c r="BB14" s="10">
        <v>74091</v>
      </c>
      <c r="BC14" s="10">
        <v>61878</v>
      </c>
      <c r="BD14" s="10">
        <v>34937</v>
      </c>
      <c r="BE14" s="10">
        <v>21351</v>
      </c>
      <c r="BF14" s="10">
        <v>12699</v>
      </c>
    </row>
    <row r="15" spans="1:58">
      <c r="A15" t="s">
        <v>1</v>
      </c>
      <c r="B15" t="s">
        <v>230</v>
      </c>
      <c r="C15" t="s">
        <v>15</v>
      </c>
      <c r="D15" t="s">
        <v>254</v>
      </c>
      <c r="E15" s="10">
        <v>2269376</v>
      </c>
      <c r="F15" s="10">
        <v>2146351</v>
      </c>
      <c r="G15" s="10">
        <v>4415727</v>
      </c>
      <c r="H15" s="10">
        <v>250024</v>
      </c>
      <c r="I15" s="10">
        <v>247712</v>
      </c>
      <c r="J15" s="10">
        <v>283922</v>
      </c>
      <c r="K15" s="10">
        <v>274784</v>
      </c>
      <c r="L15" s="10">
        <v>217205</v>
      </c>
      <c r="M15" s="10">
        <v>161621</v>
      </c>
      <c r="N15" s="10">
        <v>140126</v>
      </c>
      <c r="O15" s="10">
        <v>135981</v>
      </c>
      <c r="P15" s="10">
        <v>117125</v>
      </c>
      <c r="Q15" s="10">
        <v>110055</v>
      </c>
      <c r="R15" s="10">
        <v>82636</v>
      </c>
      <c r="S15" s="10">
        <v>79464</v>
      </c>
      <c r="T15" s="10">
        <v>57225</v>
      </c>
      <c r="U15" s="10">
        <v>51551</v>
      </c>
      <c r="V15" s="10">
        <v>29694</v>
      </c>
      <c r="W15" s="10">
        <v>19976</v>
      </c>
      <c r="X15" s="10">
        <v>10275</v>
      </c>
      <c r="Y15" s="10">
        <v>253101</v>
      </c>
      <c r="Z15" s="10">
        <v>254655</v>
      </c>
      <c r="AA15" s="10">
        <v>277433</v>
      </c>
      <c r="AB15" s="10">
        <v>261039</v>
      </c>
      <c r="AC15" s="10">
        <v>221637</v>
      </c>
      <c r="AD15" s="10">
        <v>158394</v>
      </c>
      <c r="AE15" s="10">
        <v>118345</v>
      </c>
      <c r="AF15" s="10">
        <v>108252</v>
      </c>
      <c r="AG15" s="10">
        <v>102622</v>
      </c>
      <c r="AH15" s="10">
        <v>98325</v>
      </c>
      <c r="AI15" s="10">
        <v>76391</v>
      </c>
      <c r="AJ15" s="10">
        <v>69909</v>
      </c>
      <c r="AK15" s="10">
        <v>49306</v>
      </c>
      <c r="AL15" s="10">
        <v>45193</v>
      </c>
      <c r="AM15" s="10">
        <v>27101</v>
      </c>
      <c r="AN15" s="10">
        <v>16472</v>
      </c>
      <c r="AO15" s="10">
        <v>8176</v>
      </c>
      <c r="AP15" s="10">
        <v>503125</v>
      </c>
      <c r="AQ15" s="10">
        <v>502367</v>
      </c>
      <c r="AR15" s="10">
        <v>561355</v>
      </c>
      <c r="AS15" s="10">
        <v>535823</v>
      </c>
      <c r="AT15" s="10">
        <v>438842</v>
      </c>
      <c r="AU15" s="10">
        <v>320015</v>
      </c>
      <c r="AV15" s="10">
        <v>258471</v>
      </c>
      <c r="AW15" s="10">
        <v>244233</v>
      </c>
      <c r="AX15" s="10">
        <v>219747</v>
      </c>
      <c r="AY15" s="10">
        <v>208380</v>
      </c>
      <c r="AZ15" s="10">
        <v>159027</v>
      </c>
      <c r="BA15" s="10">
        <v>149373</v>
      </c>
      <c r="BB15" s="10">
        <v>106531</v>
      </c>
      <c r="BC15" s="10">
        <v>96744</v>
      </c>
      <c r="BD15" s="10">
        <v>56795</v>
      </c>
      <c r="BE15" s="10">
        <v>36448</v>
      </c>
      <c r="BF15" s="10">
        <v>18451</v>
      </c>
    </row>
    <row r="16" spans="1:58">
      <c r="A16" t="s">
        <v>1</v>
      </c>
      <c r="B16" t="s">
        <v>230</v>
      </c>
      <c r="C16" t="s">
        <v>16</v>
      </c>
      <c r="D16" t="s">
        <v>232</v>
      </c>
      <c r="E16" s="10">
        <v>2262531</v>
      </c>
      <c r="F16" s="10">
        <v>2572216</v>
      </c>
      <c r="G16" s="10">
        <v>4834747</v>
      </c>
      <c r="H16" s="10">
        <v>368062</v>
      </c>
      <c r="I16" s="10">
        <v>295804</v>
      </c>
      <c r="J16" s="10">
        <v>274169</v>
      </c>
      <c r="K16" s="10">
        <v>226094</v>
      </c>
      <c r="L16" s="10">
        <v>240570</v>
      </c>
      <c r="M16" s="10">
        <v>239062</v>
      </c>
      <c r="N16" s="10">
        <v>186691</v>
      </c>
      <c r="O16" s="10">
        <v>144517</v>
      </c>
      <c r="P16" s="10">
        <v>92826</v>
      </c>
      <c r="Q16" s="10">
        <v>66230</v>
      </c>
      <c r="R16" s="10">
        <v>38666</v>
      </c>
      <c r="S16" s="10">
        <v>33081</v>
      </c>
      <c r="T16" s="10">
        <v>18099</v>
      </c>
      <c r="U16" s="10">
        <v>16523</v>
      </c>
      <c r="V16" s="10">
        <v>10377</v>
      </c>
      <c r="W16" s="10">
        <v>6774</v>
      </c>
      <c r="X16" s="10">
        <v>4986</v>
      </c>
      <c r="Y16" s="10">
        <v>366734</v>
      </c>
      <c r="Z16" s="10">
        <v>281057</v>
      </c>
      <c r="AA16" s="10">
        <v>232913</v>
      </c>
      <c r="AB16" s="10">
        <v>202152</v>
      </c>
      <c r="AC16" s="10">
        <v>248382</v>
      </c>
      <c r="AD16" s="10">
        <v>310563</v>
      </c>
      <c r="AE16" s="10">
        <v>263226</v>
      </c>
      <c r="AF16" s="10">
        <v>228757</v>
      </c>
      <c r="AG16" s="10">
        <v>148467</v>
      </c>
      <c r="AH16" s="10">
        <v>121262</v>
      </c>
      <c r="AI16" s="10">
        <v>62545</v>
      </c>
      <c r="AJ16" s="10">
        <v>53076</v>
      </c>
      <c r="AK16" s="10">
        <v>20135</v>
      </c>
      <c r="AL16" s="10">
        <v>16802</v>
      </c>
      <c r="AM16" s="10">
        <v>7187</v>
      </c>
      <c r="AN16" s="10">
        <v>5307</v>
      </c>
      <c r="AO16" s="10">
        <v>3651</v>
      </c>
      <c r="AP16" s="10">
        <v>734796</v>
      </c>
      <c r="AQ16" s="10">
        <v>576861</v>
      </c>
      <c r="AR16" s="10">
        <v>507082</v>
      </c>
      <c r="AS16" s="10">
        <v>428246</v>
      </c>
      <c r="AT16" s="10">
        <v>488952</v>
      </c>
      <c r="AU16" s="10">
        <v>549625</v>
      </c>
      <c r="AV16" s="10">
        <v>449917</v>
      </c>
      <c r="AW16" s="10">
        <v>373274</v>
      </c>
      <c r="AX16" s="10">
        <v>241293</v>
      </c>
      <c r="AY16" s="10">
        <v>187492</v>
      </c>
      <c r="AZ16" s="10">
        <v>101211</v>
      </c>
      <c r="BA16" s="10">
        <v>86157</v>
      </c>
      <c r="BB16" s="10">
        <v>38234</v>
      </c>
      <c r="BC16" s="10">
        <v>33325</v>
      </c>
      <c r="BD16" s="10">
        <v>17564</v>
      </c>
      <c r="BE16" s="10">
        <v>12081</v>
      </c>
      <c r="BF16" s="10">
        <v>8637</v>
      </c>
    </row>
    <row r="17" spans="1:58">
      <c r="A17" t="s">
        <v>1</v>
      </c>
      <c r="B17" t="s">
        <v>230</v>
      </c>
      <c r="C17" t="s">
        <v>17</v>
      </c>
      <c r="D17" t="s">
        <v>248</v>
      </c>
      <c r="E17" s="10">
        <v>1599560</v>
      </c>
      <c r="F17" s="10">
        <v>1792885</v>
      </c>
      <c r="G17" s="10">
        <v>3392445</v>
      </c>
      <c r="H17" s="10">
        <v>311596</v>
      </c>
      <c r="I17" s="10">
        <v>241005</v>
      </c>
      <c r="J17" s="10">
        <v>198060</v>
      </c>
      <c r="K17" s="10">
        <v>174248</v>
      </c>
      <c r="L17" s="10">
        <v>138293</v>
      </c>
      <c r="M17" s="10">
        <v>116708</v>
      </c>
      <c r="N17" s="10">
        <v>95232</v>
      </c>
      <c r="O17" s="10">
        <v>75830</v>
      </c>
      <c r="P17" s="10">
        <v>63848</v>
      </c>
      <c r="Q17" s="10">
        <v>45983</v>
      </c>
      <c r="R17" s="10">
        <v>39465</v>
      </c>
      <c r="S17" s="10">
        <v>28526</v>
      </c>
      <c r="T17" s="10">
        <v>24977</v>
      </c>
      <c r="U17" s="10">
        <v>17348</v>
      </c>
      <c r="V17" s="10">
        <v>14741</v>
      </c>
      <c r="W17" s="10">
        <v>8088</v>
      </c>
      <c r="X17" s="10">
        <v>5612</v>
      </c>
      <c r="Y17" s="10">
        <v>334511</v>
      </c>
      <c r="Z17" s="10">
        <v>277281</v>
      </c>
      <c r="AA17" s="10">
        <v>248163</v>
      </c>
      <c r="AB17" s="10">
        <v>209659</v>
      </c>
      <c r="AC17" s="10">
        <v>149392</v>
      </c>
      <c r="AD17" s="10">
        <v>119694</v>
      </c>
      <c r="AE17" s="10">
        <v>104192</v>
      </c>
      <c r="AF17" s="10">
        <v>87074</v>
      </c>
      <c r="AG17" s="10">
        <v>70682</v>
      </c>
      <c r="AH17" s="10">
        <v>53257</v>
      </c>
      <c r="AI17" s="10">
        <v>41639</v>
      </c>
      <c r="AJ17" s="10">
        <v>30353</v>
      </c>
      <c r="AK17" s="10">
        <v>23361</v>
      </c>
      <c r="AL17" s="10">
        <v>16672</v>
      </c>
      <c r="AM17" s="10">
        <v>13286</v>
      </c>
      <c r="AN17" s="10">
        <v>8762</v>
      </c>
      <c r="AO17" s="10">
        <v>4907</v>
      </c>
      <c r="AP17" s="10">
        <v>646107</v>
      </c>
      <c r="AQ17" s="10">
        <v>518286</v>
      </c>
      <c r="AR17" s="10">
        <v>446223</v>
      </c>
      <c r="AS17" s="10">
        <v>383907</v>
      </c>
      <c r="AT17" s="10">
        <v>287685</v>
      </c>
      <c r="AU17" s="10">
        <v>236402</v>
      </c>
      <c r="AV17" s="10">
        <v>199424</v>
      </c>
      <c r="AW17" s="10">
        <v>162904</v>
      </c>
      <c r="AX17" s="10">
        <v>134530</v>
      </c>
      <c r="AY17" s="10">
        <v>99240</v>
      </c>
      <c r="AZ17" s="10">
        <v>81104</v>
      </c>
      <c r="BA17" s="10">
        <v>58879</v>
      </c>
      <c r="BB17" s="10">
        <v>48338</v>
      </c>
      <c r="BC17" s="10">
        <v>34020</v>
      </c>
      <c r="BD17" s="10">
        <v>28027</v>
      </c>
      <c r="BE17" s="10">
        <v>16850</v>
      </c>
      <c r="BF17" s="10">
        <v>10519</v>
      </c>
    </row>
    <row r="18" spans="1:58">
      <c r="A18" t="s">
        <v>1</v>
      </c>
      <c r="B18" t="s">
        <v>230</v>
      </c>
      <c r="C18" t="s">
        <v>18</v>
      </c>
      <c r="D18" t="s">
        <v>237</v>
      </c>
      <c r="E18" s="10">
        <v>2765381</v>
      </c>
      <c r="F18" s="10">
        <v>2782146</v>
      </c>
      <c r="G18" s="10">
        <v>5547527</v>
      </c>
      <c r="H18" s="10">
        <v>309242</v>
      </c>
      <c r="I18" s="10">
        <v>315414</v>
      </c>
      <c r="J18" s="10">
        <v>350304</v>
      </c>
      <c r="K18" s="10">
        <v>327225</v>
      </c>
      <c r="L18" s="10">
        <v>246833</v>
      </c>
      <c r="M18" s="10">
        <v>201853</v>
      </c>
      <c r="N18" s="10">
        <v>178926</v>
      </c>
      <c r="O18" s="10">
        <v>174716</v>
      </c>
      <c r="P18" s="10">
        <v>142857</v>
      </c>
      <c r="Q18" s="10">
        <v>132292</v>
      </c>
      <c r="R18" s="10">
        <v>95830</v>
      </c>
      <c r="S18" s="10">
        <v>93207</v>
      </c>
      <c r="T18" s="10">
        <v>62793</v>
      </c>
      <c r="U18" s="10">
        <v>61769</v>
      </c>
      <c r="V18" s="10">
        <v>35109</v>
      </c>
      <c r="W18" s="10">
        <v>24762</v>
      </c>
      <c r="X18" s="10">
        <v>12249</v>
      </c>
      <c r="Y18" s="10">
        <v>325102</v>
      </c>
      <c r="Z18" s="10">
        <v>335341</v>
      </c>
      <c r="AA18" s="10">
        <v>361868</v>
      </c>
      <c r="AB18" s="10">
        <v>349158</v>
      </c>
      <c r="AC18" s="10">
        <v>279447</v>
      </c>
      <c r="AD18" s="10">
        <v>203489</v>
      </c>
      <c r="AE18" s="10">
        <v>163543</v>
      </c>
      <c r="AF18" s="10">
        <v>147223</v>
      </c>
      <c r="AG18" s="10">
        <v>138378</v>
      </c>
      <c r="AH18" s="10">
        <v>124953</v>
      </c>
      <c r="AI18" s="10">
        <v>97194</v>
      </c>
      <c r="AJ18" s="10">
        <v>83548</v>
      </c>
      <c r="AK18" s="10">
        <v>57973</v>
      </c>
      <c r="AL18" s="10">
        <v>50281</v>
      </c>
      <c r="AM18" s="10">
        <v>31470</v>
      </c>
      <c r="AN18" s="10">
        <v>22123</v>
      </c>
      <c r="AO18" s="10">
        <v>11055</v>
      </c>
      <c r="AP18" s="10">
        <v>634344</v>
      </c>
      <c r="AQ18" s="10">
        <v>650755</v>
      </c>
      <c r="AR18" s="10">
        <v>712172</v>
      </c>
      <c r="AS18" s="10">
        <v>676383</v>
      </c>
      <c r="AT18" s="10">
        <v>526280</v>
      </c>
      <c r="AU18" s="10">
        <v>405342</v>
      </c>
      <c r="AV18" s="10">
        <v>342469</v>
      </c>
      <c r="AW18" s="10">
        <v>321939</v>
      </c>
      <c r="AX18" s="10">
        <v>281235</v>
      </c>
      <c r="AY18" s="10">
        <v>257245</v>
      </c>
      <c r="AZ18" s="10">
        <v>193024</v>
      </c>
      <c r="BA18" s="10">
        <v>176755</v>
      </c>
      <c r="BB18" s="10">
        <v>120766</v>
      </c>
      <c r="BC18" s="10">
        <v>112050</v>
      </c>
      <c r="BD18" s="10">
        <v>66579</v>
      </c>
      <c r="BE18" s="10">
        <v>46885</v>
      </c>
      <c r="BF18" s="10">
        <v>23304</v>
      </c>
    </row>
    <row r="19" spans="1:58">
      <c r="A19" t="s">
        <v>1</v>
      </c>
      <c r="B19" t="s">
        <v>230</v>
      </c>
      <c r="C19" t="s">
        <v>19</v>
      </c>
      <c r="D19" t="s">
        <v>259</v>
      </c>
      <c r="E19" s="10">
        <v>2928464</v>
      </c>
      <c r="F19" s="10">
        <v>2993366</v>
      </c>
      <c r="G19" s="10">
        <v>5921830</v>
      </c>
      <c r="H19" s="10">
        <v>563813</v>
      </c>
      <c r="I19" s="10">
        <v>459277</v>
      </c>
      <c r="J19" s="10">
        <v>339830</v>
      </c>
      <c r="K19" s="10">
        <v>300660</v>
      </c>
      <c r="L19" s="10">
        <v>259361</v>
      </c>
      <c r="M19" s="10">
        <v>214203</v>
      </c>
      <c r="N19" s="10">
        <v>193560</v>
      </c>
      <c r="O19" s="10">
        <v>136409</v>
      </c>
      <c r="P19" s="10">
        <v>131297</v>
      </c>
      <c r="Q19" s="10">
        <v>75712</v>
      </c>
      <c r="R19" s="10">
        <v>82142</v>
      </c>
      <c r="S19" s="10">
        <v>41509</v>
      </c>
      <c r="T19" s="10">
        <v>51711</v>
      </c>
      <c r="U19" s="10">
        <v>23348</v>
      </c>
      <c r="V19" s="10">
        <v>31052</v>
      </c>
      <c r="W19" s="10">
        <v>11479</v>
      </c>
      <c r="X19" s="10">
        <v>13101</v>
      </c>
      <c r="Y19" s="10">
        <v>614198</v>
      </c>
      <c r="Z19" s="10">
        <v>482852</v>
      </c>
      <c r="AA19" s="10">
        <v>358722</v>
      </c>
      <c r="AB19" s="10">
        <v>291747</v>
      </c>
      <c r="AC19" s="10">
        <v>208354</v>
      </c>
      <c r="AD19" s="10">
        <v>184644</v>
      </c>
      <c r="AE19" s="10">
        <v>192209</v>
      </c>
      <c r="AF19" s="10">
        <v>151233</v>
      </c>
      <c r="AG19" s="10">
        <v>143479</v>
      </c>
      <c r="AH19" s="10">
        <v>88653</v>
      </c>
      <c r="AI19" s="10">
        <v>94036</v>
      </c>
      <c r="AJ19" s="10">
        <v>44362</v>
      </c>
      <c r="AK19" s="10">
        <v>55594</v>
      </c>
      <c r="AL19" s="10">
        <v>23145</v>
      </c>
      <c r="AM19" s="10">
        <v>35036</v>
      </c>
      <c r="AN19" s="10">
        <v>11747</v>
      </c>
      <c r="AO19" s="10">
        <v>13355</v>
      </c>
      <c r="AP19" s="10">
        <v>1178011</v>
      </c>
      <c r="AQ19" s="10">
        <v>942129</v>
      </c>
      <c r="AR19" s="10">
        <v>698552</v>
      </c>
      <c r="AS19" s="10">
        <v>592407</v>
      </c>
      <c r="AT19" s="10">
        <v>467715</v>
      </c>
      <c r="AU19" s="10">
        <v>398847</v>
      </c>
      <c r="AV19" s="10">
        <v>385769</v>
      </c>
      <c r="AW19" s="10">
        <v>287642</v>
      </c>
      <c r="AX19" s="10">
        <v>274776</v>
      </c>
      <c r="AY19" s="10">
        <v>164365</v>
      </c>
      <c r="AZ19" s="10">
        <v>176178</v>
      </c>
      <c r="BA19" s="10">
        <v>85871</v>
      </c>
      <c r="BB19" s="10">
        <v>107305</v>
      </c>
      <c r="BC19" s="10">
        <v>46493</v>
      </c>
      <c r="BD19" s="10">
        <v>66088</v>
      </c>
      <c r="BE19" s="10">
        <v>23226</v>
      </c>
      <c r="BF19" s="10">
        <v>26456</v>
      </c>
    </row>
    <row r="20" spans="1:58">
      <c r="A20" t="s">
        <v>1</v>
      </c>
      <c r="B20" t="s">
        <v>230</v>
      </c>
      <c r="C20" t="s">
        <v>20</v>
      </c>
      <c r="D20" t="s">
        <v>264</v>
      </c>
      <c r="E20" s="10">
        <v>4317996</v>
      </c>
      <c r="F20" s="10">
        <v>4440051</v>
      </c>
      <c r="G20" s="10">
        <v>8758047</v>
      </c>
      <c r="H20" s="10">
        <v>821129</v>
      </c>
      <c r="I20" s="10">
        <v>651306</v>
      </c>
      <c r="J20" s="10">
        <v>531399</v>
      </c>
      <c r="K20" s="10">
        <v>466750</v>
      </c>
      <c r="L20" s="10">
        <v>381545</v>
      </c>
      <c r="M20" s="10">
        <v>319033</v>
      </c>
      <c r="N20" s="10">
        <v>260737</v>
      </c>
      <c r="O20" s="10">
        <v>209617</v>
      </c>
      <c r="P20" s="10">
        <v>174590</v>
      </c>
      <c r="Q20" s="10">
        <v>126817</v>
      </c>
      <c r="R20" s="10">
        <v>104643</v>
      </c>
      <c r="S20" s="10">
        <v>81710</v>
      </c>
      <c r="T20" s="10">
        <v>61439</v>
      </c>
      <c r="U20" s="10">
        <v>46682</v>
      </c>
      <c r="V20" s="10">
        <v>38943</v>
      </c>
      <c r="W20" s="10">
        <v>23466</v>
      </c>
      <c r="X20" s="10">
        <v>18190</v>
      </c>
      <c r="Y20" s="10">
        <v>844977</v>
      </c>
      <c r="Z20" s="10">
        <v>668389</v>
      </c>
      <c r="AA20" s="10">
        <v>555616</v>
      </c>
      <c r="AB20" s="10">
        <v>471968</v>
      </c>
      <c r="AC20" s="10">
        <v>365548</v>
      </c>
      <c r="AD20" s="10">
        <v>317880</v>
      </c>
      <c r="AE20" s="10">
        <v>275283</v>
      </c>
      <c r="AF20" s="10">
        <v>236243</v>
      </c>
      <c r="AG20" s="10">
        <v>187951</v>
      </c>
      <c r="AH20" s="10">
        <v>145539</v>
      </c>
      <c r="AI20" s="10">
        <v>109636</v>
      </c>
      <c r="AJ20" s="10">
        <v>89037</v>
      </c>
      <c r="AK20" s="10">
        <v>58793</v>
      </c>
      <c r="AL20" s="10">
        <v>44237</v>
      </c>
      <c r="AM20" s="10">
        <v>32223</v>
      </c>
      <c r="AN20" s="10">
        <v>20891</v>
      </c>
      <c r="AO20" s="10">
        <v>15840</v>
      </c>
      <c r="AP20" s="10">
        <v>1666106</v>
      </c>
      <c r="AQ20" s="10">
        <v>1319695</v>
      </c>
      <c r="AR20" s="10">
        <v>1087015</v>
      </c>
      <c r="AS20" s="10">
        <v>938718</v>
      </c>
      <c r="AT20" s="10">
        <v>747093</v>
      </c>
      <c r="AU20" s="10">
        <v>636913</v>
      </c>
      <c r="AV20" s="10">
        <v>536020</v>
      </c>
      <c r="AW20" s="10">
        <v>445860</v>
      </c>
      <c r="AX20" s="10">
        <v>362541</v>
      </c>
      <c r="AY20" s="10">
        <v>272356</v>
      </c>
      <c r="AZ20" s="10">
        <v>214279</v>
      </c>
      <c r="BA20" s="10">
        <v>170747</v>
      </c>
      <c r="BB20" s="10">
        <v>120232</v>
      </c>
      <c r="BC20" s="10">
        <v>90919</v>
      </c>
      <c r="BD20" s="10">
        <v>71166</v>
      </c>
      <c r="BE20" s="10">
        <v>44357</v>
      </c>
      <c r="BF20" s="10">
        <v>34030</v>
      </c>
    </row>
    <row r="21" spans="1:58">
      <c r="A21" t="s">
        <v>1</v>
      </c>
      <c r="B21" t="s">
        <v>230</v>
      </c>
      <c r="C21" t="s">
        <v>21</v>
      </c>
      <c r="D21" t="s">
        <v>247</v>
      </c>
      <c r="E21" s="10">
        <v>6424609</v>
      </c>
      <c r="F21" s="10">
        <v>7187521</v>
      </c>
      <c r="G21" s="10">
        <v>13612130</v>
      </c>
      <c r="H21" s="10">
        <v>1256406</v>
      </c>
      <c r="I21" s="10">
        <v>1011215</v>
      </c>
      <c r="J21" s="10">
        <v>766886</v>
      </c>
      <c r="K21" s="10">
        <v>665509</v>
      </c>
      <c r="L21" s="10">
        <v>565371</v>
      </c>
      <c r="M21" s="10">
        <v>471469</v>
      </c>
      <c r="N21" s="10">
        <v>403281</v>
      </c>
      <c r="O21" s="10">
        <v>297232</v>
      </c>
      <c r="P21" s="10">
        <v>275925</v>
      </c>
      <c r="Q21" s="10">
        <v>166310</v>
      </c>
      <c r="R21" s="10">
        <v>170736</v>
      </c>
      <c r="S21" s="10">
        <v>94671</v>
      </c>
      <c r="T21" s="10">
        <v>102851</v>
      </c>
      <c r="U21" s="10">
        <v>52016</v>
      </c>
      <c r="V21" s="10">
        <v>67473</v>
      </c>
      <c r="W21" s="10">
        <v>26539</v>
      </c>
      <c r="X21" s="10">
        <v>30719</v>
      </c>
      <c r="Y21" s="10">
        <v>1342927</v>
      </c>
      <c r="Z21" s="10">
        <v>1107956</v>
      </c>
      <c r="AA21" s="10">
        <v>949996</v>
      </c>
      <c r="AB21" s="10">
        <v>811896</v>
      </c>
      <c r="AC21" s="10">
        <v>572752</v>
      </c>
      <c r="AD21" s="10">
        <v>481403</v>
      </c>
      <c r="AE21" s="10">
        <v>436874</v>
      </c>
      <c r="AF21" s="10">
        <v>355042</v>
      </c>
      <c r="AG21" s="10">
        <v>313063</v>
      </c>
      <c r="AH21" s="10">
        <v>208951</v>
      </c>
      <c r="AI21" s="10">
        <v>195036</v>
      </c>
      <c r="AJ21" s="10">
        <v>120240</v>
      </c>
      <c r="AK21" s="10">
        <v>112472</v>
      </c>
      <c r="AL21" s="10">
        <v>58784</v>
      </c>
      <c r="AM21" s="10">
        <v>65980</v>
      </c>
      <c r="AN21" s="10">
        <v>27544</v>
      </c>
      <c r="AO21" s="10">
        <v>26605</v>
      </c>
      <c r="AP21" s="10">
        <v>2599333</v>
      </c>
      <c r="AQ21" s="10">
        <v>2119171</v>
      </c>
      <c r="AR21" s="10">
        <v>1716882</v>
      </c>
      <c r="AS21" s="10">
        <v>1477405</v>
      </c>
      <c r="AT21" s="10">
        <v>1138123</v>
      </c>
      <c r="AU21" s="10">
        <v>952872</v>
      </c>
      <c r="AV21" s="10">
        <v>840155</v>
      </c>
      <c r="AW21" s="10">
        <v>652274</v>
      </c>
      <c r="AX21" s="10">
        <v>588988</v>
      </c>
      <c r="AY21" s="10">
        <v>375261</v>
      </c>
      <c r="AZ21" s="10">
        <v>365772</v>
      </c>
      <c r="BA21" s="10">
        <v>214911</v>
      </c>
      <c r="BB21" s="10">
        <v>215323</v>
      </c>
      <c r="BC21" s="10">
        <v>110800</v>
      </c>
      <c r="BD21" s="10">
        <v>133453</v>
      </c>
      <c r="BE21" s="10">
        <v>54083</v>
      </c>
      <c r="BF21" s="10">
        <v>57324</v>
      </c>
    </row>
    <row r="22" spans="1:58">
      <c r="A22" t="s">
        <v>1</v>
      </c>
      <c r="B22" t="s">
        <v>230</v>
      </c>
      <c r="C22" t="s">
        <v>23</v>
      </c>
      <c r="D22" t="s">
        <v>261</v>
      </c>
      <c r="E22" s="10">
        <v>3946121</v>
      </c>
      <c r="F22" s="10">
        <v>4104341</v>
      </c>
      <c r="G22" s="10">
        <v>8050462</v>
      </c>
      <c r="H22" s="10">
        <v>792645</v>
      </c>
      <c r="I22" s="10">
        <v>616698</v>
      </c>
      <c r="J22" s="10">
        <v>472450</v>
      </c>
      <c r="K22" s="10">
        <v>409151</v>
      </c>
      <c r="L22" s="10">
        <v>341581</v>
      </c>
      <c r="M22" s="10">
        <v>287685</v>
      </c>
      <c r="N22" s="10">
        <v>243017</v>
      </c>
      <c r="O22" s="10">
        <v>184850</v>
      </c>
      <c r="P22" s="10">
        <v>163563</v>
      </c>
      <c r="Q22" s="10">
        <v>106718</v>
      </c>
      <c r="R22" s="10">
        <v>101363</v>
      </c>
      <c r="S22" s="10">
        <v>60327</v>
      </c>
      <c r="T22" s="10">
        <v>63210</v>
      </c>
      <c r="U22" s="10">
        <v>34063</v>
      </c>
      <c r="V22" s="10">
        <v>36547</v>
      </c>
      <c r="W22" s="10">
        <v>17381</v>
      </c>
      <c r="X22" s="10">
        <v>14872</v>
      </c>
      <c r="Y22" s="10">
        <v>855762</v>
      </c>
      <c r="Z22" s="10">
        <v>663208</v>
      </c>
      <c r="AA22" s="10">
        <v>516254</v>
      </c>
      <c r="AB22" s="10">
        <v>413287</v>
      </c>
      <c r="AC22" s="10">
        <v>298887</v>
      </c>
      <c r="AD22" s="10">
        <v>261265</v>
      </c>
      <c r="AE22" s="10">
        <v>246915</v>
      </c>
      <c r="AF22" s="10">
        <v>205252</v>
      </c>
      <c r="AG22" s="10">
        <v>177914</v>
      </c>
      <c r="AH22" s="10">
        <v>124250</v>
      </c>
      <c r="AI22" s="10">
        <v>111981</v>
      </c>
      <c r="AJ22" s="10">
        <v>64741</v>
      </c>
      <c r="AK22" s="10">
        <v>64193</v>
      </c>
      <c r="AL22" s="10">
        <v>32605</v>
      </c>
      <c r="AM22" s="10">
        <v>36191</v>
      </c>
      <c r="AN22" s="10">
        <v>17490</v>
      </c>
      <c r="AO22" s="10">
        <v>14146</v>
      </c>
      <c r="AP22" s="10">
        <v>1648407</v>
      </c>
      <c r="AQ22" s="10">
        <v>1279906</v>
      </c>
      <c r="AR22" s="10">
        <v>988704</v>
      </c>
      <c r="AS22" s="10">
        <v>822438</v>
      </c>
      <c r="AT22" s="10">
        <v>640468</v>
      </c>
      <c r="AU22" s="10">
        <v>548950</v>
      </c>
      <c r="AV22" s="10">
        <v>489932</v>
      </c>
      <c r="AW22" s="10">
        <v>390102</v>
      </c>
      <c r="AX22" s="10">
        <v>341477</v>
      </c>
      <c r="AY22" s="10">
        <v>230968</v>
      </c>
      <c r="AZ22" s="10">
        <v>213344</v>
      </c>
      <c r="BA22" s="10">
        <v>125068</v>
      </c>
      <c r="BB22" s="10">
        <v>127403</v>
      </c>
      <c r="BC22" s="10">
        <v>66668</v>
      </c>
      <c r="BD22" s="10">
        <v>72738</v>
      </c>
      <c r="BE22" s="10">
        <v>34871</v>
      </c>
      <c r="BF22" s="10">
        <v>29018</v>
      </c>
    </row>
    <row r="23" spans="1:58">
      <c r="A23" t="s">
        <v>1</v>
      </c>
      <c r="B23" t="s">
        <v>230</v>
      </c>
      <c r="C23" t="s">
        <v>24</v>
      </c>
      <c r="D23" t="s">
        <v>252</v>
      </c>
      <c r="E23" s="10">
        <v>2240354</v>
      </c>
      <c r="F23" s="10">
        <v>2270120</v>
      </c>
      <c r="G23" s="10">
        <v>4510474</v>
      </c>
      <c r="H23" s="10">
        <v>434592</v>
      </c>
      <c r="I23" s="10">
        <v>371716</v>
      </c>
      <c r="J23" s="10">
        <v>266665</v>
      </c>
      <c r="K23" s="10">
        <v>225813</v>
      </c>
      <c r="L23" s="10">
        <v>195292</v>
      </c>
      <c r="M23" s="10">
        <v>166637</v>
      </c>
      <c r="N23" s="10">
        <v>136434</v>
      </c>
      <c r="O23" s="10">
        <v>101666</v>
      </c>
      <c r="P23" s="10">
        <v>93962</v>
      </c>
      <c r="Q23" s="10">
        <v>54681</v>
      </c>
      <c r="R23" s="10">
        <v>58969</v>
      </c>
      <c r="S23" s="10">
        <v>34810</v>
      </c>
      <c r="T23" s="10">
        <v>38285</v>
      </c>
      <c r="U23" s="10">
        <v>20772</v>
      </c>
      <c r="V23" s="10">
        <v>22484</v>
      </c>
      <c r="W23" s="10">
        <v>9368</v>
      </c>
      <c r="X23" s="10">
        <v>8208</v>
      </c>
      <c r="Y23" s="10">
        <v>460815</v>
      </c>
      <c r="Z23" s="10">
        <v>375139</v>
      </c>
      <c r="AA23" s="10">
        <v>281316</v>
      </c>
      <c r="AB23" s="10">
        <v>222841</v>
      </c>
      <c r="AC23" s="10">
        <v>159983</v>
      </c>
      <c r="AD23" s="10">
        <v>153342</v>
      </c>
      <c r="AE23" s="10">
        <v>138763</v>
      </c>
      <c r="AF23" s="10">
        <v>115221</v>
      </c>
      <c r="AG23" s="10">
        <v>96011</v>
      </c>
      <c r="AH23" s="10">
        <v>66407</v>
      </c>
      <c r="AI23" s="10">
        <v>60550</v>
      </c>
      <c r="AJ23" s="10">
        <v>43425</v>
      </c>
      <c r="AK23" s="10">
        <v>38085</v>
      </c>
      <c r="AL23" s="10">
        <v>22319</v>
      </c>
      <c r="AM23" s="10">
        <v>19369</v>
      </c>
      <c r="AN23" s="10">
        <v>9548</v>
      </c>
      <c r="AO23" s="10">
        <v>6986</v>
      </c>
      <c r="AP23" s="10">
        <v>895407</v>
      </c>
      <c r="AQ23" s="10">
        <v>746855</v>
      </c>
      <c r="AR23" s="10">
        <v>547981</v>
      </c>
      <c r="AS23" s="10">
        <v>448654</v>
      </c>
      <c r="AT23" s="10">
        <v>355275</v>
      </c>
      <c r="AU23" s="10">
        <v>319979</v>
      </c>
      <c r="AV23" s="10">
        <v>275197</v>
      </c>
      <c r="AW23" s="10">
        <v>216887</v>
      </c>
      <c r="AX23" s="10">
        <v>189973</v>
      </c>
      <c r="AY23" s="10">
        <v>121088</v>
      </c>
      <c r="AZ23" s="10">
        <v>119519</v>
      </c>
      <c r="BA23" s="10">
        <v>78235</v>
      </c>
      <c r="BB23" s="10">
        <v>76370</v>
      </c>
      <c r="BC23" s="10">
        <v>43091</v>
      </c>
      <c r="BD23" s="10">
        <v>41853</v>
      </c>
      <c r="BE23" s="10">
        <v>18916</v>
      </c>
      <c r="BF23" s="10">
        <v>15194</v>
      </c>
    </row>
    <row r="24" spans="1:58">
      <c r="A24" t="s">
        <v>1</v>
      </c>
      <c r="B24" t="s">
        <v>230</v>
      </c>
      <c r="C24" t="s">
        <v>25</v>
      </c>
      <c r="D24" t="s">
        <v>239</v>
      </c>
      <c r="E24" s="10">
        <v>2385417</v>
      </c>
      <c r="F24" s="10">
        <v>2451307</v>
      </c>
      <c r="G24" s="10">
        <v>4836724</v>
      </c>
      <c r="H24" s="10">
        <v>427979</v>
      </c>
      <c r="I24" s="10">
        <v>341146</v>
      </c>
      <c r="J24" s="10">
        <v>294002</v>
      </c>
      <c r="K24" s="10">
        <v>256409</v>
      </c>
      <c r="L24" s="10">
        <v>205935</v>
      </c>
      <c r="M24" s="10">
        <v>178793</v>
      </c>
      <c r="N24" s="10">
        <v>149077</v>
      </c>
      <c r="O24" s="10">
        <v>125434</v>
      </c>
      <c r="P24" s="10">
        <v>104451</v>
      </c>
      <c r="Q24" s="10">
        <v>79458</v>
      </c>
      <c r="R24" s="10">
        <v>62200</v>
      </c>
      <c r="S24" s="10">
        <v>49353</v>
      </c>
      <c r="T24" s="10">
        <v>40417</v>
      </c>
      <c r="U24" s="10">
        <v>31538</v>
      </c>
      <c r="V24" s="10">
        <v>19401</v>
      </c>
      <c r="W24" s="10">
        <v>11776</v>
      </c>
      <c r="X24" s="10">
        <v>8048</v>
      </c>
      <c r="Y24" s="10">
        <v>450046</v>
      </c>
      <c r="Z24" s="10">
        <v>357559</v>
      </c>
      <c r="AA24" s="10">
        <v>307624</v>
      </c>
      <c r="AB24" s="10">
        <v>267299</v>
      </c>
      <c r="AC24" s="10">
        <v>205971</v>
      </c>
      <c r="AD24" s="10">
        <v>173343</v>
      </c>
      <c r="AE24" s="10">
        <v>150802</v>
      </c>
      <c r="AF24" s="10">
        <v>129911</v>
      </c>
      <c r="AG24" s="10">
        <v>108089</v>
      </c>
      <c r="AH24" s="10">
        <v>85882</v>
      </c>
      <c r="AI24" s="10">
        <v>66505</v>
      </c>
      <c r="AJ24" s="10">
        <v>44898</v>
      </c>
      <c r="AK24" s="10">
        <v>39268</v>
      </c>
      <c r="AL24" s="10">
        <v>27993</v>
      </c>
      <c r="AM24" s="10">
        <v>18024</v>
      </c>
      <c r="AN24" s="10">
        <v>10938</v>
      </c>
      <c r="AO24" s="10">
        <v>7155</v>
      </c>
      <c r="AP24" s="10">
        <v>878025</v>
      </c>
      <c r="AQ24" s="10">
        <v>698705</v>
      </c>
      <c r="AR24" s="10">
        <v>601626</v>
      </c>
      <c r="AS24" s="10">
        <v>523708</v>
      </c>
      <c r="AT24" s="10">
        <v>411906</v>
      </c>
      <c r="AU24" s="10">
        <v>352136</v>
      </c>
      <c r="AV24" s="10">
        <v>299879</v>
      </c>
      <c r="AW24" s="10">
        <v>255345</v>
      </c>
      <c r="AX24" s="10">
        <v>212540</v>
      </c>
      <c r="AY24" s="10">
        <v>165340</v>
      </c>
      <c r="AZ24" s="10">
        <v>128705</v>
      </c>
      <c r="BA24" s="10">
        <v>94251</v>
      </c>
      <c r="BB24" s="10">
        <v>79685</v>
      </c>
      <c r="BC24" s="10">
        <v>59531</v>
      </c>
      <c r="BD24" s="10">
        <v>37425</v>
      </c>
      <c r="BE24" s="10">
        <v>22714</v>
      </c>
      <c r="BF24" s="10">
        <v>15203</v>
      </c>
    </row>
    <row r="25" spans="1:58">
      <c r="A25" t="s">
        <v>1</v>
      </c>
      <c r="B25" t="s">
        <v>230</v>
      </c>
      <c r="C25" t="s">
        <v>26</v>
      </c>
      <c r="D25" t="s">
        <v>258</v>
      </c>
      <c r="E25" s="10">
        <v>1665838</v>
      </c>
      <c r="F25" s="10">
        <v>1712869</v>
      </c>
      <c r="G25" s="10">
        <v>3378707</v>
      </c>
      <c r="H25" s="10">
        <v>283824</v>
      </c>
      <c r="I25" s="10">
        <v>234528</v>
      </c>
      <c r="J25" s="10">
        <v>203623</v>
      </c>
      <c r="K25" s="10">
        <v>173044</v>
      </c>
      <c r="L25" s="10">
        <v>143444</v>
      </c>
      <c r="M25" s="10">
        <v>125168</v>
      </c>
      <c r="N25" s="10">
        <v>104685</v>
      </c>
      <c r="O25" s="10">
        <v>88631</v>
      </c>
      <c r="P25" s="10">
        <v>76133</v>
      </c>
      <c r="Q25" s="10">
        <v>57849</v>
      </c>
      <c r="R25" s="10">
        <v>46492</v>
      </c>
      <c r="S25" s="10">
        <v>39773</v>
      </c>
      <c r="T25" s="10">
        <v>30625</v>
      </c>
      <c r="U25" s="10">
        <v>24516</v>
      </c>
      <c r="V25" s="10">
        <v>16093</v>
      </c>
      <c r="W25" s="10">
        <v>10772</v>
      </c>
      <c r="X25" s="10">
        <v>6638</v>
      </c>
      <c r="Y25" s="10">
        <v>296954</v>
      </c>
      <c r="Z25" s="10">
        <v>248272</v>
      </c>
      <c r="AA25" s="10">
        <v>214574</v>
      </c>
      <c r="AB25" s="10">
        <v>185581</v>
      </c>
      <c r="AC25" s="10">
        <v>148637</v>
      </c>
      <c r="AD25" s="10">
        <v>123171</v>
      </c>
      <c r="AE25" s="10">
        <v>105508</v>
      </c>
      <c r="AF25" s="10">
        <v>90881</v>
      </c>
      <c r="AG25" s="10">
        <v>78324</v>
      </c>
      <c r="AH25" s="10">
        <v>61280</v>
      </c>
      <c r="AI25" s="10">
        <v>47917</v>
      </c>
      <c r="AJ25" s="10">
        <v>34821</v>
      </c>
      <c r="AK25" s="10">
        <v>28766</v>
      </c>
      <c r="AL25" s="10">
        <v>21646</v>
      </c>
      <c r="AM25" s="10">
        <v>13654</v>
      </c>
      <c r="AN25" s="10">
        <v>7844</v>
      </c>
      <c r="AO25" s="10">
        <v>5039</v>
      </c>
      <c r="AP25" s="10">
        <v>580778</v>
      </c>
      <c r="AQ25" s="10">
        <v>482800</v>
      </c>
      <c r="AR25" s="10">
        <v>418197</v>
      </c>
      <c r="AS25" s="10">
        <v>358625</v>
      </c>
      <c r="AT25" s="10">
        <v>292081</v>
      </c>
      <c r="AU25" s="10">
        <v>248339</v>
      </c>
      <c r="AV25" s="10">
        <v>210193</v>
      </c>
      <c r="AW25" s="10">
        <v>179512</v>
      </c>
      <c r="AX25" s="10">
        <v>154457</v>
      </c>
      <c r="AY25" s="10">
        <v>119129</v>
      </c>
      <c r="AZ25" s="10">
        <v>94409</v>
      </c>
      <c r="BA25" s="10">
        <v>74594</v>
      </c>
      <c r="BB25" s="10">
        <v>59391</v>
      </c>
      <c r="BC25" s="10">
        <v>46162</v>
      </c>
      <c r="BD25" s="10">
        <v>29747</v>
      </c>
      <c r="BE25" s="10">
        <v>18616</v>
      </c>
      <c r="BF25" s="10">
        <v>11677</v>
      </c>
    </row>
    <row r="26" spans="1:58">
      <c r="A26" t="s">
        <v>1</v>
      </c>
      <c r="B26" t="s">
        <v>230</v>
      </c>
      <c r="C26" t="s">
        <v>27</v>
      </c>
      <c r="D26" t="s">
        <v>244</v>
      </c>
      <c r="E26" s="10">
        <v>7124371</v>
      </c>
      <c r="F26" s="10">
        <v>7755383</v>
      </c>
      <c r="G26" s="10">
        <v>14879754</v>
      </c>
      <c r="H26" s="10">
        <v>929948</v>
      </c>
      <c r="I26" s="10">
        <v>779056</v>
      </c>
      <c r="J26" s="10">
        <v>790382</v>
      </c>
      <c r="K26" s="10">
        <v>739251</v>
      </c>
      <c r="L26" s="10">
        <v>748929</v>
      </c>
      <c r="M26" s="10">
        <v>689190</v>
      </c>
      <c r="N26" s="10">
        <v>569628</v>
      </c>
      <c r="O26" s="10">
        <v>494720</v>
      </c>
      <c r="P26" s="10">
        <v>358912</v>
      </c>
      <c r="Q26" s="10">
        <v>300427</v>
      </c>
      <c r="R26" s="10">
        <v>201048</v>
      </c>
      <c r="S26" s="10">
        <v>199279</v>
      </c>
      <c r="T26" s="10">
        <v>108829</v>
      </c>
      <c r="U26" s="10">
        <v>99362</v>
      </c>
      <c r="V26" s="10">
        <v>52776</v>
      </c>
      <c r="W26" s="10">
        <v>39470</v>
      </c>
      <c r="X26" s="10">
        <v>23164</v>
      </c>
      <c r="Y26" s="10">
        <v>938127</v>
      </c>
      <c r="Z26" s="10">
        <v>764124</v>
      </c>
      <c r="AA26" s="10">
        <v>711671</v>
      </c>
      <c r="AB26" s="10">
        <v>726172</v>
      </c>
      <c r="AC26" s="10">
        <v>910295</v>
      </c>
      <c r="AD26" s="10">
        <v>888836</v>
      </c>
      <c r="AE26" s="10">
        <v>732696</v>
      </c>
      <c r="AF26" s="10">
        <v>635191</v>
      </c>
      <c r="AG26" s="10">
        <v>425939</v>
      </c>
      <c r="AH26" s="10">
        <v>351940</v>
      </c>
      <c r="AI26" s="10">
        <v>209085</v>
      </c>
      <c r="AJ26" s="10">
        <v>209088</v>
      </c>
      <c r="AK26" s="10">
        <v>93689</v>
      </c>
      <c r="AL26" s="10">
        <v>87826</v>
      </c>
      <c r="AM26" s="10">
        <v>34712</v>
      </c>
      <c r="AN26" s="10">
        <v>24664</v>
      </c>
      <c r="AO26" s="10">
        <v>11328</v>
      </c>
      <c r="AP26" s="10">
        <v>1868075</v>
      </c>
      <c r="AQ26" s="10">
        <v>1543180</v>
      </c>
      <c r="AR26" s="10">
        <v>1502053</v>
      </c>
      <c r="AS26" s="10">
        <v>1465423</v>
      </c>
      <c r="AT26" s="10">
        <v>1659224</v>
      </c>
      <c r="AU26" s="10">
        <v>1578026</v>
      </c>
      <c r="AV26" s="10">
        <v>1302324</v>
      </c>
      <c r="AW26" s="10">
        <v>1129911</v>
      </c>
      <c r="AX26" s="10">
        <v>784851</v>
      </c>
      <c r="AY26" s="10">
        <v>652367</v>
      </c>
      <c r="AZ26" s="10">
        <v>410133</v>
      </c>
      <c r="BA26" s="10">
        <v>408367</v>
      </c>
      <c r="BB26" s="10">
        <v>202518</v>
      </c>
      <c r="BC26" s="10">
        <v>187188</v>
      </c>
      <c r="BD26" s="10">
        <v>87488</v>
      </c>
      <c r="BE26" s="10">
        <v>64134</v>
      </c>
      <c r="BF26" s="10">
        <v>34492</v>
      </c>
    </row>
    <row r="27" spans="1:58">
      <c r="A27" t="s">
        <v>1</v>
      </c>
      <c r="B27" t="s">
        <v>230</v>
      </c>
      <c r="C27" t="s">
        <v>22</v>
      </c>
      <c r="D27" t="s">
        <v>251</v>
      </c>
      <c r="E27" s="10">
        <v>1260221</v>
      </c>
      <c r="F27" s="10">
        <v>1296779</v>
      </c>
      <c r="G27" s="10">
        <v>2557000</v>
      </c>
      <c r="H27" s="10">
        <v>236564</v>
      </c>
      <c r="I27" s="10">
        <v>186154</v>
      </c>
      <c r="J27" s="10">
        <v>154587</v>
      </c>
      <c r="K27" s="10">
        <v>136138</v>
      </c>
      <c r="L27" s="10">
        <v>114094</v>
      </c>
      <c r="M27" s="10">
        <v>98118</v>
      </c>
      <c r="N27" s="10">
        <v>77887</v>
      </c>
      <c r="O27" s="10">
        <v>61966</v>
      </c>
      <c r="P27" s="10">
        <v>50169</v>
      </c>
      <c r="Q27" s="10">
        <v>36788</v>
      </c>
      <c r="R27" s="10">
        <v>29629</v>
      </c>
      <c r="S27" s="10">
        <v>22587</v>
      </c>
      <c r="T27" s="10">
        <v>18541</v>
      </c>
      <c r="U27" s="10">
        <v>14892</v>
      </c>
      <c r="V27" s="10">
        <v>10278</v>
      </c>
      <c r="W27" s="10">
        <v>7163</v>
      </c>
      <c r="X27" s="10">
        <v>4666</v>
      </c>
      <c r="Y27" s="10">
        <v>242841</v>
      </c>
      <c r="Z27" s="10">
        <v>191349</v>
      </c>
      <c r="AA27" s="10">
        <v>159821</v>
      </c>
      <c r="AB27" s="10">
        <v>139754</v>
      </c>
      <c r="AC27" s="10">
        <v>109763</v>
      </c>
      <c r="AD27" s="10">
        <v>96818</v>
      </c>
      <c r="AE27" s="10">
        <v>83448</v>
      </c>
      <c r="AF27" s="10">
        <v>71211</v>
      </c>
      <c r="AG27" s="10">
        <v>55243</v>
      </c>
      <c r="AH27" s="10">
        <v>42945</v>
      </c>
      <c r="AI27" s="10">
        <v>31670</v>
      </c>
      <c r="AJ27" s="10">
        <v>22831</v>
      </c>
      <c r="AK27" s="10">
        <v>16394</v>
      </c>
      <c r="AL27" s="10">
        <v>13111</v>
      </c>
      <c r="AM27" s="10">
        <v>9268</v>
      </c>
      <c r="AN27" s="10">
        <v>5934</v>
      </c>
      <c r="AO27" s="10">
        <v>4378</v>
      </c>
      <c r="AP27" s="10">
        <v>479405</v>
      </c>
      <c r="AQ27" s="10">
        <v>377503</v>
      </c>
      <c r="AR27" s="10">
        <v>314408</v>
      </c>
      <c r="AS27" s="10">
        <v>275892</v>
      </c>
      <c r="AT27" s="10">
        <v>223857</v>
      </c>
      <c r="AU27" s="10">
        <v>194936</v>
      </c>
      <c r="AV27" s="10">
        <v>161335</v>
      </c>
      <c r="AW27" s="10">
        <v>133177</v>
      </c>
      <c r="AX27" s="10">
        <v>105412</v>
      </c>
      <c r="AY27" s="10">
        <v>79733</v>
      </c>
      <c r="AZ27" s="10">
        <v>61299</v>
      </c>
      <c r="BA27" s="10">
        <v>45418</v>
      </c>
      <c r="BB27" s="10">
        <v>34935</v>
      </c>
      <c r="BC27" s="10">
        <v>28003</v>
      </c>
      <c r="BD27" s="10">
        <v>19546</v>
      </c>
      <c r="BE27" s="10">
        <v>13097</v>
      </c>
      <c r="BF27" s="10">
        <v>9044</v>
      </c>
    </row>
    <row r="28" spans="1:58">
      <c r="A28" t="s">
        <v>1</v>
      </c>
      <c r="B28" t="s">
        <v>230</v>
      </c>
      <c r="C28" t="s">
        <v>28</v>
      </c>
      <c r="D28" t="s">
        <v>243</v>
      </c>
      <c r="E28" s="10">
        <v>2819061</v>
      </c>
      <c r="F28" s="10">
        <v>2926208</v>
      </c>
      <c r="G28" s="10">
        <v>5745269</v>
      </c>
      <c r="H28" s="10">
        <v>552571</v>
      </c>
      <c r="I28" s="10">
        <v>435222</v>
      </c>
      <c r="J28" s="10">
        <v>340390</v>
      </c>
      <c r="K28" s="10">
        <v>300216</v>
      </c>
      <c r="L28" s="10">
        <v>253403</v>
      </c>
      <c r="M28" s="10">
        <v>217287</v>
      </c>
      <c r="N28" s="10">
        <v>173566</v>
      </c>
      <c r="O28" s="10">
        <v>135623</v>
      </c>
      <c r="P28" s="10">
        <v>110145</v>
      </c>
      <c r="Q28" s="10">
        <v>77651</v>
      </c>
      <c r="R28" s="10">
        <v>65258</v>
      </c>
      <c r="S28" s="10">
        <v>46960</v>
      </c>
      <c r="T28" s="10">
        <v>39514</v>
      </c>
      <c r="U28" s="10">
        <v>28141</v>
      </c>
      <c r="V28" s="10">
        <v>20722</v>
      </c>
      <c r="W28" s="10">
        <v>12432</v>
      </c>
      <c r="X28" s="10">
        <v>9960</v>
      </c>
      <c r="Y28" s="10">
        <v>569848</v>
      </c>
      <c r="Z28" s="10">
        <v>451692</v>
      </c>
      <c r="AA28" s="10">
        <v>357464</v>
      </c>
      <c r="AB28" s="10">
        <v>294639</v>
      </c>
      <c r="AC28" s="10">
        <v>230006</v>
      </c>
      <c r="AD28" s="10">
        <v>209805</v>
      </c>
      <c r="AE28" s="10">
        <v>188691</v>
      </c>
      <c r="AF28" s="10">
        <v>160748</v>
      </c>
      <c r="AG28" s="10">
        <v>127827</v>
      </c>
      <c r="AH28" s="10">
        <v>95340</v>
      </c>
      <c r="AI28" s="10">
        <v>74705</v>
      </c>
      <c r="AJ28" s="10">
        <v>51481</v>
      </c>
      <c r="AK28" s="10">
        <v>40449</v>
      </c>
      <c r="AL28" s="10">
        <v>28391</v>
      </c>
      <c r="AM28" s="10">
        <v>22121</v>
      </c>
      <c r="AN28" s="10">
        <v>12766</v>
      </c>
      <c r="AO28" s="10">
        <v>10235</v>
      </c>
      <c r="AP28" s="10">
        <v>1122419</v>
      </c>
      <c r="AQ28" s="10">
        <v>886914</v>
      </c>
      <c r="AR28" s="10">
        <v>697854</v>
      </c>
      <c r="AS28" s="10">
        <v>594855</v>
      </c>
      <c r="AT28" s="10">
        <v>483409</v>
      </c>
      <c r="AU28" s="10">
        <v>427092</v>
      </c>
      <c r="AV28" s="10">
        <v>362257</v>
      </c>
      <c r="AW28" s="10">
        <v>296371</v>
      </c>
      <c r="AX28" s="10">
        <v>237972</v>
      </c>
      <c r="AY28" s="10">
        <v>172991</v>
      </c>
      <c r="AZ28" s="10">
        <v>139963</v>
      </c>
      <c r="BA28" s="10">
        <v>98441</v>
      </c>
      <c r="BB28" s="10">
        <v>79963</v>
      </c>
      <c r="BC28" s="10">
        <v>56532</v>
      </c>
      <c r="BD28" s="10">
        <v>42843</v>
      </c>
      <c r="BE28" s="10">
        <v>25198</v>
      </c>
      <c r="BF28" s="10">
        <v>20195</v>
      </c>
    </row>
    <row r="29" spans="1:58">
      <c r="A29" t="s">
        <v>1</v>
      </c>
      <c r="B29" t="s">
        <v>230</v>
      </c>
      <c r="C29" t="s">
        <v>29</v>
      </c>
      <c r="D29" t="s">
        <v>235</v>
      </c>
      <c r="E29" s="10">
        <v>2936477</v>
      </c>
      <c r="F29" s="10">
        <v>2917578</v>
      </c>
      <c r="G29" s="10">
        <v>5854055</v>
      </c>
      <c r="H29" s="10">
        <v>402034</v>
      </c>
      <c r="I29" s="10">
        <v>357660</v>
      </c>
      <c r="J29" s="10">
        <v>345551</v>
      </c>
      <c r="K29" s="10">
        <v>287097</v>
      </c>
      <c r="L29" s="10">
        <v>258573</v>
      </c>
      <c r="M29" s="10">
        <v>232009</v>
      </c>
      <c r="N29" s="10">
        <v>201769</v>
      </c>
      <c r="O29" s="10">
        <v>189160</v>
      </c>
      <c r="P29" s="10">
        <v>146492</v>
      </c>
      <c r="Q29" s="10">
        <v>123836</v>
      </c>
      <c r="R29" s="10">
        <v>91759</v>
      </c>
      <c r="S29" s="10">
        <v>90501</v>
      </c>
      <c r="T29" s="10">
        <v>62792</v>
      </c>
      <c r="U29" s="10">
        <v>63495</v>
      </c>
      <c r="V29" s="10">
        <v>38503</v>
      </c>
      <c r="W29" s="10">
        <v>28704</v>
      </c>
      <c r="X29" s="10">
        <v>16542</v>
      </c>
      <c r="Y29" s="10">
        <v>403228</v>
      </c>
      <c r="Z29" s="10">
        <v>359666</v>
      </c>
      <c r="AA29" s="10">
        <v>335879</v>
      </c>
      <c r="AB29" s="10">
        <v>300405</v>
      </c>
      <c r="AC29" s="10">
        <v>285927</v>
      </c>
      <c r="AD29" s="10">
        <v>248353</v>
      </c>
      <c r="AE29" s="10">
        <v>210296</v>
      </c>
      <c r="AF29" s="10">
        <v>195624</v>
      </c>
      <c r="AG29" s="10">
        <v>150417</v>
      </c>
      <c r="AH29" s="10">
        <v>128174</v>
      </c>
      <c r="AI29" s="10">
        <v>84739</v>
      </c>
      <c r="AJ29" s="10">
        <v>78853</v>
      </c>
      <c r="AK29" s="10">
        <v>45323</v>
      </c>
      <c r="AL29" s="10">
        <v>43439</v>
      </c>
      <c r="AM29" s="10">
        <v>23049</v>
      </c>
      <c r="AN29" s="10">
        <v>16545</v>
      </c>
      <c r="AO29" s="10">
        <v>7661</v>
      </c>
      <c r="AP29" s="10">
        <v>805262</v>
      </c>
      <c r="AQ29" s="10">
        <v>717326</v>
      </c>
      <c r="AR29" s="10">
        <v>681430</v>
      </c>
      <c r="AS29" s="10">
        <v>587502</v>
      </c>
      <c r="AT29" s="10">
        <v>544500</v>
      </c>
      <c r="AU29" s="10">
        <v>480362</v>
      </c>
      <c r="AV29" s="10">
        <v>412065</v>
      </c>
      <c r="AW29" s="10">
        <v>384784</v>
      </c>
      <c r="AX29" s="10">
        <v>296909</v>
      </c>
      <c r="AY29" s="10">
        <v>252010</v>
      </c>
      <c r="AZ29" s="10">
        <v>176498</v>
      </c>
      <c r="BA29" s="10">
        <v>169354</v>
      </c>
      <c r="BB29" s="10">
        <v>108115</v>
      </c>
      <c r="BC29" s="10">
        <v>106934</v>
      </c>
      <c r="BD29" s="10">
        <v>61552</v>
      </c>
      <c r="BE29" s="10">
        <v>45249</v>
      </c>
      <c r="BF29" s="10">
        <v>24203</v>
      </c>
    </row>
    <row r="30" spans="1:58">
      <c r="A30" t="s">
        <v>1</v>
      </c>
      <c r="B30" t="s">
        <v>230</v>
      </c>
      <c r="C30" t="s">
        <v>30</v>
      </c>
      <c r="D30" t="s">
        <v>250</v>
      </c>
      <c r="E30" s="10">
        <v>2320025</v>
      </c>
      <c r="F30" s="10">
        <v>2353384</v>
      </c>
      <c r="G30" s="10">
        <v>4673409</v>
      </c>
      <c r="H30" s="10">
        <v>281672</v>
      </c>
      <c r="I30" s="10">
        <v>288410</v>
      </c>
      <c r="J30" s="10">
        <v>297653</v>
      </c>
      <c r="K30" s="10">
        <v>259536</v>
      </c>
      <c r="L30" s="10">
        <v>199677</v>
      </c>
      <c r="M30" s="10">
        <v>172354</v>
      </c>
      <c r="N30" s="10">
        <v>152652</v>
      </c>
      <c r="O30" s="10">
        <v>146002</v>
      </c>
      <c r="P30" s="10">
        <v>118363</v>
      </c>
      <c r="Q30" s="10">
        <v>105421</v>
      </c>
      <c r="R30" s="10">
        <v>79073</v>
      </c>
      <c r="S30" s="10">
        <v>70074</v>
      </c>
      <c r="T30" s="10">
        <v>54143</v>
      </c>
      <c r="U30" s="10">
        <v>41946</v>
      </c>
      <c r="V30" s="10">
        <v>25423</v>
      </c>
      <c r="W30" s="10">
        <v>15966</v>
      </c>
      <c r="X30" s="10">
        <v>11660</v>
      </c>
      <c r="Y30" s="10">
        <v>291722</v>
      </c>
      <c r="Z30" s="10">
        <v>302779</v>
      </c>
      <c r="AA30" s="10">
        <v>308683</v>
      </c>
      <c r="AB30" s="10">
        <v>286443</v>
      </c>
      <c r="AC30" s="10">
        <v>235225</v>
      </c>
      <c r="AD30" s="10">
        <v>179772</v>
      </c>
      <c r="AE30" s="10">
        <v>146198</v>
      </c>
      <c r="AF30" s="10">
        <v>130116</v>
      </c>
      <c r="AG30" s="10">
        <v>114052</v>
      </c>
      <c r="AH30" s="10">
        <v>97464</v>
      </c>
      <c r="AI30" s="10">
        <v>75802</v>
      </c>
      <c r="AJ30" s="10">
        <v>57895</v>
      </c>
      <c r="AK30" s="10">
        <v>45355</v>
      </c>
      <c r="AL30" s="10">
        <v>36672</v>
      </c>
      <c r="AM30" s="10">
        <v>23448</v>
      </c>
      <c r="AN30" s="10">
        <v>13998</v>
      </c>
      <c r="AO30" s="10">
        <v>7760</v>
      </c>
      <c r="AP30" s="10">
        <v>573394</v>
      </c>
      <c r="AQ30" s="10">
        <v>591189</v>
      </c>
      <c r="AR30" s="10">
        <v>606336</v>
      </c>
      <c r="AS30" s="10">
        <v>545979</v>
      </c>
      <c r="AT30" s="10">
        <v>434902</v>
      </c>
      <c r="AU30" s="10">
        <v>352126</v>
      </c>
      <c r="AV30" s="10">
        <v>298850</v>
      </c>
      <c r="AW30" s="10">
        <v>276118</v>
      </c>
      <c r="AX30" s="10">
        <v>232415</v>
      </c>
      <c r="AY30" s="10">
        <v>202885</v>
      </c>
      <c r="AZ30" s="10">
        <v>154875</v>
      </c>
      <c r="BA30" s="10">
        <v>127969</v>
      </c>
      <c r="BB30" s="10">
        <v>99498</v>
      </c>
      <c r="BC30" s="10">
        <v>78618</v>
      </c>
      <c r="BD30" s="10">
        <v>48871</v>
      </c>
      <c r="BE30" s="10">
        <v>29964</v>
      </c>
      <c r="BF30" s="10">
        <v>19420</v>
      </c>
    </row>
    <row r="31" spans="1:58">
      <c r="A31" t="s">
        <v>1</v>
      </c>
      <c r="B31" t="s">
        <v>230</v>
      </c>
      <c r="C31" t="s">
        <v>31</v>
      </c>
      <c r="D31" t="s">
        <v>246</v>
      </c>
      <c r="E31" s="10">
        <v>2385471</v>
      </c>
      <c r="F31" s="10">
        <v>2443269</v>
      </c>
      <c r="G31" s="10">
        <v>4828740</v>
      </c>
      <c r="H31" s="10">
        <v>269645</v>
      </c>
      <c r="I31" s="10">
        <v>287556</v>
      </c>
      <c r="J31" s="10">
        <v>304310</v>
      </c>
      <c r="K31" s="10">
        <v>274168</v>
      </c>
      <c r="L31" s="10">
        <v>212150</v>
      </c>
      <c r="M31" s="10">
        <v>178089</v>
      </c>
      <c r="N31" s="10">
        <v>151732</v>
      </c>
      <c r="O31" s="10">
        <v>151780</v>
      </c>
      <c r="P31" s="10">
        <v>123117</v>
      </c>
      <c r="Q31" s="10">
        <v>113642</v>
      </c>
      <c r="R31" s="10">
        <v>81809</v>
      </c>
      <c r="S31" s="10">
        <v>81403</v>
      </c>
      <c r="T31" s="10">
        <v>54396</v>
      </c>
      <c r="U31" s="10">
        <v>47089</v>
      </c>
      <c r="V31" s="10">
        <v>27146</v>
      </c>
      <c r="W31" s="10">
        <v>17095</v>
      </c>
      <c r="X31" s="10">
        <v>10344</v>
      </c>
      <c r="Y31" s="10">
        <v>284829</v>
      </c>
      <c r="Z31" s="10">
        <v>305718</v>
      </c>
      <c r="AA31" s="10">
        <v>317281</v>
      </c>
      <c r="AB31" s="10">
        <v>303336</v>
      </c>
      <c r="AC31" s="10">
        <v>257958</v>
      </c>
      <c r="AD31" s="10">
        <v>190982</v>
      </c>
      <c r="AE31" s="10">
        <v>146328</v>
      </c>
      <c r="AF31" s="10">
        <v>129984</v>
      </c>
      <c r="AG31" s="10">
        <v>120048</v>
      </c>
      <c r="AH31" s="10">
        <v>103685</v>
      </c>
      <c r="AI31" s="10">
        <v>82885</v>
      </c>
      <c r="AJ31" s="10">
        <v>63976</v>
      </c>
      <c r="AK31" s="10">
        <v>48924</v>
      </c>
      <c r="AL31" s="10">
        <v>39919</v>
      </c>
      <c r="AM31" s="10">
        <v>23821</v>
      </c>
      <c r="AN31" s="10">
        <v>15119</v>
      </c>
      <c r="AO31" s="10">
        <v>8476</v>
      </c>
      <c r="AP31" s="10">
        <v>554474</v>
      </c>
      <c r="AQ31" s="10">
        <v>593274</v>
      </c>
      <c r="AR31" s="10">
        <v>621591</v>
      </c>
      <c r="AS31" s="10">
        <v>577504</v>
      </c>
      <c r="AT31" s="10">
        <v>470108</v>
      </c>
      <c r="AU31" s="10">
        <v>369071</v>
      </c>
      <c r="AV31" s="10">
        <v>298060</v>
      </c>
      <c r="AW31" s="10">
        <v>281764</v>
      </c>
      <c r="AX31" s="10">
        <v>243165</v>
      </c>
      <c r="AY31" s="10">
        <v>217327</v>
      </c>
      <c r="AZ31" s="10">
        <v>164694</v>
      </c>
      <c r="BA31" s="10">
        <v>145379</v>
      </c>
      <c r="BB31" s="10">
        <v>103320</v>
      </c>
      <c r="BC31" s="10">
        <v>87008</v>
      </c>
      <c r="BD31" s="10">
        <v>50967</v>
      </c>
      <c r="BE31" s="10">
        <v>32214</v>
      </c>
      <c r="BF31" s="10">
        <v>18820</v>
      </c>
    </row>
    <row r="32" spans="1:58">
      <c r="A32" t="s">
        <v>1</v>
      </c>
      <c r="B32" t="s">
        <v>230</v>
      </c>
      <c r="C32" t="s">
        <v>32</v>
      </c>
      <c r="D32" t="s">
        <v>242</v>
      </c>
      <c r="E32" s="10">
        <v>4218601</v>
      </c>
      <c r="F32" s="10">
        <v>4251985</v>
      </c>
      <c r="G32" s="10">
        <v>8470586</v>
      </c>
      <c r="H32" s="10">
        <v>514856</v>
      </c>
      <c r="I32" s="10">
        <v>525498</v>
      </c>
      <c r="J32" s="10">
        <v>530774</v>
      </c>
      <c r="K32" s="10">
        <v>450923</v>
      </c>
      <c r="L32" s="10">
        <v>361253</v>
      </c>
      <c r="M32" s="10">
        <v>320194</v>
      </c>
      <c r="N32" s="10">
        <v>282161</v>
      </c>
      <c r="O32" s="10">
        <v>269044</v>
      </c>
      <c r="P32" s="10">
        <v>214091</v>
      </c>
      <c r="Q32" s="10">
        <v>193454</v>
      </c>
      <c r="R32" s="10">
        <v>140699</v>
      </c>
      <c r="S32" s="10">
        <v>138481</v>
      </c>
      <c r="T32" s="10">
        <v>92220</v>
      </c>
      <c r="U32" s="10">
        <v>84685</v>
      </c>
      <c r="V32" s="10">
        <v>47448</v>
      </c>
      <c r="W32" s="10">
        <v>33108</v>
      </c>
      <c r="X32" s="10">
        <v>19712</v>
      </c>
      <c r="Y32" s="10">
        <v>534705</v>
      </c>
      <c r="Z32" s="10">
        <v>545277</v>
      </c>
      <c r="AA32" s="10">
        <v>543253</v>
      </c>
      <c r="AB32" s="10">
        <v>490036</v>
      </c>
      <c r="AC32" s="10">
        <v>415062</v>
      </c>
      <c r="AD32" s="10">
        <v>330275</v>
      </c>
      <c r="AE32" s="10">
        <v>273646</v>
      </c>
      <c r="AF32" s="10">
        <v>246628</v>
      </c>
      <c r="AG32" s="10">
        <v>213766</v>
      </c>
      <c r="AH32" s="10">
        <v>181584</v>
      </c>
      <c r="AI32" s="10">
        <v>137562</v>
      </c>
      <c r="AJ32" s="10">
        <v>112465</v>
      </c>
      <c r="AK32" s="10">
        <v>80129</v>
      </c>
      <c r="AL32" s="10">
        <v>69038</v>
      </c>
      <c r="AM32" s="10">
        <v>39256</v>
      </c>
      <c r="AN32" s="10">
        <v>25386</v>
      </c>
      <c r="AO32" s="10">
        <v>13917</v>
      </c>
      <c r="AP32" s="10">
        <v>1049561</v>
      </c>
      <c r="AQ32" s="10">
        <v>1070775</v>
      </c>
      <c r="AR32" s="10">
        <v>1074027</v>
      </c>
      <c r="AS32" s="10">
        <v>940959</v>
      </c>
      <c r="AT32" s="10">
        <v>776315</v>
      </c>
      <c r="AU32" s="10">
        <v>650469</v>
      </c>
      <c r="AV32" s="10">
        <v>555807</v>
      </c>
      <c r="AW32" s="10">
        <v>515672</v>
      </c>
      <c r="AX32" s="10">
        <v>427857</v>
      </c>
      <c r="AY32" s="10">
        <v>375038</v>
      </c>
      <c r="AZ32" s="10">
        <v>278261</v>
      </c>
      <c r="BA32" s="10">
        <v>250946</v>
      </c>
      <c r="BB32" s="10">
        <v>172349</v>
      </c>
      <c r="BC32" s="10">
        <v>153723</v>
      </c>
      <c r="BD32" s="10">
        <v>86704</v>
      </c>
      <c r="BE32" s="10">
        <v>58494</v>
      </c>
      <c r="BF32" s="10">
        <v>33629</v>
      </c>
    </row>
    <row r="33" spans="1:58">
      <c r="A33" t="s">
        <v>1</v>
      </c>
      <c r="B33" t="s">
        <v>230</v>
      </c>
      <c r="C33" t="s">
        <v>33</v>
      </c>
      <c r="D33" t="s">
        <v>262</v>
      </c>
      <c r="E33" s="10">
        <v>2176136</v>
      </c>
      <c r="F33" s="10">
        <v>2174496</v>
      </c>
      <c r="G33" s="10">
        <v>4350632</v>
      </c>
      <c r="H33" s="10">
        <v>363253</v>
      </c>
      <c r="I33" s="10">
        <v>318348</v>
      </c>
      <c r="J33" s="10">
        <v>280912</v>
      </c>
      <c r="K33" s="10">
        <v>242134</v>
      </c>
      <c r="L33" s="10">
        <v>193128</v>
      </c>
      <c r="M33" s="10">
        <v>160033</v>
      </c>
      <c r="N33" s="10">
        <v>130028</v>
      </c>
      <c r="O33" s="10">
        <v>108009</v>
      </c>
      <c r="P33" s="10">
        <v>88258</v>
      </c>
      <c r="Q33" s="10">
        <v>69751</v>
      </c>
      <c r="R33" s="10">
        <v>55811</v>
      </c>
      <c r="S33" s="10">
        <v>47690</v>
      </c>
      <c r="T33" s="10">
        <v>36727</v>
      </c>
      <c r="U33" s="10">
        <v>31858</v>
      </c>
      <c r="V33" s="10">
        <v>24243</v>
      </c>
      <c r="W33" s="10">
        <v>15485</v>
      </c>
      <c r="X33" s="10">
        <v>10468</v>
      </c>
      <c r="Y33" s="10">
        <v>367791</v>
      </c>
      <c r="Z33" s="10">
        <v>315217</v>
      </c>
      <c r="AA33" s="10">
        <v>275211</v>
      </c>
      <c r="AB33" s="10">
        <v>242035</v>
      </c>
      <c r="AC33" s="10">
        <v>188817</v>
      </c>
      <c r="AD33" s="10">
        <v>165794</v>
      </c>
      <c r="AE33" s="10">
        <v>139986</v>
      </c>
      <c r="AF33" s="10">
        <v>123109</v>
      </c>
      <c r="AG33" s="10">
        <v>91527</v>
      </c>
      <c r="AH33" s="10">
        <v>75248</v>
      </c>
      <c r="AI33" s="10">
        <v>50715</v>
      </c>
      <c r="AJ33" s="10">
        <v>46064</v>
      </c>
      <c r="AK33" s="10">
        <v>27739</v>
      </c>
      <c r="AL33" s="10">
        <v>27067</v>
      </c>
      <c r="AM33" s="10">
        <v>16983</v>
      </c>
      <c r="AN33" s="10">
        <v>13497</v>
      </c>
      <c r="AO33" s="10">
        <v>7696</v>
      </c>
      <c r="AP33" s="10">
        <v>731044</v>
      </c>
      <c r="AQ33" s="10">
        <v>633565</v>
      </c>
      <c r="AR33" s="10">
        <v>556123</v>
      </c>
      <c r="AS33" s="10">
        <v>484169</v>
      </c>
      <c r="AT33" s="10">
        <v>381945</v>
      </c>
      <c r="AU33" s="10">
        <v>325827</v>
      </c>
      <c r="AV33" s="10">
        <v>270014</v>
      </c>
      <c r="AW33" s="10">
        <v>231118</v>
      </c>
      <c r="AX33" s="10">
        <v>179785</v>
      </c>
      <c r="AY33" s="10">
        <v>144999</v>
      </c>
      <c r="AZ33" s="10">
        <v>106526</v>
      </c>
      <c r="BA33" s="10">
        <v>93754</v>
      </c>
      <c r="BB33" s="10">
        <v>64466</v>
      </c>
      <c r="BC33" s="10">
        <v>58925</v>
      </c>
      <c r="BD33" s="10">
        <v>41226</v>
      </c>
      <c r="BE33" s="10">
        <v>28982</v>
      </c>
      <c r="BF33" s="10">
        <v>18164</v>
      </c>
    </row>
    <row r="34" spans="1:58">
      <c r="A34" t="s">
        <v>1</v>
      </c>
      <c r="B34" t="s">
        <v>230</v>
      </c>
      <c r="C34" t="s">
        <v>34</v>
      </c>
      <c r="D34" t="s">
        <v>238</v>
      </c>
      <c r="E34" s="10">
        <v>3798322</v>
      </c>
      <c r="F34" s="10">
        <v>4042441</v>
      </c>
      <c r="G34" s="10">
        <v>7840763</v>
      </c>
      <c r="H34" s="10">
        <v>439406</v>
      </c>
      <c r="I34" s="10">
        <v>454462</v>
      </c>
      <c r="J34" s="10">
        <v>482578</v>
      </c>
      <c r="K34" s="10">
        <v>452184</v>
      </c>
      <c r="L34" s="10">
        <v>358916</v>
      </c>
      <c r="M34" s="10">
        <v>303559</v>
      </c>
      <c r="N34" s="10">
        <v>263254</v>
      </c>
      <c r="O34" s="10">
        <v>246304</v>
      </c>
      <c r="P34" s="10">
        <v>193008</v>
      </c>
      <c r="Q34" s="10">
        <v>170276</v>
      </c>
      <c r="R34" s="10">
        <v>120712</v>
      </c>
      <c r="S34" s="10">
        <v>106839</v>
      </c>
      <c r="T34" s="10">
        <v>74634</v>
      </c>
      <c r="U34" s="10">
        <v>62473</v>
      </c>
      <c r="V34" s="10">
        <v>32025</v>
      </c>
      <c r="W34" s="10">
        <v>23700</v>
      </c>
      <c r="X34" s="10">
        <v>13992</v>
      </c>
      <c r="Y34" s="10">
        <v>467145</v>
      </c>
      <c r="Z34" s="10">
        <v>483709</v>
      </c>
      <c r="AA34" s="10">
        <v>501004</v>
      </c>
      <c r="AB34" s="10">
        <v>488748</v>
      </c>
      <c r="AC34" s="10">
        <v>421265</v>
      </c>
      <c r="AD34" s="10">
        <v>333130</v>
      </c>
      <c r="AE34" s="10">
        <v>277872</v>
      </c>
      <c r="AF34" s="10">
        <v>239886</v>
      </c>
      <c r="AG34" s="10">
        <v>210642</v>
      </c>
      <c r="AH34" s="10">
        <v>177900</v>
      </c>
      <c r="AI34" s="10">
        <v>134391</v>
      </c>
      <c r="AJ34" s="10">
        <v>103129</v>
      </c>
      <c r="AK34" s="10">
        <v>78763</v>
      </c>
      <c r="AL34" s="10">
        <v>55917</v>
      </c>
      <c r="AM34" s="10">
        <v>35126</v>
      </c>
      <c r="AN34" s="10">
        <v>21231</v>
      </c>
      <c r="AO34" s="10">
        <v>12583</v>
      </c>
      <c r="AP34" s="10">
        <v>906551</v>
      </c>
      <c r="AQ34" s="10">
        <v>938171</v>
      </c>
      <c r="AR34" s="10">
        <v>983582</v>
      </c>
      <c r="AS34" s="10">
        <v>940932</v>
      </c>
      <c r="AT34" s="10">
        <v>780181</v>
      </c>
      <c r="AU34" s="10">
        <v>636689</v>
      </c>
      <c r="AV34" s="10">
        <v>541126</v>
      </c>
      <c r="AW34" s="10">
        <v>486190</v>
      </c>
      <c r="AX34" s="10">
        <v>403650</v>
      </c>
      <c r="AY34" s="10">
        <v>348176</v>
      </c>
      <c r="AZ34" s="10">
        <v>255103</v>
      </c>
      <c r="BA34" s="10">
        <v>209968</v>
      </c>
      <c r="BB34" s="10">
        <v>153397</v>
      </c>
      <c r="BC34" s="10">
        <v>118390</v>
      </c>
      <c r="BD34" s="10">
        <v>67151</v>
      </c>
      <c r="BE34" s="10">
        <v>44931</v>
      </c>
      <c r="BF34" s="10">
        <v>26575</v>
      </c>
    </row>
    <row r="35" spans="1:58">
      <c r="A35" t="s">
        <v>1</v>
      </c>
      <c r="B35" t="s">
        <v>230</v>
      </c>
      <c r="C35" t="s">
        <v>35</v>
      </c>
      <c r="D35" t="s">
        <v>263</v>
      </c>
      <c r="E35" s="10">
        <v>2485290</v>
      </c>
      <c r="F35" s="10">
        <v>2541840</v>
      </c>
      <c r="G35" s="10">
        <v>5027130</v>
      </c>
      <c r="H35" s="10">
        <v>483508</v>
      </c>
      <c r="I35" s="10">
        <v>391615</v>
      </c>
      <c r="J35" s="10">
        <v>281259</v>
      </c>
      <c r="K35" s="10">
        <v>247273</v>
      </c>
      <c r="L35" s="10">
        <v>213704</v>
      </c>
      <c r="M35" s="10">
        <v>186430</v>
      </c>
      <c r="N35" s="10">
        <v>161164</v>
      </c>
      <c r="O35" s="10">
        <v>116877</v>
      </c>
      <c r="P35" s="10">
        <v>111301</v>
      </c>
      <c r="Q35" s="10">
        <v>62539</v>
      </c>
      <c r="R35" s="10">
        <v>72687</v>
      </c>
      <c r="S35" s="10">
        <v>40278</v>
      </c>
      <c r="T35" s="10">
        <v>46792</v>
      </c>
      <c r="U35" s="10">
        <v>22283</v>
      </c>
      <c r="V35" s="10">
        <v>27004</v>
      </c>
      <c r="W35" s="10">
        <v>10335</v>
      </c>
      <c r="X35" s="10">
        <v>10241</v>
      </c>
      <c r="Y35" s="10">
        <v>517159</v>
      </c>
      <c r="Z35" s="10">
        <v>412046</v>
      </c>
      <c r="AA35" s="10">
        <v>311710</v>
      </c>
      <c r="AB35" s="10">
        <v>252713</v>
      </c>
      <c r="AC35" s="10">
        <v>179138</v>
      </c>
      <c r="AD35" s="10">
        <v>159134</v>
      </c>
      <c r="AE35" s="10">
        <v>151382</v>
      </c>
      <c r="AF35" s="10">
        <v>128597</v>
      </c>
      <c r="AG35" s="10">
        <v>113439</v>
      </c>
      <c r="AH35" s="10">
        <v>75748</v>
      </c>
      <c r="AI35" s="10">
        <v>73474</v>
      </c>
      <c r="AJ35" s="10">
        <v>52492</v>
      </c>
      <c r="AK35" s="10">
        <v>46283</v>
      </c>
      <c r="AL35" s="10">
        <v>25987</v>
      </c>
      <c r="AM35" s="10">
        <v>23587</v>
      </c>
      <c r="AN35" s="10">
        <v>10916</v>
      </c>
      <c r="AO35" s="10">
        <v>8035</v>
      </c>
      <c r="AP35" s="10">
        <v>1000667</v>
      </c>
      <c r="AQ35" s="10">
        <v>803661</v>
      </c>
      <c r="AR35" s="10">
        <v>592969</v>
      </c>
      <c r="AS35" s="10">
        <v>499986</v>
      </c>
      <c r="AT35" s="10">
        <v>392842</v>
      </c>
      <c r="AU35" s="10">
        <v>345564</v>
      </c>
      <c r="AV35" s="10">
        <v>312546</v>
      </c>
      <c r="AW35" s="10">
        <v>245474</v>
      </c>
      <c r="AX35" s="10">
        <v>224740</v>
      </c>
      <c r="AY35" s="10">
        <v>138287</v>
      </c>
      <c r="AZ35" s="10">
        <v>146161</v>
      </c>
      <c r="BA35" s="10">
        <v>92770</v>
      </c>
      <c r="BB35" s="10">
        <v>93075</v>
      </c>
      <c r="BC35" s="10">
        <v>48270</v>
      </c>
      <c r="BD35" s="10">
        <v>50591</v>
      </c>
      <c r="BE35" s="10">
        <v>21251</v>
      </c>
      <c r="BF35" s="10">
        <v>18276</v>
      </c>
    </row>
    <row r="36" spans="1:58">
      <c r="A36" t="s">
        <v>1</v>
      </c>
      <c r="B36" t="s">
        <v>230</v>
      </c>
      <c r="C36" t="s">
        <v>36</v>
      </c>
      <c r="D36" t="s">
        <v>257</v>
      </c>
      <c r="E36" s="10">
        <v>1483490</v>
      </c>
      <c r="F36" s="10">
        <v>1563013</v>
      </c>
      <c r="G36" s="10">
        <v>3046503</v>
      </c>
      <c r="H36" s="10">
        <v>270297</v>
      </c>
      <c r="I36" s="10">
        <v>223588</v>
      </c>
      <c r="J36" s="10">
        <v>183550</v>
      </c>
      <c r="K36" s="10">
        <v>160731</v>
      </c>
      <c r="L36" s="10">
        <v>132772</v>
      </c>
      <c r="M36" s="10">
        <v>113259</v>
      </c>
      <c r="N36" s="10">
        <v>94485</v>
      </c>
      <c r="O36" s="10">
        <v>74090</v>
      </c>
      <c r="P36" s="10">
        <v>61841</v>
      </c>
      <c r="Q36" s="10">
        <v>43006</v>
      </c>
      <c r="R36" s="10">
        <v>35351</v>
      </c>
      <c r="S36" s="10">
        <v>26151</v>
      </c>
      <c r="T36" s="10">
        <v>23108</v>
      </c>
      <c r="U36" s="10">
        <v>16030</v>
      </c>
      <c r="V36" s="10">
        <v>12739</v>
      </c>
      <c r="W36" s="10">
        <v>7245</v>
      </c>
      <c r="X36" s="10">
        <v>5247</v>
      </c>
      <c r="Y36" s="10">
        <v>286819</v>
      </c>
      <c r="Z36" s="10">
        <v>235530</v>
      </c>
      <c r="AA36" s="10">
        <v>193204</v>
      </c>
      <c r="AB36" s="10">
        <v>164686</v>
      </c>
      <c r="AC36" s="10">
        <v>125104</v>
      </c>
      <c r="AD36" s="10">
        <v>111914</v>
      </c>
      <c r="AE36" s="10">
        <v>101059</v>
      </c>
      <c r="AF36" s="10">
        <v>87732</v>
      </c>
      <c r="AG36" s="10">
        <v>70354</v>
      </c>
      <c r="AH36" s="10">
        <v>53386</v>
      </c>
      <c r="AI36" s="10">
        <v>39936</v>
      </c>
      <c r="AJ36" s="10">
        <v>29259</v>
      </c>
      <c r="AK36" s="10">
        <v>22694</v>
      </c>
      <c r="AL36" s="10">
        <v>16146</v>
      </c>
      <c r="AM36" s="10">
        <v>12218</v>
      </c>
      <c r="AN36" s="10">
        <v>8038</v>
      </c>
      <c r="AO36" s="10">
        <v>4934</v>
      </c>
      <c r="AP36" s="10">
        <v>557116</v>
      </c>
      <c r="AQ36" s="10">
        <v>459118</v>
      </c>
      <c r="AR36" s="10">
        <v>376754</v>
      </c>
      <c r="AS36" s="10">
        <v>325417</v>
      </c>
      <c r="AT36" s="10">
        <v>257876</v>
      </c>
      <c r="AU36" s="10">
        <v>225173</v>
      </c>
      <c r="AV36" s="10">
        <v>195544</v>
      </c>
      <c r="AW36" s="10">
        <v>161822</v>
      </c>
      <c r="AX36" s="10">
        <v>132195</v>
      </c>
      <c r="AY36" s="10">
        <v>96392</v>
      </c>
      <c r="AZ36" s="10">
        <v>75287</v>
      </c>
      <c r="BA36" s="10">
        <v>55410</v>
      </c>
      <c r="BB36" s="10">
        <v>45802</v>
      </c>
      <c r="BC36" s="10">
        <v>32176</v>
      </c>
      <c r="BD36" s="10">
        <v>24957</v>
      </c>
      <c r="BE36" s="10">
        <v>15283</v>
      </c>
      <c r="BF36" s="10">
        <v>10181</v>
      </c>
    </row>
    <row r="37" spans="1:58">
      <c r="A37" t="s">
        <v>1</v>
      </c>
      <c r="B37" t="s">
        <v>230</v>
      </c>
      <c r="C37" t="s">
        <v>37</v>
      </c>
      <c r="D37" t="s">
        <v>260</v>
      </c>
      <c r="E37" s="10">
        <v>1736732</v>
      </c>
      <c r="F37" s="10">
        <v>1882410</v>
      </c>
      <c r="G37" s="10">
        <v>3619142</v>
      </c>
      <c r="H37" s="10">
        <v>323610</v>
      </c>
      <c r="I37" s="10">
        <v>275237</v>
      </c>
      <c r="J37" s="10">
        <v>213349</v>
      </c>
      <c r="K37" s="10">
        <v>190216</v>
      </c>
      <c r="L37" s="10">
        <v>158723</v>
      </c>
      <c r="M37" s="10">
        <v>126035</v>
      </c>
      <c r="N37" s="10">
        <v>110055</v>
      </c>
      <c r="O37" s="10">
        <v>75039</v>
      </c>
      <c r="P37" s="10">
        <v>74714</v>
      </c>
      <c r="Q37" s="10">
        <v>42238</v>
      </c>
      <c r="R37" s="10">
        <v>47555</v>
      </c>
      <c r="S37" s="10">
        <v>24233</v>
      </c>
      <c r="T37" s="10">
        <v>30059</v>
      </c>
      <c r="U37" s="10">
        <v>14059</v>
      </c>
      <c r="V37" s="10">
        <v>18274</v>
      </c>
      <c r="W37" s="10">
        <v>6708</v>
      </c>
      <c r="X37" s="10">
        <v>6628</v>
      </c>
      <c r="Y37" s="10">
        <v>352339</v>
      </c>
      <c r="Z37" s="10">
        <v>297650</v>
      </c>
      <c r="AA37" s="10">
        <v>235695</v>
      </c>
      <c r="AB37" s="10">
        <v>196869</v>
      </c>
      <c r="AC37" s="10">
        <v>145758</v>
      </c>
      <c r="AD37" s="10">
        <v>127356</v>
      </c>
      <c r="AE37" s="10">
        <v>123249</v>
      </c>
      <c r="AF37" s="10">
        <v>93248</v>
      </c>
      <c r="AG37" s="10">
        <v>87761</v>
      </c>
      <c r="AH37" s="10">
        <v>53935</v>
      </c>
      <c r="AI37" s="10">
        <v>55692</v>
      </c>
      <c r="AJ37" s="10">
        <v>30252</v>
      </c>
      <c r="AK37" s="10">
        <v>34316</v>
      </c>
      <c r="AL37" s="10">
        <v>15673</v>
      </c>
      <c r="AM37" s="10">
        <v>19147</v>
      </c>
      <c r="AN37" s="10">
        <v>7372</v>
      </c>
      <c r="AO37" s="10">
        <v>6098</v>
      </c>
      <c r="AP37" s="10">
        <v>675949</v>
      </c>
      <c r="AQ37" s="10">
        <v>572887</v>
      </c>
      <c r="AR37" s="10">
        <v>449044</v>
      </c>
      <c r="AS37" s="10">
        <v>387085</v>
      </c>
      <c r="AT37" s="10">
        <v>304481</v>
      </c>
      <c r="AU37" s="10">
        <v>253391</v>
      </c>
      <c r="AV37" s="10">
        <v>233304</v>
      </c>
      <c r="AW37" s="10">
        <v>168287</v>
      </c>
      <c r="AX37" s="10">
        <v>162475</v>
      </c>
      <c r="AY37" s="10">
        <v>96173</v>
      </c>
      <c r="AZ37" s="10">
        <v>103247</v>
      </c>
      <c r="BA37" s="10">
        <v>54485</v>
      </c>
      <c r="BB37" s="10">
        <v>64375</v>
      </c>
      <c r="BC37" s="10">
        <v>29732</v>
      </c>
      <c r="BD37" s="10">
        <v>37421</v>
      </c>
      <c r="BE37" s="10">
        <v>14080</v>
      </c>
      <c r="BF37" s="10">
        <v>12726</v>
      </c>
    </row>
    <row r="38" spans="1:58">
      <c r="A38" t="s">
        <v>1</v>
      </c>
      <c r="B38" t="s">
        <v>230</v>
      </c>
      <c r="C38" t="s">
        <v>38</v>
      </c>
      <c r="D38" t="s">
        <v>256</v>
      </c>
      <c r="E38" s="10">
        <v>2270348</v>
      </c>
      <c r="F38" s="10">
        <v>2297971</v>
      </c>
      <c r="G38" s="10">
        <v>4568319</v>
      </c>
      <c r="H38" s="10">
        <v>442716</v>
      </c>
      <c r="I38" s="10">
        <v>370720</v>
      </c>
      <c r="J38" s="10">
        <v>258823</v>
      </c>
      <c r="K38" s="10">
        <v>234701</v>
      </c>
      <c r="L38" s="10">
        <v>204667</v>
      </c>
      <c r="M38" s="10">
        <v>172057</v>
      </c>
      <c r="N38" s="10">
        <v>144205</v>
      </c>
      <c r="O38" s="10">
        <v>101236</v>
      </c>
      <c r="P38" s="10">
        <v>95888</v>
      </c>
      <c r="Q38" s="10">
        <v>53546</v>
      </c>
      <c r="R38" s="10">
        <v>61939</v>
      </c>
      <c r="S38" s="10">
        <v>32185</v>
      </c>
      <c r="T38" s="10">
        <v>38574</v>
      </c>
      <c r="U38" s="10">
        <v>17809</v>
      </c>
      <c r="V38" s="10">
        <v>23063</v>
      </c>
      <c r="W38" s="10">
        <v>9108</v>
      </c>
      <c r="X38" s="10">
        <v>9111</v>
      </c>
      <c r="Y38" s="10">
        <v>469509</v>
      </c>
      <c r="Z38" s="10">
        <v>380392</v>
      </c>
      <c r="AA38" s="10">
        <v>281118</v>
      </c>
      <c r="AB38" s="10">
        <v>224523</v>
      </c>
      <c r="AC38" s="10">
        <v>157264</v>
      </c>
      <c r="AD38" s="10">
        <v>149130</v>
      </c>
      <c r="AE38" s="10">
        <v>145163</v>
      </c>
      <c r="AF38" s="10">
        <v>116093</v>
      </c>
      <c r="AG38" s="10">
        <v>101706</v>
      </c>
      <c r="AH38" s="10">
        <v>64971</v>
      </c>
      <c r="AI38" s="10">
        <v>65457</v>
      </c>
      <c r="AJ38" s="10">
        <v>42389</v>
      </c>
      <c r="AK38" s="10">
        <v>40549</v>
      </c>
      <c r="AL38" s="10">
        <v>20664</v>
      </c>
      <c r="AM38" s="10">
        <v>21450</v>
      </c>
      <c r="AN38" s="10">
        <v>9611</v>
      </c>
      <c r="AO38" s="10">
        <v>7982</v>
      </c>
      <c r="AP38" s="10">
        <v>912225</v>
      </c>
      <c r="AQ38" s="10">
        <v>751112</v>
      </c>
      <c r="AR38" s="10">
        <v>539941</v>
      </c>
      <c r="AS38" s="10">
        <v>459224</v>
      </c>
      <c r="AT38" s="10">
        <v>361931</v>
      </c>
      <c r="AU38" s="10">
        <v>321187</v>
      </c>
      <c r="AV38" s="10">
        <v>289368</v>
      </c>
      <c r="AW38" s="10">
        <v>217329</v>
      </c>
      <c r="AX38" s="10">
        <v>197594</v>
      </c>
      <c r="AY38" s="10">
        <v>118517</v>
      </c>
      <c r="AZ38" s="10">
        <v>127396</v>
      </c>
      <c r="BA38" s="10">
        <v>74574</v>
      </c>
      <c r="BB38" s="10">
        <v>79123</v>
      </c>
      <c r="BC38" s="10">
        <v>38473</v>
      </c>
      <c r="BD38" s="10">
        <v>44513</v>
      </c>
      <c r="BE38" s="10">
        <v>18719</v>
      </c>
      <c r="BF38" s="10">
        <v>17093</v>
      </c>
    </row>
  </sheetData>
  <autoFilter ref="A1:BF38" xr:uid="{0F0BBC39-2DE3-488C-A86A-03E10D791E2D}"/>
  <phoneticPr fontId="6" type="noConversion"/>
  <printOptions headings="1"/>
  <pageMargins left="0.25" right="0.25" top="0.5" bottom="0.5" header="0.25" footer="0.25"/>
  <pageSetup orientation="portrait" r:id="rId1"/>
  <headerFooter>
    <oddHeader>&amp;L&amp;F&amp;R&amp;A                    August 17, 2016</oddHeader>
    <oddFooter>&amp;LSOURCE: U.S. Census Bureau&amp;RVersion 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401E1-A788-4EE9-8FE0-EECC38BD0B80}">
  <dimension ref="A1:CA87"/>
  <sheetViews>
    <sheetView topLeftCell="B59" zoomScaleNormal="100" workbookViewId="0">
      <selection activeCell="C68" sqref="C68"/>
    </sheetView>
  </sheetViews>
  <sheetFormatPr baseColWidth="10" defaultColWidth="8.83203125" defaultRowHeight="17"/>
  <cols>
    <col min="1" max="1" width="28.5" style="5" bestFit="1" customWidth="1"/>
    <col min="2" max="17" width="18.1640625" bestFit="1" customWidth="1"/>
    <col min="18" max="18" width="16.33203125" bestFit="1" customWidth="1"/>
    <col min="19" max="34" width="20.1640625" bestFit="1" customWidth="1"/>
    <col min="35" max="35" width="18.5" bestFit="1" customWidth="1"/>
    <col min="36" max="36" width="17.83203125" bestFit="1" customWidth="1"/>
    <col min="37" max="37" width="19.83203125" bestFit="1" customWidth="1"/>
    <col min="38" max="38" width="17.5" bestFit="1" customWidth="1"/>
    <col min="39" max="39" width="13.5" bestFit="1" customWidth="1"/>
    <col min="40" max="40" width="16.6640625" bestFit="1" customWidth="1"/>
    <col min="41" max="41" width="14.33203125" bestFit="1" customWidth="1"/>
    <col min="42" max="42" width="16.6640625" bestFit="1" customWidth="1"/>
    <col min="43" max="43" width="15" bestFit="1" customWidth="1"/>
    <col min="44" max="44" width="16.6640625" bestFit="1" customWidth="1"/>
    <col min="45" max="45" width="13.5" bestFit="1" customWidth="1"/>
    <col min="46" max="46" width="16.6640625" bestFit="1" customWidth="1"/>
    <col min="47" max="47" width="14.83203125" bestFit="1" customWidth="1"/>
    <col min="48" max="48" width="19.5" bestFit="1" customWidth="1"/>
    <col min="49" max="49" width="17.6640625" bestFit="1" customWidth="1"/>
    <col min="50" max="50" width="19.5" bestFit="1" customWidth="1"/>
    <col min="51" max="51" width="17.6640625" bestFit="1" customWidth="1"/>
    <col min="52" max="52" width="19.5" bestFit="1" customWidth="1"/>
    <col min="53" max="53" width="17.6640625" bestFit="1" customWidth="1"/>
    <col min="54" max="54" width="19.5" bestFit="1" customWidth="1"/>
    <col min="55" max="55" width="17.6640625" bestFit="1" customWidth="1"/>
    <col min="56" max="56" width="19.5" bestFit="1" customWidth="1"/>
    <col min="57" max="57" width="17.6640625" bestFit="1" customWidth="1"/>
    <col min="58" max="58" width="19.5" bestFit="1" customWidth="1"/>
    <col min="59" max="59" width="17.6640625" bestFit="1" customWidth="1"/>
    <col min="60" max="60" width="19.5" bestFit="1" customWidth="1"/>
    <col min="61" max="61" width="17.6640625" bestFit="1" customWidth="1"/>
    <col min="62" max="62" width="19.5" bestFit="1" customWidth="1"/>
    <col min="63" max="63" width="17.6640625" bestFit="1" customWidth="1"/>
    <col min="64" max="64" width="19.5" bestFit="1" customWidth="1"/>
    <col min="65" max="65" width="17.6640625" bestFit="1" customWidth="1"/>
    <col min="66" max="66" width="19.5" bestFit="1" customWidth="1"/>
    <col min="67" max="67" width="17.6640625" bestFit="1" customWidth="1"/>
    <col min="68" max="68" width="19.5" bestFit="1" customWidth="1"/>
    <col min="69" max="69" width="17.6640625" bestFit="1" customWidth="1"/>
    <col min="70" max="70" width="19.5" bestFit="1" customWidth="1"/>
    <col min="71" max="71" width="17.6640625" bestFit="1" customWidth="1"/>
    <col min="72" max="72" width="19.5" bestFit="1" customWidth="1"/>
    <col min="73" max="73" width="17.6640625" bestFit="1" customWidth="1"/>
    <col min="74" max="74" width="19.5" bestFit="1" customWidth="1"/>
    <col min="75" max="75" width="17.6640625" bestFit="1" customWidth="1"/>
    <col min="76" max="76" width="19.5" bestFit="1" customWidth="1"/>
    <col min="77" max="77" width="17.6640625" bestFit="1" customWidth="1"/>
    <col min="78" max="78" width="19.5" bestFit="1" customWidth="1"/>
    <col min="79" max="79" width="17.6640625" bestFit="1" customWidth="1"/>
  </cols>
  <sheetData>
    <row r="1" spans="1:38" ht="18" thickBot="1">
      <c r="A1" s="6" t="s">
        <v>227</v>
      </c>
      <c r="B1" s="7">
        <f>SUM(B4:AI4)</f>
        <v>218521350</v>
      </c>
    </row>
    <row r="3" spans="1:38" ht="18">
      <c r="A3" s="5" t="s">
        <v>43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69</v>
      </c>
      <c r="AA3" t="s">
        <v>70</v>
      </c>
      <c r="AB3" t="s">
        <v>71</v>
      </c>
      <c r="AC3" t="s">
        <v>72</v>
      </c>
      <c r="AD3" t="s">
        <v>73</v>
      </c>
      <c r="AE3" t="s">
        <v>74</v>
      </c>
      <c r="AF3" t="s">
        <v>75</v>
      </c>
      <c r="AG3" t="s">
        <v>76</v>
      </c>
      <c r="AH3" t="s">
        <v>77</v>
      </c>
      <c r="AI3" t="s">
        <v>78</v>
      </c>
      <c r="AJ3" t="s">
        <v>79</v>
      </c>
      <c r="AK3" t="s">
        <v>80</v>
      </c>
      <c r="AL3" t="s">
        <v>228</v>
      </c>
    </row>
    <row r="4" spans="1:38" ht="18">
      <c r="A4" s="4" t="s">
        <v>1</v>
      </c>
      <c r="B4">
        <v>17837020</v>
      </c>
      <c r="C4">
        <v>15502069</v>
      </c>
      <c r="D4">
        <v>13836239</v>
      </c>
      <c r="E4">
        <v>12293689</v>
      </c>
      <c r="F4">
        <v>10051901</v>
      </c>
      <c r="G4">
        <v>8480707</v>
      </c>
      <c r="H4">
        <v>7284102</v>
      </c>
      <c r="I4">
        <v>6240459</v>
      </c>
      <c r="J4">
        <v>5228754</v>
      </c>
      <c r="K4">
        <v>4105952</v>
      </c>
      <c r="L4">
        <v>3233093</v>
      </c>
      <c r="M4">
        <v>2454746</v>
      </c>
      <c r="N4">
        <v>1850354</v>
      </c>
      <c r="O4">
        <v>1335394</v>
      </c>
      <c r="P4">
        <v>965196</v>
      </c>
      <c r="Q4">
        <v>561382</v>
      </c>
      <c r="R4">
        <v>362424</v>
      </c>
      <c r="S4">
        <v>16969659</v>
      </c>
      <c r="T4">
        <v>14751712</v>
      </c>
      <c r="U4">
        <v>13072833</v>
      </c>
      <c r="V4">
        <v>11639983</v>
      </c>
      <c r="W4">
        <v>9674868</v>
      </c>
      <c r="X4">
        <v>8167582</v>
      </c>
      <c r="Y4">
        <v>6947084</v>
      </c>
      <c r="Z4">
        <v>5874695</v>
      </c>
      <c r="AA4">
        <v>4905215</v>
      </c>
      <c r="AB4">
        <v>3783584</v>
      </c>
      <c r="AC4">
        <v>3074491</v>
      </c>
      <c r="AD4">
        <v>2457793</v>
      </c>
      <c r="AE4">
        <v>1951626</v>
      </c>
      <c r="AF4">
        <v>1467403</v>
      </c>
      <c r="AG4">
        <v>1076136</v>
      </c>
      <c r="AH4">
        <v>635625</v>
      </c>
      <c r="AI4">
        <v>447580</v>
      </c>
      <c r="AJ4">
        <v>111623481</v>
      </c>
      <c r="AK4">
        <v>106897869</v>
      </c>
      <c r="AL4">
        <v>218521350</v>
      </c>
    </row>
    <row r="5" spans="1:38" ht="18">
      <c r="A5" s="4" t="s">
        <v>2</v>
      </c>
      <c r="B5">
        <v>218758</v>
      </c>
      <c r="C5">
        <v>224631</v>
      </c>
      <c r="D5">
        <v>252614</v>
      </c>
      <c r="E5">
        <v>244697</v>
      </c>
      <c r="F5">
        <v>197853</v>
      </c>
      <c r="G5">
        <v>147846</v>
      </c>
      <c r="H5">
        <v>119759</v>
      </c>
      <c r="I5">
        <v>104223</v>
      </c>
      <c r="J5">
        <v>96942</v>
      </c>
      <c r="K5">
        <v>86562</v>
      </c>
      <c r="L5">
        <v>66047</v>
      </c>
      <c r="M5">
        <v>60055</v>
      </c>
      <c r="N5">
        <v>38619</v>
      </c>
      <c r="O5">
        <v>36743</v>
      </c>
      <c r="P5">
        <v>21766</v>
      </c>
      <c r="Q5">
        <v>16548</v>
      </c>
      <c r="R5">
        <v>8075</v>
      </c>
      <c r="S5">
        <v>210483</v>
      </c>
      <c r="T5">
        <v>215867</v>
      </c>
      <c r="U5">
        <v>248705</v>
      </c>
      <c r="V5">
        <v>235360</v>
      </c>
      <c r="W5">
        <v>175331</v>
      </c>
      <c r="X5">
        <v>141231</v>
      </c>
      <c r="Y5">
        <v>124752</v>
      </c>
      <c r="Z5">
        <v>118724</v>
      </c>
      <c r="AA5">
        <v>97191</v>
      </c>
      <c r="AB5">
        <v>89290</v>
      </c>
      <c r="AC5">
        <v>68647</v>
      </c>
      <c r="AD5">
        <v>66458</v>
      </c>
      <c r="AE5">
        <v>45452</v>
      </c>
      <c r="AF5">
        <v>42233</v>
      </c>
      <c r="AG5">
        <v>27155</v>
      </c>
      <c r="AH5">
        <v>18965</v>
      </c>
      <c r="AI5">
        <v>11395</v>
      </c>
      <c r="AJ5">
        <v>1941738</v>
      </c>
      <c r="AK5">
        <v>1937239</v>
      </c>
      <c r="AL5">
        <v>3878977</v>
      </c>
    </row>
    <row r="6" spans="1:38" ht="18">
      <c r="A6" s="4" t="s">
        <v>3</v>
      </c>
      <c r="B6">
        <v>391921</v>
      </c>
      <c r="C6">
        <v>331150</v>
      </c>
      <c r="D6">
        <v>277805</v>
      </c>
      <c r="E6">
        <v>238530</v>
      </c>
      <c r="F6">
        <v>190232</v>
      </c>
      <c r="G6">
        <v>160292</v>
      </c>
      <c r="H6">
        <v>138807</v>
      </c>
      <c r="I6">
        <v>119876</v>
      </c>
      <c r="J6">
        <v>95845</v>
      </c>
      <c r="K6">
        <v>76036</v>
      </c>
      <c r="L6">
        <v>56748</v>
      </c>
      <c r="M6">
        <v>48899</v>
      </c>
      <c r="N6">
        <v>32936</v>
      </c>
      <c r="O6">
        <v>28317</v>
      </c>
      <c r="P6">
        <v>20135</v>
      </c>
      <c r="Q6">
        <v>13404</v>
      </c>
      <c r="R6">
        <v>7414</v>
      </c>
      <c r="S6">
        <v>372760</v>
      </c>
      <c r="T6">
        <v>320576</v>
      </c>
      <c r="U6">
        <v>273011</v>
      </c>
      <c r="V6">
        <v>233204</v>
      </c>
      <c r="W6">
        <v>190216</v>
      </c>
      <c r="X6">
        <v>155723</v>
      </c>
      <c r="Y6">
        <v>131631</v>
      </c>
      <c r="Z6">
        <v>105703</v>
      </c>
      <c r="AA6">
        <v>93150</v>
      </c>
      <c r="AB6">
        <v>67345</v>
      </c>
      <c r="AC6">
        <v>59734</v>
      </c>
      <c r="AD6">
        <v>45221</v>
      </c>
      <c r="AE6">
        <v>39961</v>
      </c>
      <c r="AF6">
        <v>29740</v>
      </c>
      <c r="AG6">
        <v>26280</v>
      </c>
      <c r="AH6">
        <v>14250</v>
      </c>
      <c r="AI6">
        <v>9747</v>
      </c>
      <c r="AJ6">
        <v>2228347</v>
      </c>
      <c r="AK6">
        <v>2168252</v>
      </c>
      <c r="AL6">
        <v>4396599</v>
      </c>
    </row>
    <row r="7" spans="1:38" ht="18">
      <c r="A7" s="4" t="s">
        <v>4</v>
      </c>
      <c r="B7">
        <v>345584</v>
      </c>
      <c r="C7">
        <v>364957</v>
      </c>
      <c r="D7">
        <v>371722</v>
      </c>
      <c r="E7">
        <v>355275</v>
      </c>
      <c r="F7">
        <v>285723</v>
      </c>
      <c r="G7">
        <v>216091</v>
      </c>
      <c r="H7">
        <v>174848</v>
      </c>
      <c r="I7">
        <v>159735</v>
      </c>
      <c r="J7">
        <v>143522</v>
      </c>
      <c r="K7">
        <v>125640</v>
      </c>
      <c r="L7">
        <v>96021</v>
      </c>
      <c r="M7">
        <v>77876</v>
      </c>
      <c r="N7">
        <v>61936</v>
      </c>
      <c r="O7">
        <v>46240</v>
      </c>
      <c r="P7">
        <v>27453</v>
      </c>
      <c r="Q7">
        <v>16233</v>
      </c>
      <c r="R7">
        <v>7696</v>
      </c>
      <c r="S7">
        <v>326260</v>
      </c>
      <c r="T7">
        <v>342223</v>
      </c>
      <c r="U7">
        <v>353787</v>
      </c>
      <c r="V7">
        <v>329383</v>
      </c>
      <c r="W7">
        <v>246884</v>
      </c>
      <c r="X7">
        <v>207987</v>
      </c>
      <c r="Y7">
        <v>184349</v>
      </c>
      <c r="Z7">
        <v>180667</v>
      </c>
      <c r="AA7">
        <v>144644</v>
      </c>
      <c r="AB7">
        <v>130441</v>
      </c>
      <c r="AC7">
        <v>94389</v>
      </c>
      <c r="AD7">
        <v>82954</v>
      </c>
      <c r="AE7">
        <v>63215</v>
      </c>
      <c r="AF7">
        <v>52546</v>
      </c>
      <c r="AG7">
        <v>26086</v>
      </c>
      <c r="AH7">
        <v>15922</v>
      </c>
      <c r="AI7">
        <v>7475</v>
      </c>
      <c r="AJ7">
        <v>2876552</v>
      </c>
      <c r="AK7">
        <v>2789212</v>
      </c>
      <c r="AL7">
        <v>5665764</v>
      </c>
    </row>
    <row r="8" spans="1:38" ht="18">
      <c r="A8" s="4" t="s">
        <v>5</v>
      </c>
      <c r="B8">
        <v>332996</v>
      </c>
      <c r="C8">
        <v>352714</v>
      </c>
      <c r="D8">
        <v>388676</v>
      </c>
      <c r="E8">
        <v>376016</v>
      </c>
      <c r="F8">
        <v>304587</v>
      </c>
      <c r="G8">
        <v>232124</v>
      </c>
      <c r="H8">
        <v>187703</v>
      </c>
      <c r="I8">
        <v>164634</v>
      </c>
      <c r="J8">
        <v>153188</v>
      </c>
      <c r="K8">
        <v>134792</v>
      </c>
      <c r="L8">
        <v>105401</v>
      </c>
      <c r="M8">
        <v>89482</v>
      </c>
      <c r="N8">
        <v>63031</v>
      </c>
      <c r="O8">
        <v>53670</v>
      </c>
      <c r="P8">
        <v>31439</v>
      </c>
      <c r="Q8">
        <v>22388</v>
      </c>
      <c r="R8">
        <v>11067</v>
      </c>
      <c r="S8">
        <v>319470</v>
      </c>
      <c r="T8">
        <v>334304</v>
      </c>
      <c r="U8">
        <v>379733</v>
      </c>
      <c r="V8">
        <v>357447</v>
      </c>
      <c r="W8">
        <v>273463</v>
      </c>
      <c r="X8">
        <v>225850</v>
      </c>
      <c r="Y8">
        <v>193788</v>
      </c>
      <c r="Z8">
        <v>185580</v>
      </c>
      <c r="AA8">
        <v>149135</v>
      </c>
      <c r="AB8">
        <v>135868</v>
      </c>
      <c r="AC8">
        <v>95878</v>
      </c>
      <c r="AD8">
        <v>95605</v>
      </c>
      <c r="AE8">
        <v>59135</v>
      </c>
      <c r="AF8">
        <v>56517</v>
      </c>
      <c r="AG8">
        <v>32959</v>
      </c>
      <c r="AH8">
        <v>25634</v>
      </c>
      <c r="AI8">
        <v>12510</v>
      </c>
      <c r="AJ8">
        <v>3003908</v>
      </c>
      <c r="AK8">
        <v>2932876</v>
      </c>
      <c r="AL8">
        <v>5936784</v>
      </c>
    </row>
    <row r="9" spans="1:38" ht="18">
      <c r="A9" s="4" t="s">
        <v>6</v>
      </c>
      <c r="B9">
        <v>679500</v>
      </c>
      <c r="C9">
        <v>545659</v>
      </c>
      <c r="D9">
        <v>442014</v>
      </c>
      <c r="E9">
        <v>362751</v>
      </c>
      <c r="F9">
        <v>260764</v>
      </c>
      <c r="G9">
        <v>223221</v>
      </c>
      <c r="H9">
        <v>203035</v>
      </c>
      <c r="I9">
        <v>168629</v>
      </c>
      <c r="J9">
        <v>143572</v>
      </c>
      <c r="K9">
        <v>103270</v>
      </c>
      <c r="L9">
        <v>89342</v>
      </c>
      <c r="M9">
        <v>57851</v>
      </c>
      <c r="N9">
        <v>50345</v>
      </c>
      <c r="O9">
        <v>30837</v>
      </c>
      <c r="P9">
        <v>29566</v>
      </c>
      <c r="Q9">
        <v>15850</v>
      </c>
      <c r="R9">
        <v>11412</v>
      </c>
      <c r="S9">
        <v>639299</v>
      </c>
      <c r="T9">
        <v>509011</v>
      </c>
      <c r="U9">
        <v>402259</v>
      </c>
      <c r="V9">
        <v>352254</v>
      </c>
      <c r="W9">
        <v>285240</v>
      </c>
      <c r="X9">
        <v>235858</v>
      </c>
      <c r="Y9">
        <v>198776</v>
      </c>
      <c r="Z9">
        <v>153495</v>
      </c>
      <c r="AA9">
        <v>133251</v>
      </c>
      <c r="AB9">
        <v>90278</v>
      </c>
      <c r="AC9">
        <v>83531</v>
      </c>
      <c r="AD9">
        <v>51340</v>
      </c>
      <c r="AE9">
        <v>51485</v>
      </c>
      <c r="AF9">
        <v>30115</v>
      </c>
      <c r="AG9">
        <v>28710</v>
      </c>
      <c r="AH9">
        <v>15170</v>
      </c>
      <c r="AI9">
        <v>12444</v>
      </c>
      <c r="AJ9">
        <v>3417618</v>
      </c>
      <c r="AK9">
        <v>3272516</v>
      </c>
      <c r="AL9">
        <v>6690134</v>
      </c>
    </row>
    <row r="10" spans="1:38" ht="18">
      <c r="A10" s="4" t="s">
        <v>7</v>
      </c>
      <c r="B10">
        <v>158035</v>
      </c>
      <c r="C10">
        <v>169405</v>
      </c>
      <c r="D10">
        <v>167379</v>
      </c>
      <c r="E10">
        <v>160580</v>
      </c>
      <c r="F10">
        <v>128084</v>
      </c>
      <c r="G10">
        <v>98740</v>
      </c>
      <c r="H10">
        <v>82485</v>
      </c>
      <c r="I10">
        <v>72773</v>
      </c>
      <c r="J10">
        <v>65964</v>
      </c>
      <c r="K10">
        <v>54387</v>
      </c>
      <c r="L10">
        <v>43741</v>
      </c>
      <c r="M10">
        <v>31487</v>
      </c>
      <c r="N10">
        <v>25781</v>
      </c>
      <c r="O10">
        <v>17586</v>
      </c>
      <c r="P10">
        <v>12790</v>
      </c>
      <c r="Q10">
        <v>7288</v>
      </c>
      <c r="R10">
        <v>4308</v>
      </c>
      <c r="S10">
        <v>150454</v>
      </c>
      <c r="T10">
        <v>157800</v>
      </c>
      <c r="U10">
        <v>157102</v>
      </c>
      <c r="V10">
        <v>144745</v>
      </c>
      <c r="W10">
        <v>109296</v>
      </c>
      <c r="X10">
        <v>93373</v>
      </c>
      <c r="Y10">
        <v>84237</v>
      </c>
      <c r="Z10">
        <v>80603</v>
      </c>
      <c r="AA10">
        <v>62980</v>
      </c>
      <c r="AB10">
        <v>55671</v>
      </c>
      <c r="AC10">
        <v>38799</v>
      </c>
      <c r="AD10">
        <v>34675</v>
      </c>
      <c r="AE10">
        <v>24906</v>
      </c>
      <c r="AF10">
        <v>19395</v>
      </c>
      <c r="AG10">
        <v>10835</v>
      </c>
      <c r="AH10">
        <v>7773</v>
      </c>
      <c r="AI10">
        <v>4317</v>
      </c>
      <c r="AJ10">
        <v>1300813</v>
      </c>
      <c r="AK10">
        <v>1236961</v>
      </c>
      <c r="AL10">
        <v>2537774</v>
      </c>
    </row>
    <row r="11" spans="1:38" ht="18">
      <c r="A11" s="4" t="s">
        <v>8</v>
      </c>
      <c r="B11">
        <v>539300</v>
      </c>
      <c r="C11">
        <v>445972</v>
      </c>
      <c r="D11">
        <v>382231</v>
      </c>
      <c r="E11">
        <v>330874</v>
      </c>
      <c r="F11">
        <v>247899</v>
      </c>
      <c r="G11">
        <v>201198</v>
      </c>
      <c r="H11">
        <v>173256</v>
      </c>
      <c r="I11">
        <v>146700</v>
      </c>
      <c r="J11">
        <v>119001</v>
      </c>
      <c r="K11">
        <v>95899</v>
      </c>
      <c r="L11">
        <v>73977</v>
      </c>
      <c r="M11">
        <v>53904</v>
      </c>
      <c r="N11">
        <v>43804</v>
      </c>
      <c r="O11">
        <v>30213</v>
      </c>
      <c r="P11">
        <v>23436</v>
      </c>
      <c r="Q11">
        <v>16003</v>
      </c>
      <c r="R11">
        <v>10919</v>
      </c>
      <c r="S11">
        <v>514586</v>
      </c>
      <c r="T11">
        <v>431588</v>
      </c>
      <c r="U11">
        <v>371409</v>
      </c>
      <c r="V11">
        <v>318050</v>
      </c>
      <c r="W11">
        <v>248992</v>
      </c>
      <c r="X11">
        <v>199610</v>
      </c>
      <c r="Y11">
        <v>168682</v>
      </c>
      <c r="Z11">
        <v>135038</v>
      </c>
      <c r="AA11">
        <v>120485</v>
      </c>
      <c r="AB11">
        <v>86544</v>
      </c>
      <c r="AC11">
        <v>75599</v>
      </c>
      <c r="AD11">
        <v>54587</v>
      </c>
      <c r="AE11">
        <v>57410</v>
      </c>
      <c r="AF11">
        <v>37257</v>
      </c>
      <c r="AG11">
        <v>29396</v>
      </c>
      <c r="AH11">
        <v>17770</v>
      </c>
      <c r="AI11">
        <v>13339</v>
      </c>
      <c r="AJ11">
        <v>2934586</v>
      </c>
      <c r="AK11">
        <v>2880342</v>
      </c>
      <c r="AL11">
        <v>5814928</v>
      </c>
    </row>
    <row r="12" spans="1:38" ht="18">
      <c r="A12" s="4" t="s">
        <v>9</v>
      </c>
      <c r="B12">
        <v>644945</v>
      </c>
      <c r="C12">
        <v>544939</v>
      </c>
      <c r="D12">
        <v>421873</v>
      </c>
      <c r="E12">
        <v>348897</v>
      </c>
      <c r="F12">
        <v>270790</v>
      </c>
      <c r="G12">
        <v>233981</v>
      </c>
      <c r="H12">
        <v>220992</v>
      </c>
      <c r="I12">
        <v>176524</v>
      </c>
      <c r="J12">
        <v>160850</v>
      </c>
      <c r="K12">
        <v>108578</v>
      </c>
      <c r="L12">
        <v>98736</v>
      </c>
      <c r="M12">
        <v>60103</v>
      </c>
      <c r="N12">
        <v>60783</v>
      </c>
      <c r="O12">
        <v>31453</v>
      </c>
      <c r="P12">
        <v>31629</v>
      </c>
      <c r="Q12">
        <v>14056</v>
      </c>
      <c r="R12">
        <v>11139</v>
      </c>
      <c r="S12">
        <v>596867</v>
      </c>
      <c r="T12">
        <v>492977</v>
      </c>
      <c r="U12">
        <v>369247</v>
      </c>
      <c r="V12">
        <v>326928</v>
      </c>
      <c r="W12">
        <v>285460</v>
      </c>
      <c r="X12">
        <v>230533</v>
      </c>
      <c r="Y12">
        <v>201616</v>
      </c>
      <c r="Z12">
        <v>146564</v>
      </c>
      <c r="AA12">
        <v>138886</v>
      </c>
      <c r="AB12">
        <v>84797</v>
      </c>
      <c r="AC12">
        <v>87266</v>
      </c>
      <c r="AD12">
        <v>49291</v>
      </c>
      <c r="AE12">
        <v>56913</v>
      </c>
      <c r="AF12">
        <v>28951</v>
      </c>
      <c r="AG12">
        <v>31809</v>
      </c>
      <c r="AH12">
        <v>14151</v>
      </c>
      <c r="AI12">
        <v>12468</v>
      </c>
      <c r="AJ12">
        <v>3440268</v>
      </c>
      <c r="AK12">
        <v>3154724</v>
      </c>
      <c r="AL12">
        <v>6594992</v>
      </c>
    </row>
    <row r="13" spans="1:38" ht="18">
      <c r="A13" s="4" t="s">
        <v>10</v>
      </c>
      <c r="B13">
        <v>255470</v>
      </c>
      <c r="C13">
        <v>263801</v>
      </c>
      <c r="D13">
        <v>260335</v>
      </c>
      <c r="E13">
        <v>242320</v>
      </c>
      <c r="F13">
        <v>199798</v>
      </c>
      <c r="G13">
        <v>157222</v>
      </c>
      <c r="H13">
        <v>125944</v>
      </c>
      <c r="I13">
        <v>111965</v>
      </c>
      <c r="J13">
        <v>99844</v>
      </c>
      <c r="K13">
        <v>85277</v>
      </c>
      <c r="L13">
        <v>65584</v>
      </c>
      <c r="M13">
        <v>48000</v>
      </c>
      <c r="N13">
        <v>37811</v>
      </c>
      <c r="O13">
        <v>28190</v>
      </c>
      <c r="P13">
        <v>17153</v>
      </c>
      <c r="Q13">
        <v>10955</v>
      </c>
      <c r="R13">
        <v>6018</v>
      </c>
      <c r="S13">
        <v>243102</v>
      </c>
      <c r="T13">
        <v>247026</v>
      </c>
      <c r="U13">
        <v>247067</v>
      </c>
      <c r="V13">
        <v>228463</v>
      </c>
      <c r="W13">
        <v>177638</v>
      </c>
      <c r="X13">
        <v>145558</v>
      </c>
      <c r="Y13">
        <v>127746</v>
      </c>
      <c r="Z13">
        <v>120877</v>
      </c>
      <c r="AA13">
        <v>98133</v>
      </c>
      <c r="AB13">
        <v>83858</v>
      </c>
      <c r="AC13">
        <v>63626</v>
      </c>
      <c r="AD13">
        <v>48751</v>
      </c>
      <c r="AE13">
        <v>41139</v>
      </c>
      <c r="AF13">
        <v>31640</v>
      </c>
      <c r="AG13">
        <v>18689</v>
      </c>
      <c r="AH13">
        <v>12559</v>
      </c>
      <c r="AI13">
        <v>6706</v>
      </c>
      <c r="AJ13">
        <v>2015687</v>
      </c>
      <c r="AK13">
        <v>1942578</v>
      </c>
      <c r="AL13">
        <v>3958265</v>
      </c>
    </row>
    <row r="14" spans="1:38" ht="18">
      <c r="A14" s="4" t="s">
        <v>11</v>
      </c>
      <c r="B14">
        <v>367102</v>
      </c>
      <c r="C14">
        <v>363425</v>
      </c>
      <c r="D14">
        <v>373194</v>
      </c>
      <c r="E14">
        <v>353940</v>
      </c>
      <c r="F14">
        <v>297603</v>
      </c>
      <c r="G14">
        <v>227942</v>
      </c>
      <c r="H14">
        <v>182870</v>
      </c>
      <c r="I14">
        <v>163400</v>
      </c>
      <c r="J14">
        <v>139733</v>
      </c>
      <c r="K14">
        <v>123629</v>
      </c>
      <c r="L14">
        <v>92496</v>
      </c>
      <c r="M14">
        <v>82655</v>
      </c>
      <c r="N14">
        <v>52325</v>
      </c>
      <c r="O14">
        <v>47402</v>
      </c>
      <c r="P14">
        <v>27695</v>
      </c>
      <c r="Q14">
        <v>21886</v>
      </c>
      <c r="R14">
        <v>10668</v>
      </c>
      <c r="S14">
        <v>352059</v>
      </c>
      <c r="T14">
        <v>347139</v>
      </c>
      <c r="U14">
        <v>365330</v>
      </c>
      <c r="V14">
        <v>333023</v>
      </c>
      <c r="W14">
        <v>263756</v>
      </c>
      <c r="X14">
        <v>214716</v>
      </c>
      <c r="Y14">
        <v>186714</v>
      </c>
      <c r="Z14">
        <v>178217</v>
      </c>
      <c r="AA14">
        <v>142570</v>
      </c>
      <c r="AB14">
        <v>132157</v>
      </c>
      <c r="AC14">
        <v>95005</v>
      </c>
      <c r="AD14">
        <v>96062</v>
      </c>
      <c r="AE14">
        <v>59273</v>
      </c>
      <c r="AF14">
        <v>55830</v>
      </c>
      <c r="AG14">
        <v>35088</v>
      </c>
      <c r="AH14">
        <v>27040</v>
      </c>
      <c r="AI14">
        <v>15782</v>
      </c>
      <c r="AJ14">
        <v>2927965</v>
      </c>
      <c r="AK14">
        <v>2899761</v>
      </c>
      <c r="AL14">
        <v>5827726</v>
      </c>
    </row>
    <row r="15" spans="1:38" ht="18">
      <c r="A15" s="4" t="s">
        <v>12</v>
      </c>
      <c r="B15">
        <v>213833</v>
      </c>
      <c r="C15">
        <v>203754</v>
      </c>
      <c r="D15">
        <v>197034</v>
      </c>
      <c r="E15">
        <v>176671</v>
      </c>
      <c r="F15">
        <v>132083</v>
      </c>
      <c r="G15">
        <v>95485</v>
      </c>
      <c r="H15">
        <v>79584</v>
      </c>
      <c r="I15">
        <v>72338</v>
      </c>
      <c r="J15">
        <v>67188</v>
      </c>
      <c r="K15">
        <v>58447</v>
      </c>
      <c r="L15">
        <v>46109</v>
      </c>
      <c r="M15">
        <v>36235</v>
      </c>
      <c r="N15">
        <v>28541</v>
      </c>
      <c r="O15">
        <v>22476</v>
      </c>
      <c r="P15">
        <v>13855</v>
      </c>
      <c r="Q15">
        <v>10238</v>
      </c>
      <c r="R15">
        <v>5363</v>
      </c>
      <c r="S15">
        <v>207890</v>
      </c>
      <c r="T15">
        <v>199710</v>
      </c>
      <c r="U15">
        <v>194554</v>
      </c>
      <c r="V15">
        <v>179000</v>
      </c>
      <c r="W15">
        <v>125519</v>
      </c>
      <c r="X15">
        <v>104915</v>
      </c>
      <c r="Y15">
        <v>94035</v>
      </c>
      <c r="Z15">
        <v>90186</v>
      </c>
      <c r="AA15">
        <v>76152</v>
      </c>
      <c r="AB15">
        <v>67676</v>
      </c>
      <c r="AC15">
        <v>48162</v>
      </c>
      <c r="AD15">
        <v>42488</v>
      </c>
      <c r="AE15">
        <v>33954</v>
      </c>
      <c r="AF15">
        <v>27586</v>
      </c>
      <c r="AG15">
        <v>15951</v>
      </c>
      <c r="AH15">
        <v>9976</v>
      </c>
      <c r="AI15">
        <v>6145</v>
      </c>
      <c r="AJ15">
        <v>1459234</v>
      </c>
      <c r="AK15">
        <v>1523899</v>
      </c>
      <c r="AL15">
        <v>2983133</v>
      </c>
    </row>
    <row r="16" spans="1:38" ht="18">
      <c r="A16" s="4" t="s">
        <v>13</v>
      </c>
      <c r="B16">
        <v>276429</v>
      </c>
      <c r="C16">
        <v>267891</v>
      </c>
      <c r="D16">
        <v>273219</v>
      </c>
      <c r="E16">
        <v>262779</v>
      </c>
      <c r="F16">
        <v>244690</v>
      </c>
      <c r="G16">
        <v>191737</v>
      </c>
      <c r="H16">
        <v>140876</v>
      </c>
      <c r="I16">
        <v>122163</v>
      </c>
      <c r="J16">
        <v>98953</v>
      </c>
      <c r="K16">
        <v>91372</v>
      </c>
      <c r="L16">
        <v>65990</v>
      </c>
      <c r="M16">
        <v>65097</v>
      </c>
      <c r="N16">
        <v>37391</v>
      </c>
      <c r="O16">
        <v>36243</v>
      </c>
      <c r="P16">
        <v>20266</v>
      </c>
      <c r="Q16">
        <v>15590</v>
      </c>
      <c r="R16">
        <v>8038</v>
      </c>
      <c r="S16">
        <v>261756</v>
      </c>
      <c r="T16">
        <v>255925</v>
      </c>
      <c r="U16">
        <v>267795</v>
      </c>
      <c r="V16">
        <v>245304</v>
      </c>
      <c r="W16">
        <v>206957</v>
      </c>
      <c r="X16">
        <v>164130</v>
      </c>
      <c r="Y16">
        <v>137442</v>
      </c>
      <c r="Z16">
        <v>131252</v>
      </c>
      <c r="AA16">
        <v>105276</v>
      </c>
      <c r="AB16">
        <v>99053</v>
      </c>
      <c r="AC16">
        <v>71708</v>
      </c>
      <c r="AD16">
        <v>74956</v>
      </c>
      <c r="AE16">
        <v>45906</v>
      </c>
      <c r="AF16">
        <v>45164</v>
      </c>
      <c r="AG16">
        <v>27536</v>
      </c>
      <c r="AH16">
        <v>21281</v>
      </c>
      <c r="AI16">
        <v>12905</v>
      </c>
      <c r="AJ16">
        <v>2218724</v>
      </c>
      <c r="AK16">
        <v>2174346</v>
      </c>
      <c r="AL16">
        <v>4393070</v>
      </c>
    </row>
    <row r="17" spans="1:38" ht="18">
      <c r="A17" s="4" t="s">
        <v>14</v>
      </c>
      <c r="B17">
        <v>199031</v>
      </c>
      <c r="C17">
        <v>218957</v>
      </c>
      <c r="D17">
        <v>241674</v>
      </c>
      <c r="E17">
        <v>231477</v>
      </c>
      <c r="F17">
        <v>198471</v>
      </c>
      <c r="G17">
        <v>134938</v>
      </c>
      <c r="H17">
        <v>101395</v>
      </c>
      <c r="I17">
        <v>89201</v>
      </c>
      <c r="J17">
        <v>83388</v>
      </c>
      <c r="K17">
        <v>72033</v>
      </c>
      <c r="L17">
        <v>58322</v>
      </c>
      <c r="M17">
        <v>44278</v>
      </c>
      <c r="N17">
        <v>36026</v>
      </c>
      <c r="O17">
        <v>27713</v>
      </c>
      <c r="P17">
        <v>18326</v>
      </c>
      <c r="Q17">
        <v>9656</v>
      </c>
      <c r="R17">
        <v>5704</v>
      </c>
      <c r="S17">
        <v>188875</v>
      </c>
      <c r="T17">
        <v>207004</v>
      </c>
      <c r="U17">
        <v>230520</v>
      </c>
      <c r="V17">
        <v>217058</v>
      </c>
      <c r="W17">
        <v>175326</v>
      </c>
      <c r="X17">
        <v>125783</v>
      </c>
      <c r="Y17">
        <v>105683</v>
      </c>
      <c r="Z17">
        <v>105824</v>
      </c>
      <c r="AA17">
        <v>84561</v>
      </c>
      <c r="AB17">
        <v>79616</v>
      </c>
      <c r="AC17">
        <v>54939</v>
      </c>
      <c r="AD17">
        <v>57642</v>
      </c>
      <c r="AE17">
        <v>38065</v>
      </c>
      <c r="AF17">
        <v>34165</v>
      </c>
      <c r="AG17">
        <v>16611</v>
      </c>
      <c r="AH17">
        <v>11695</v>
      </c>
      <c r="AI17">
        <v>6995</v>
      </c>
      <c r="AJ17">
        <v>1770590</v>
      </c>
      <c r="AK17">
        <v>1740362</v>
      </c>
      <c r="AL17">
        <v>3510952</v>
      </c>
    </row>
    <row r="18" spans="1:38" ht="18">
      <c r="A18" s="4" t="s">
        <v>15</v>
      </c>
      <c r="B18">
        <v>253101</v>
      </c>
      <c r="C18">
        <v>254655</v>
      </c>
      <c r="D18">
        <v>277433</v>
      </c>
      <c r="E18">
        <v>261039</v>
      </c>
      <c r="F18">
        <v>221637</v>
      </c>
      <c r="G18">
        <v>158394</v>
      </c>
      <c r="H18">
        <v>118345</v>
      </c>
      <c r="I18">
        <v>108252</v>
      </c>
      <c r="J18">
        <v>102622</v>
      </c>
      <c r="K18">
        <v>98325</v>
      </c>
      <c r="L18">
        <v>76391</v>
      </c>
      <c r="M18">
        <v>69909</v>
      </c>
      <c r="N18">
        <v>49306</v>
      </c>
      <c r="O18">
        <v>45193</v>
      </c>
      <c r="P18">
        <v>27101</v>
      </c>
      <c r="Q18">
        <v>16472</v>
      </c>
      <c r="R18">
        <v>8176</v>
      </c>
      <c r="S18">
        <v>250024</v>
      </c>
      <c r="T18">
        <v>247712</v>
      </c>
      <c r="U18">
        <v>283922</v>
      </c>
      <c r="V18">
        <v>274784</v>
      </c>
      <c r="W18">
        <v>217205</v>
      </c>
      <c r="X18">
        <v>161621</v>
      </c>
      <c r="Y18">
        <v>140126</v>
      </c>
      <c r="Z18">
        <v>135981</v>
      </c>
      <c r="AA18">
        <v>117125</v>
      </c>
      <c r="AB18">
        <v>110055</v>
      </c>
      <c r="AC18">
        <v>82636</v>
      </c>
      <c r="AD18">
        <v>79464</v>
      </c>
      <c r="AE18">
        <v>57225</v>
      </c>
      <c r="AF18">
        <v>51551</v>
      </c>
      <c r="AG18">
        <v>29694</v>
      </c>
      <c r="AH18">
        <v>19976</v>
      </c>
      <c r="AI18">
        <v>10275</v>
      </c>
      <c r="AJ18">
        <v>2146351</v>
      </c>
      <c r="AK18">
        <v>2269376</v>
      </c>
      <c r="AL18">
        <v>4415727</v>
      </c>
    </row>
    <row r="19" spans="1:38" ht="18">
      <c r="A19" s="4" t="s">
        <v>16</v>
      </c>
      <c r="B19">
        <v>366734</v>
      </c>
      <c r="C19">
        <v>281057</v>
      </c>
      <c r="D19">
        <v>232913</v>
      </c>
      <c r="E19">
        <v>202152</v>
      </c>
      <c r="F19">
        <v>248382</v>
      </c>
      <c r="G19">
        <v>310563</v>
      </c>
      <c r="H19">
        <v>263226</v>
      </c>
      <c r="I19">
        <v>228757</v>
      </c>
      <c r="J19">
        <v>148467</v>
      </c>
      <c r="K19">
        <v>121262</v>
      </c>
      <c r="L19">
        <v>62545</v>
      </c>
      <c r="M19">
        <v>53076</v>
      </c>
      <c r="N19">
        <v>20135</v>
      </c>
      <c r="O19">
        <v>16802</v>
      </c>
      <c r="P19">
        <v>7187</v>
      </c>
      <c r="Q19">
        <v>5307</v>
      </c>
      <c r="R19">
        <v>3651</v>
      </c>
      <c r="S19">
        <v>368062</v>
      </c>
      <c r="T19">
        <v>295804</v>
      </c>
      <c r="U19">
        <v>274169</v>
      </c>
      <c r="V19">
        <v>226094</v>
      </c>
      <c r="W19">
        <v>240570</v>
      </c>
      <c r="X19">
        <v>239062</v>
      </c>
      <c r="Y19">
        <v>186691</v>
      </c>
      <c r="Z19">
        <v>144517</v>
      </c>
      <c r="AA19">
        <v>92826</v>
      </c>
      <c r="AB19">
        <v>66230</v>
      </c>
      <c r="AC19">
        <v>38666</v>
      </c>
      <c r="AD19">
        <v>33081</v>
      </c>
      <c r="AE19">
        <v>18099</v>
      </c>
      <c r="AF19">
        <v>16523</v>
      </c>
      <c r="AG19">
        <v>10377</v>
      </c>
      <c r="AH19">
        <v>6774</v>
      </c>
      <c r="AI19">
        <v>4986</v>
      </c>
      <c r="AJ19">
        <v>2572216</v>
      </c>
      <c r="AK19">
        <v>2262531</v>
      </c>
      <c r="AL19">
        <v>4834747</v>
      </c>
    </row>
    <row r="20" spans="1:38" ht="18">
      <c r="A20" s="4" t="s">
        <v>17</v>
      </c>
      <c r="B20">
        <v>334511</v>
      </c>
      <c r="C20">
        <v>277281</v>
      </c>
      <c r="D20">
        <v>248163</v>
      </c>
      <c r="E20">
        <v>209659</v>
      </c>
      <c r="F20">
        <v>149392</v>
      </c>
      <c r="G20">
        <v>119694</v>
      </c>
      <c r="H20">
        <v>104192</v>
      </c>
      <c r="I20">
        <v>87074</v>
      </c>
      <c r="J20">
        <v>70682</v>
      </c>
      <c r="K20">
        <v>53257</v>
      </c>
      <c r="L20">
        <v>41639</v>
      </c>
      <c r="M20">
        <v>30353</v>
      </c>
      <c r="N20">
        <v>23361</v>
      </c>
      <c r="O20">
        <v>16672</v>
      </c>
      <c r="P20">
        <v>13286</v>
      </c>
      <c r="Q20">
        <v>8762</v>
      </c>
      <c r="R20">
        <v>4907</v>
      </c>
      <c r="S20">
        <v>311596</v>
      </c>
      <c r="T20">
        <v>241005</v>
      </c>
      <c r="U20">
        <v>198060</v>
      </c>
      <c r="V20">
        <v>174248</v>
      </c>
      <c r="W20">
        <v>138293</v>
      </c>
      <c r="X20">
        <v>116708</v>
      </c>
      <c r="Y20">
        <v>95232</v>
      </c>
      <c r="Z20">
        <v>75830</v>
      </c>
      <c r="AA20">
        <v>63848</v>
      </c>
      <c r="AB20">
        <v>45983</v>
      </c>
      <c r="AC20">
        <v>39465</v>
      </c>
      <c r="AD20">
        <v>28526</v>
      </c>
      <c r="AE20">
        <v>24977</v>
      </c>
      <c r="AF20">
        <v>17348</v>
      </c>
      <c r="AG20">
        <v>14741</v>
      </c>
      <c r="AH20">
        <v>8088</v>
      </c>
      <c r="AI20">
        <v>5612</v>
      </c>
      <c r="AJ20">
        <v>1792885</v>
      </c>
      <c r="AK20">
        <v>1599560</v>
      </c>
      <c r="AL20">
        <v>3392445</v>
      </c>
    </row>
    <row r="21" spans="1:38" ht="18">
      <c r="A21" s="4" t="s">
        <v>18</v>
      </c>
      <c r="B21">
        <v>325102</v>
      </c>
      <c r="C21">
        <v>335341</v>
      </c>
      <c r="D21">
        <v>361868</v>
      </c>
      <c r="E21">
        <v>349158</v>
      </c>
      <c r="F21">
        <v>279447</v>
      </c>
      <c r="G21">
        <v>203489</v>
      </c>
      <c r="H21">
        <v>163543</v>
      </c>
      <c r="I21">
        <v>147223</v>
      </c>
      <c r="J21">
        <v>138378</v>
      </c>
      <c r="K21">
        <v>124953</v>
      </c>
      <c r="L21">
        <v>97194</v>
      </c>
      <c r="M21">
        <v>83548</v>
      </c>
      <c r="N21">
        <v>57973</v>
      </c>
      <c r="O21">
        <v>50281</v>
      </c>
      <c r="P21">
        <v>31470</v>
      </c>
      <c r="Q21">
        <v>22123</v>
      </c>
      <c r="R21">
        <v>11055</v>
      </c>
      <c r="S21">
        <v>309242</v>
      </c>
      <c r="T21">
        <v>315414</v>
      </c>
      <c r="U21">
        <v>350304</v>
      </c>
      <c r="V21">
        <v>327225</v>
      </c>
      <c r="W21">
        <v>246833</v>
      </c>
      <c r="X21">
        <v>201853</v>
      </c>
      <c r="Y21">
        <v>178926</v>
      </c>
      <c r="Z21">
        <v>174716</v>
      </c>
      <c r="AA21">
        <v>142857</v>
      </c>
      <c r="AB21">
        <v>132292</v>
      </c>
      <c r="AC21">
        <v>95830</v>
      </c>
      <c r="AD21">
        <v>93207</v>
      </c>
      <c r="AE21">
        <v>62793</v>
      </c>
      <c r="AF21">
        <v>61769</v>
      </c>
      <c r="AG21">
        <v>35109</v>
      </c>
      <c r="AH21">
        <v>24762</v>
      </c>
      <c r="AI21">
        <v>12249</v>
      </c>
      <c r="AJ21">
        <v>2782146</v>
      </c>
      <c r="AK21">
        <v>2765381</v>
      </c>
      <c r="AL21">
        <v>5547527</v>
      </c>
    </row>
    <row r="22" spans="1:38" ht="18">
      <c r="A22" s="4" t="s">
        <v>19</v>
      </c>
      <c r="B22">
        <v>614198</v>
      </c>
      <c r="C22">
        <v>482852</v>
      </c>
      <c r="D22">
        <v>358722</v>
      </c>
      <c r="E22">
        <v>291747</v>
      </c>
      <c r="F22">
        <v>208354</v>
      </c>
      <c r="G22">
        <v>184644</v>
      </c>
      <c r="H22">
        <v>192209</v>
      </c>
      <c r="I22">
        <v>151233</v>
      </c>
      <c r="J22">
        <v>143479</v>
      </c>
      <c r="K22">
        <v>88653</v>
      </c>
      <c r="L22">
        <v>94036</v>
      </c>
      <c r="M22">
        <v>44362</v>
      </c>
      <c r="N22">
        <v>55594</v>
      </c>
      <c r="O22">
        <v>23145</v>
      </c>
      <c r="P22">
        <v>35036</v>
      </c>
      <c r="Q22">
        <v>11747</v>
      </c>
      <c r="R22">
        <v>13355</v>
      </c>
      <c r="S22">
        <v>563813</v>
      </c>
      <c r="T22">
        <v>459277</v>
      </c>
      <c r="U22">
        <v>339830</v>
      </c>
      <c r="V22">
        <v>300660</v>
      </c>
      <c r="W22">
        <v>259361</v>
      </c>
      <c r="X22">
        <v>214203</v>
      </c>
      <c r="Y22">
        <v>193560</v>
      </c>
      <c r="Z22">
        <v>136409</v>
      </c>
      <c r="AA22">
        <v>131297</v>
      </c>
      <c r="AB22">
        <v>75712</v>
      </c>
      <c r="AC22">
        <v>82142</v>
      </c>
      <c r="AD22">
        <v>41509</v>
      </c>
      <c r="AE22">
        <v>51711</v>
      </c>
      <c r="AF22">
        <v>23348</v>
      </c>
      <c r="AG22">
        <v>31052</v>
      </c>
      <c r="AH22">
        <v>11479</v>
      </c>
      <c r="AI22">
        <v>13101</v>
      </c>
      <c r="AJ22">
        <v>2993366</v>
      </c>
      <c r="AK22">
        <v>2928464</v>
      </c>
      <c r="AL22">
        <v>5921830</v>
      </c>
    </row>
    <row r="23" spans="1:38" ht="18">
      <c r="A23" s="4" t="s">
        <v>20</v>
      </c>
      <c r="B23">
        <v>844977</v>
      </c>
      <c r="C23">
        <v>668389</v>
      </c>
      <c r="D23">
        <v>555616</v>
      </c>
      <c r="E23">
        <v>471968</v>
      </c>
      <c r="F23">
        <v>365548</v>
      </c>
      <c r="G23">
        <v>317880</v>
      </c>
      <c r="H23">
        <v>275283</v>
      </c>
      <c r="I23">
        <v>236243</v>
      </c>
      <c r="J23">
        <v>187951</v>
      </c>
      <c r="K23">
        <v>145539</v>
      </c>
      <c r="L23">
        <v>109636</v>
      </c>
      <c r="M23">
        <v>89037</v>
      </c>
      <c r="N23">
        <v>58793</v>
      </c>
      <c r="O23">
        <v>44237</v>
      </c>
      <c r="P23">
        <v>32223</v>
      </c>
      <c r="Q23">
        <v>20891</v>
      </c>
      <c r="R23">
        <v>15840</v>
      </c>
      <c r="S23">
        <v>821129</v>
      </c>
      <c r="T23">
        <v>651306</v>
      </c>
      <c r="U23">
        <v>531399</v>
      </c>
      <c r="V23">
        <v>466750</v>
      </c>
      <c r="W23">
        <v>381545</v>
      </c>
      <c r="X23">
        <v>319033</v>
      </c>
      <c r="Y23">
        <v>260737</v>
      </c>
      <c r="Z23">
        <v>209617</v>
      </c>
      <c r="AA23">
        <v>174590</v>
      </c>
      <c r="AB23">
        <v>126817</v>
      </c>
      <c r="AC23">
        <v>104643</v>
      </c>
      <c r="AD23">
        <v>81710</v>
      </c>
      <c r="AE23">
        <v>61439</v>
      </c>
      <c r="AF23">
        <v>46682</v>
      </c>
      <c r="AG23">
        <v>38943</v>
      </c>
      <c r="AH23">
        <v>23466</v>
      </c>
      <c r="AI23">
        <v>18190</v>
      </c>
      <c r="AJ23">
        <v>4440051</v>
      </c>
      <c r="AK23">
        <v>4317996</v>
      </c>
      <c r="AL23">
        <v>8758047</v>
      </c>
    </row>
    <row r="24" spans="1:38" ht="18">
      <c r="A24" s="4" t="s">
        <v>21</v>
      </c>
      <c r="B24">
        <v>2685854</v>
      </c>
      <c r="C24">
        <v>2215912</v>
      </c>
      <c r="D24">
        <v>1899992</v>
      </c>
      <c r="E24">
        <v>1623792</v>
      </c>
      <c r="F24">
        <v>1145504</v>
      </c>
      <c r="G24">
        <v>962806</v>
      </c>
      <c r="H24">
        <v>873748</v>
      </c>
      <c r="I24">
        <v>710084</v>
      </c>
      <c r="J24">
        <v>626126</v>
      </c>
      <c r="K24">
        <v>417902</v>
      </c>
      <c r="L24">
        <v>390072</v>
      </c>
      <c r="M24">
        <v>240480</v>
      </c>
      <c r="N24">
        <v>224944</v>
      </c>
      <c r="O24">
        <v>117568</v>
      </c>
      <c r="P24">
        <v>131960</v>
      </c>
      <c r="Q24">
        <v>55088</v>
      </c>
      <c r="R24">
        <v>53210</v>
      </c>
      <c r="S24">
        <v>2512812</v>
      </c>
      <c r="T24">
        <v>2022430</v>
      </c>
      <c r="U24">
        <v>1533772</v>
      </c>
      <c r="V24">
        <v>1331018</v>
      </c>
      <c r="W24">
        <v>1130742</v>
      </c>
      <c r="X24">
        <v>942938</v>
      </c>
      <c r="Y24">
        <v>806562</v>
      </c>
      <c r="Z24">
        <v>594464</v>
      </c>
      <c r="AA24">
        <v>551850</v>
      </c>
      <c r="AB24">
        <v>332620</v>
      </c>
      <c r="AC24">
        <v>341472</v>
      </c>
      <c r="AD24">
        <v>189342</v>
      </c>
      <c r="AE24">
        <v>205702</v>
      </c>
      <c r="AF24">
        <v>104032</v>
      </c>
      <c r="AG24">
        <v>134946</v>
      </c>
      <c r="AH24">
        <v>53078</v>
      </c>
      <c r="AI24">
        <v>61438</v>
      </c>
      <c r="AJ24">
        <v>14375042</v>
      </c>
      <c r="AK24">
        <v>12849218</v>
      </c>
      <c r="AL24">
        <v>27224260</v>
      </c>
    </row>
    <row r="25" spans="1:38" ht="18">
      <c r="A25" s="4" t="s">
        <v>23</v>
      </c>
      <c r="B25">
        <v>855762</v>
      </c>
      <c r="C25">
        <v>663208</v>
      </c>
      <c r="D25">
        <v>516254</v>
      </c>
      <c r="E25">
        <v>413287</v>
      </c>
      <c r="F25">
        <v>298887</v>
      </c>
      <c r="G25">
        <v>261265</v>
      </c>
      <c r="H25">
        <v>246915</v>
      </c>
      <c r="I25">
        <v>205252</v>
      </c>
      <c r="J25">
        <v>177914</v>
      </c>
      <c r="K25">
        <v>124250</v>
      </c>
      <c r="L25">
        <v>111981</v>
      </c>
      <c r="M25">
        <v>64741</v>
      </c>
      <c r="N25">
        <v>64193</v>
      </c>
      <c r="O25">
        <v>32605</v>
      </c>
      <c r="P25">
        <v>36191</v>
      </c>
      <c r="Q25">
        <v>17490</v>
      </c>
      <c r="R25">
        <v>14146</v>
      </c>
      <c r="S25">
        <v>792645</v>
      </c>
      <c r="T25">
        <v>616698</v>
      </c>
      <c r="U25">
        <v>472450</v>
      </c>
      <c r="V25">
        <v>409151</v>
      </c>
      <c r="W25">
        <v>341581</v>
      </c>
      <c r="X25">
        <v>287685</v>
      </c>
      <c r="Y25">
        <v>243017</v>
      </c>
      <c r="Z25">
        <v>184850</v>
      </c>
      <c r="AA25">
        <v>163563</v>
      </c>
      <c r="AB25">
        <v>106718</v>
      </c>
      <c r="AC25">
        <v>101363</v>
      </c>
      <c r="AD25">
        <v>60327</v>
      </c>
      <c r="AE25">
        <v>63210</v>
      </c>
      <c r="AF25">
        <v>34063</v>
      </c>
      <c r="AG25">
        <v>36547</v>
      </c>
      <c r="AH25">
        <v>17381</v>
      </c>
      <c r="AI25">
        <v>14872</v>
      </c>
      <c r="AJ25">
        <v>4104341</v>
      </c>
      <c r="AK25">
        <v>3946121</v>
      </c>
      <c r="AL25">
        <v>8050462</v>
      </c>
    </row>
    <row r="26" spans="1:38" ht="18">
      <c r="A26" s="4" t="s">
        <v>24</v>
      </c>
      <c r="B26">
        <v>460815</v>
      </c>
      <c r="C26">
        <v>375139</v>
      </c>
      <c r="D26">
        <v>281316</v>
      </c>
      <c r="E26">
        <v>222841</v>
      </c>
      <c r="F26">
        <v>159983</v>
      </c>
      <c r="G26">
        <v>153342</v>
      </c>
      <c r="H26">
        <v>138763</v>
      </c>
      <c r="I26">
        <v>115221</v>
      </c>
      <c r="J26">
        <v>96011</v>
      </c>
      <c r="K26">
        <v>66407</v>
      </c>
      <c r="L26">
        <v>60550</v>
      </c>
      <c r="M26">
        <v>43425</v>
      </c>
      <c r="N26">
        <v>38085</v>
      </c>
      <c r="O26">
        <v>22319</v>
      </c>
      <c r="P26">
        <v>19369</v>
      </c>
      <c r="Q26">
        <v>9548</v>
      </c>
      <c r="R26">
        <v>6986</v>
      </c>
      <c r="S26">
        <v>434592</v>
      </c>
      <c r="T26">
        <v>371716</v>
      </c>
      <c r="U26">
        <v>266665</v>
      </c>
      <c r="V26">
        <v>225813</v>
      </c>
      <c r="W26">
        <v>195292</v>
      </c>
      <c r="X26">
        <v>166637</v>
      </c>
      <c r="Y26">
        <v>136434</v>
      </c>
      <c r="Z26">
        <v>101666</v>
      </c>
      <c r="AA26">
        <v>93962</v>
      </c>
      <c r="AB26">
        <v>54681</v>
      </c>
      <c r="AC26">
        <v>58969</v>
      </c>
      <c r="AD26">
        <v>34810</v>
      </c>
      <c r="AE26">
        <v>38285</v>
      </c>
      <c r="AF26">
        <v>20772</v>
      </c>
      <c r="AG26">
        <v>22484</v>
      </c>
      <c r="AH26">
        <v>9368</v>
      </c>
      <c r="AI26">
        <v>8208</v>
      </c>
      <c r="AJ26">
        <v>2270120</v>
      </c>
      <c r="AK26">
        <v>2240354</v>
      </c>
      <c r="AL26">
        <v>4510474</v>
      </c>
    </row>
    <row r="27" spans="1:38" ht="18">
      <c r="A27" s="4" t="s">
        <v>25</v>
      </c>
      <c r="B27">
        <v>450046</v>
      </c>
      <c r="C27">
        <v>357559</v>
      </c>
      <c r="D27">
        <v>307624</v>
      </c>
      <c r="E27">
        <v>267299</v>
      </c>
      <c r="F27">
        <v>205971</v>
      </c>
      <c r="G27">
        <v>173343</v>
      </c>
      <c r="H27">
        <v>150802</v>
      </c>
      <c r="I27">
        <v>129911</v>
      </c>
      <c r="J27">
        <v>108089</v>
      </c>
      <c r="K27">
        <v>85882</v>
      </c>
      <c r="L27">
        <v>66505</v>
      </c>
      <c r="M27">
        <v>44898</v>
      </c>
      <c r="N27">
        <v>39268</v>
      </c>
      <c r="O27">
        <v>27993</v>
      </c>
      <c r="P27">
        <v>18024</v>
      </c>
      <c r="Q27">
        <v>10938</v>
      </c>
      <c r="R27">
        <v>7155</v>
      </c>
      <c r="S27">
        <v>427979</v>
      </c>
      <c r="T27">
        <v>341146</v>
      </c>
      <c r="U27">
        <v>294002</v>
      </c>
      <c r="V27">
        <v>256409</v>
      </c>
      <c r="W27">
        <v>205935</v>
      </c>
      <c r="X27">
        <v>178793</v>
      </c>
      <c r="Y27">
        <v>149077</v>
      </c>
      <c r="Z27">
        <v>125434</v>
      </c>
      <c r="AA27">
        <v>104451</v>
      </c>
      <c r="AB27">
        <v>79458</v>
      </c>
      <c r="AC27">
        <v>62200</v>
      </c>
      <c r="AD27">
        <v>49353</v>
      </c>
      <c r="AE27">
        <v>40417</v>
      </c>
      <c r="AF27">
        <v>31538</v>
      </c>
      <c r="AG27">
        <v>19401</v>
      </c>
      <c r="AH27">
        <v>11776</v>
      </c>
      <c r="AI27">
        <v>8048</v>
      </c>
      <c r="AJ27">
        <v>2451307</v>
      </c>
      <c r="AK27">
        <v>2385417</v>
      </c>
      <c r="AL27">
        <v>4836724</v>
      </c>
    </row>
    <row r="28" spans="1:38" ht="18">
      <c r="A28" s="4" t="s">
        <v>26</v>
      </c>
      <c r="B28">
        <v>296954</v>
      </c>
      <c r="C28">
        <v>248272</v>
      </c>
      <c r="D28">
        <v>214574</v>
      </c>
      <c r="E28">
        <v>185581</v>
      </c>
      <c r="F28">
        <v>148637</v>
      </c>
      <c r="G28">
        <v>123171</v>
      </c>
      <c r="H28">
        <v>105508</v>
      </c>
      <c r="I28">
        <v>90881</v>
      </c>
      <c r="J28">
        <v>78324</v>
      </c>
      <c r="K28">
        <v>61280</v>
      </c>
      <c r="L28">
        <v>47917</v>
      </c>
      <c r="M28">
        <v>34821</v>
      </c>
      <c r="N28">
        <v>28766</v>
      </c>
      <c r="O28">
        <v>21646</v>
      </c>
      <c r="P28">
        <v>13654</v>
      </c>
      <c r="Q28">
        <v>7844</v>
      </c>
      <c r="R28">
        <v>5039</v>
      </c>
      <c r="S28">
        <v>283824</v>
      </c>
      <c r="T28">
        <v>234528</v>
      </c>
      <c r="U28">
        <v>203623</v>
      </c>
      <c r="V28">
        <v>173044</v>
      </c>
      <c r="W28">
        <v>143444</v>
      </c>
      <c r="X28">
        <v>125168</v>
      </c>
      <c r="Y28">
        <v>104685</v>
      </c>
      <c r="Z28">
        <v>88631</v>
      </c>
      <c r="AA28">
        <v>76133</v>
      </c>
      <c r="AB28">
        <v>57849</v>
      </c>
      <c r="AC28">
        <v>46492</v>
      </c>
      <c r="AD28">
        <v>39773</v>
      </c>
      <c r="AE28">
        <v>30625</v>
      </c>
      <c r="AF28">
        <v>24516</v>
      </c>
      <c r="AG28">
        <v>16093</v>
      </c>
      <c r="AH28">
        <v>10772</v>
      </c>
      <c r="AI28">
        <v>6638</v>
      </c>
      <c r="AJ28">
        <v>1712869</v>
      </c>
      <c r="AK28">
        <v>1665838</v>
      </c>
      <c r="AL28">
        <v>3378707</v>
      </c>
    </row>
    <row r="29" spans="1:38" ht="18">
      <c r="A29" s="4" t="s">
        <v>27</v>
      </c>
      <c r="B29">
        <v>938127</v>
      </c>
      <c r="C29">
        <v>764124</v>
      </c>
      <c r="D29">
        <v>711671</v>
      </c>
      <c r="E29">
        <v>726172</v>
      </c>
      <c r="F29">
        <v>910295</v>
      </c>
      <c r="G29">
        <v>888836</v>
      </c>
      <c r="H29">
        <v>732696</v>
      </c>
      <c r="I29">
        <v>635191</v>
      </c>
      <c r="J29">
        <v>425939</v>
      </c>
      <c r="K29">
        <v>351940</v>
      </c>
      <c r="L29">
        <v>209085</v>
      </c>
      <c r="M29">
        <v>209088</v>
      </c>
      <c r="N29">
        <v>93689</v>
      </c>
      <c r="O29">
        <v>87826</v>
      </c>
      <c r="P29">
        <v>34712</v>
      </c>
      <c r="Q29">
        <v>24664</v>
      </c>
      <c r="R29">
        <v>11328</v>
      </c>
      <c r="S29">
        <v>929948</v>
      </c>
      <c r="T29">
        <v>779056</v>
      </c>
      <c r="U29">
        <v>790382</v>
      </c>
      <c r="V29">
        <v>739251</v>
      </c>
      <c r="W29">
        <v>748929</v>
      </c>
      <c r="X29">
        <v>689190</v>
      </c>
      <c r="Y29">
        <v>569628</v>
      </c>
      <c r="Z29">
        <v>494720</v>
      </c>
      <c r="AA29">
        <v>358912</v>
      </c>
      <c r="AB29">
        <v>300427</v>
      </c>
      <c r="AC29">
        <v>201048</v>
      </c>
      <c r="AD29">
        <v>199279</v>
      </c>
      <c r="AE29">
        <v>108829</v>
      </c>
      <c r="AF29">
        <v>99362</v>
      </c>
      <c r="AG29">
        <v>52776</v>
      </c>
      <c r="AH29">
        <v>39470</v>
      </c>
      <c r="AI29">
        <v>23164</v>
      </c>
      <c r="AJ29">
        <v>7755383</v>
      </c>
      <c r="AK29">
        <v>7124371</v>
      </c>
      <c r="AL29">
        <v>14879754</v>
      </c>
    </row>
    <row r="30" spans="1:38" ht="18">
      <c r="A30" s="4" t="s">
        <v>22</v>
      </c>
      <c r="B30">
        <v>242841</v>
      </c>
      <c r="C30">
        <v>191349</v>
      </c>
      <c r="D30">
        <v>159821</v>
      </c>
      <c r="E30">
        <v>139754</v>
      </c>
      <c r="F30">
        <v>109763</v>
      </c>
      <c r="G30">
        <v>96818</v>
      </c>
      <c r="H30">
        <v>83448</v>
      </c>
      <c r="I30">
        <v>71211</v>
      </c>
      <c r="J30">
        <v>55243</v>
      </c>
      <c r="K30">
        <v>42945</v>
      </c>
      <c r="L30">
        <v>31670</v>
      </c>
      <c r="M30">
        <v>22831</v>
      </c>
      <c r="N30">
        <v>16394</v>
      </c>
      <c r="O30">
        <v>13111</v>
      </c>
      <c r="P30">
        <v>9268</v>
      </c>
      <c r="Q30">
        <v>5934</v>
      </c>
      <c r="R30">
        <v>4378</v>
      </c>
      <c r="S30">
        <v>236564</v>
      </c>
      <c r="T30">
        <v>186154</v>
      </c>
      <c r="U30">
        <v>154587</v>
      </c>
      <c r="V30">
        <v>136138</v>
      </c>
      <c r="W30">
        <v>114094</v>
      </c>
      <c r="X30">
        <v>98118</v>
      </c>
      <c r="Y30">
        <v>77887</v>
      </c>
      <c r="Z30">
        <v>61966</v>
      </c>
      <c r="AA30">
        <v>50169</v>
      </c>
      <c r="AB30">
        <v>36788</v>
      </c>
      <c r="AC30">
        <v>29629</v>
      </c>
      <c r="AD30">
        <v>22587</v>
      </c>
      <c r="AE30">
        <v>18541</v>
      </c>
      <c r="AF30">
        <v>14892</v>
      </c>
      <c r="AG30">
        <v>10278</v>
      </c>
      <c r="AH30">
        <v>7163</v>
      </c>
      <c r="AI30">
        <v>4666</v>
      </c>
      <c r="AJ30">
        <v>1296779</v>
      </c>
      <c r="AK30">
        <v>1260221</v>
      </c>
      <c r="AL30">
        <v>2557000</v>
      </c>
    </row>
    <row r="31" spans="1:38" ht="18">
      <c r="A31" s="4" t="s">
        <v>28</v>
      </c>
      <c r="B31">
        <v>569848</v>
      </c>
      <c r="C31">
        <v>451692</v>
      </c>
      <c r="D31">
        <v>357464</v>
      </c>
      <c r="E31">
        <v>294639</v>
      </c>
      <c r="F31">
        <v>230006</v>
      </c>
      <c r="G31">
        <v>209805</v>
      </c>
      <c r="H31">
        <v>188691</v>
      </c>
      <c r="I31">
        <v>160748</v>
      </c>
      <c r="J31">
        <v>127827</v>
      </c>
      <c r="K31">
        <v>95340</v>
      </c>
      <c r="L31">
        <v>74705</v>
      </c>
      <c r="M31">
        <v>51481</v>
      </c>
      <c r="N31">
        <v>40449</v>
      </c>
      <c r="O31">
        <v>28391</v>
      </c>
      <c r="P31">
        <v>22121</v>
      </c>
      <c r="Q31">
        <v>12766</v>
      </c>
      <c r="R31">
        <v>10235</v>
      </c>
      <c r="S31">
        <v>552571</v>
      </c>
      <c r="T31">
        <v>435222</v>
      </c>
      <c r="U31">
        <v>340390</v>
      </c>
      <c r="V31">
        <v>300216</v>
      </c>
      <c r="W31">
        <v>253403</v>
      </c>
      <c r="X31">
        <v>217287</v>
      </c>
      <c r="Y31">
        <v>173566</v>
      </c>
      <c r="Z31">
        <v>135623</v>
      </c>
      <c r="AA31">
        <v>110145</v>
      </c>
      <c r="AB31">
        <v>77651</v>
      </c>
      <c r="AC31">
        <v>65258</v>
      </c>
      <c r="AD31">
        <v>46960</v>
      </c>
      <c r="AE31">
        <v>39514</v>
      </c>
      <c r="AF31">
        <v>28141</v>
      </c>
      <c r="AG31">
        <v>20722</v>
      </c>
      <c r="AH31">
        <v>12432</v>
      </c>
      <c r="AI31">
        <v>9960</v>
      </c>
      <c r="AJ31">
        <v>2926208</v>
      </c>
      <c r="AK31">
        <v>2819061</v>
      </c>
      <c r="AL31">
        <v>5745269</v>
      </c>
    </row>
    <row r="32" spans="1:38" ht="18">
      <c r="A32" s="4" t="s">
        <v>29</v>
      </c>
      <c r="B32">
        <v>403228</v>
      </c>
      <c r="C32">
        <v>359666</v>
      </c>
      <c r="D32">
        <v>335879</v>
      </c>
      <c r="E32">
        <v>300405</v>
      </c>
      <c r="F32">
        <v>285927</v>
      </c>
      <c r="G32">
        <v>248353</v>
      </c>
      <c r="H32">
        <v>210296</v>
      </c>
      <c r="I32">
        <v>195624</v>
      </c>
      <c r="J32">
        <v>150417</v>
      </c>
      <c r="K32">
        <v>128174</v>
      </c>
      <c r="L32">
        <v>84739</v>
      </c>
      <c r="M32">
        <v>78853</v>
      </c>
      <c r="N32">
        <v>45323</v>
      </c>
      <c r="O32">
        <v>43439</v>
      </c>
      <c r="P32">
        <v>23049</v>
      </c>
      <c r="Q32">
        <v>16545</v>
      </c>
      <c r="R32">
        <v>7661</v>
      </c>
      <c r="S32">
        <v>402034</v>
      </c>
      <c r="T32">
        <v>357660</v>
      </c>
      <c r="U32">
        <v>345551</v>
      </c>
      <c r="V32">
        <v>287097</v>
      </c>
      <c r="W32">
        <v>258573</v>
      </c>
      <c r="X32">
        <v>232009</v>
      </c>
      <c r="Y32">
        <v>201769</v>
      </c>
      <c r="Z32">
        <v>189160</v>
      </c>
      <c r="AA32">
        <v>146492</v>
      </c>
      <c r="AB32">
        <v>123836</v>
      </c>
      <c r="AC32">
        <v>91759</v>
      </c>
      <c r="AD32">
        <v>90501</v>
      </c>
      <c r="AE32">
        <v>62792</v>
      </c>
      <c r="AF32">
        <v>63495</v>
      </c>
      <c r="AG32">
        <v>38503</v>
      </c>
      <c r="AH32">
        <v>28704</v>
      </c>
      <c r="AI32">
        <v>16542</v>
      </c>
      <c r="AJ32">
        <v>2917578</v>
      </c>
      <c r="AK32">
        <v>2936477</v>
      </c>
      <c r="AL32">
        <v>5854055</v>
      </c>
    </row>
    <row r="33" spans="1:79" ht="18">
      <c r="A33" s="4" t="s">
        <v>30</v>
      </c>
      <c r="B33">
        <v>291722</v>
      </c>
      <c r="C33">
        <v>302779</v>
      </c>
      <c r="D33">
        <v>308683</v>
      </c>
      <c r="E33">
        <v>286443</v>
      </c>
      <c r="F33">
        <v>235225</v>
      </c>
      <c r="G33">
        <v>179772</v>
      </c>
      <c r="H33">
        <v>146198</v>
      </c>
      <c r="I33">
        <v>130116</v>
      </c>
      <c r="J33">
        <v>114052</v>
      </c>
      <c r="K33">
        <v>97464</v>
      </c>
      <c r="L33">
        <v>75802</v>
      </c>
      <c r="M33">
        <v>57895</v>
      </c>
      <c r="N33">
        <v>45355</v>
      </c>
      <c r="O33">
        <v>36672</v>
      </c>
      <c r="P33">
        <v>23448</v>
      </c>
      <c r="Q33">
        <v>13998</v>
      </c>
      <c r="R33">
        <v>7760</v>
      </c>
      <c r="S33">
        <v>281672</v>
      </c>
      <c r="T33">
        <v>288410</v>
      </c>
      <c r="U33">
        <v>297653</v>
      </c>
      <c r="V33">
        <v>259536</v>
      </c>
      <c r="W33">
        <v>199677</v>
      </c>
      <c r="X33">
        <v>172354</v>
      </c>
      <c r="Y33">
        <v>152652</v>
      </c>
      <c r="Z33">
        <v>146002</v>
      </c>
      <c r="AA33">
        <v>118363</v>
      </c>
      <c r="AB33">
        <v>105421</v>
      </c>
      <c r="AC33">
        <v>79073</v>
      </c>
      <c r="AD33">
        <v>70074</v>
      </c>
      <c r="AE33">
        <v>54143</v>
      </c>
      <c r="AF33">
        <v>41946</v>
      </c>
      <c r="AG33">
        <v>25423</v>
      </c>
      <c r="AH33">
        <v>15966</v>
      </c>
      <c r="AI33">
        <v>11660</v>
      </c>
      <c r="AJ33">
        <v>2353384</v>
      </c>
      <c r="AK33">
        <v>2320025</v>
      </c>
      <c r="AL33">
        <v>4673409</v>
      </c>
    </row>
    <row r="34" spans="1:79" ht="18">
      <c r="A34" s="4" t="s">
        <v>31</v>
      </c>
      <c r="B34">
        <v>284829</v>
      </c>
      <c r="C34">
        <v>305718</v>
      </c>
      <c r="D34">
        <v>317281</v>
      </c>
      <c r="E34">
        <v>303336</v>
      </c>
      <c r="F34">
        <v>257958</v>
      </c>
      <c r="G34">
        <v>190982</v>
      </c>
      <c r="H34">
        <v>146328</v>
      </c>
      <c r="I34">
        <v>129984</v>
      </c>
      <c r="J34">
        <v>120048</v>
      </c>
      <c r="K34">
        <v>103685</v>
      </c>
      <c r="L34">
        <v>82885</v>
      </c>
      <c r="M34">
        <v>63976</v>
      </c>
      <c r="N34">
        <v>48924</v>
      </c>
      <c r="O34">
        <v>39919</v>
      </c>
      <c r="P34">
        <v>23821</v>
      </c>
      <c r="Q34">
        <v>15119</v>
      </c>
      <c r="R34">
        <v>8476</v>
      </c>
      <c r="S34">
        <v>269645</v>
      </c>
      <c r="T34">
        <v>287556</v>
      </c>
      <c r="U34">
        <v>304310</v>
      </c>
      <c r="V34">
        <v>274168</v>
      </c>
      <c r="W34">
        <v>212150</v>
      </c>
      <c r="X34">
        <v>178089</v>
      </c>
      <c r="Y34">
        <v>151732</v>
      </c>
      <c r="Z34">
        <v>151780</v>
      </c>
      <c r="AA34">
        <v>123117</v>
      </c>
      <c r="AB34">
        <v>113642</v>
      </c>
      <c r="AC34">
        <v>81809</v>
      </c>
      <c r="AD34">
        <v>81403</v>
      </c>
      <c r="AE34">
        <v>54396</v>
      </c>
      <c r="AF34">
        <v>47089</v>
      </c>
      <c r="AG34">
        <v>27146</v>
      </c>
      <c r="AH34">
        <v>17095</v>
      </c>
      <c r="AI34">
        <v>10344</v>
      </c>
      <c r="AJ34">
        <v>2443269</v>
      </c>
      <c r="AK34">
        <v>2385471</v>
      </c>
      <c r="AL34">
        <v>4828740</v>
      </c>
    </row>
    <row r="35" spans="1:79" ht="18">
      <c r="A35" s="4" t="s">
        <v>32</v>
      </c>
      <c r="B35">
        <v>534705</v>
      </c>
      <c r="C35">
        <v>545277</v>
      </c>
      <c r="D35">
        <v>543253</v>
      </c>
      <c r="E35">
        <v>490036</v>
      </c>
      <c r="F35">
        <v>415062</v>
      </c>
      <c r="G35">
        <v>330275</v>
      </c>
      <c r="H35">
        <v>273646</v>
      </c>
      <c r="I35">
        <v>246628</v>
      </c>
      <c r="J35">
        <v>213766</v>
      </c>
      <c r="K35">
        <v>181584</v>
      </c>
      <c r="L35">
        <v>137562</v>
      </c>
      <c r="M35">
        <v>112465</v>
      </c>
      <c r="N35">
        <v>80129</v>
      </c>
      <c r="O35">
        <v>69038</v>
      </c>
      <c r="P35">
        <v>39256</v>
      </c>
      <c r="Q35">
        <v>25386</v>
      </c>
      <c r="R35">
        <v>13917</v>
      </c>
      <c r="S35">
        <v>514856</v>
      </c>
      <c r="T35">
        <v>525498</v>
      </c>
      <c r="U35">
        <v>530774</v>
      </c>
      <c r="V35">
        <v>450923</v>
      </c>
      <c r="W35">
        <v>361253</v>
      </c>
      <c r="X35">
        <v>320194</v>
      </c>
      <c r="Y35">
        <v>282161</v>
      </c>
      <c r="Z35">
        <v>269044</v>
      </c>
      <c r="AA35">
        <v>214091</v>
      </c>
      <c r="AB35">
        <v>193454</v>
      </c>
      <c r="AC35">
        <v>140699</v>
      </c>
      <c r="AD35">
        <v>138481</v>
      </c>
      <c r="AE35">
        <v>92220</v>
      </c>
      <c r="AF35">
        <v>84685</v>
      </c>
      <c r="AG35">
        <v>47448</v>
      </c>
      <c r="AH35">
        <v>33108</v>
      </c>
      <c r="AI35">
        <v>19712</v>
      </c>
      <c r="AJ35">
        <v>4251985</v>
      </c>
      <c r="AK35">
        <v>4218601</v>
      </c>
      <c r="AL35">
        <v>8470586</v>
      </c>
    </row>
    <row r="36" spans="1:79" ht="18">
      <c r="A36" s="4" t="s">
        <v>33</v>
      </c>
      <c r="B36">
        <v>367791</v>
      </c>
      <c r="C36">
        <v>315217</v>
      </c>
      <c r="D36">
        <v>275211</v>
      </c>
      <c r="E36">
        <v>242035</v>
      </c>
      <c r="F36">
        <v>188817</v>
      </c>
      <c r="G36">
        <v>165794</v>
      </c>
      <c r="H36">
        <v>139986</v>
      </c>
      <c r="I36">
        <v>123109</v>
      </c>
      <c r="J36">
        <v>91527</v>
      </c>
      <c r="K36">
        <v>75248</v>
      </c>
      <c r="L36">
        <v>50715</v>
      </c>
      <c r="M36">
        <v>46064</v>
      </c>
      <c r="N36">
        <v>27739</v>
      </c>
      <c r="O36">
        <v>27067</v>
      </c>
      <c r="P36">
        <v>16983</v>
      </c>
      <c r="Q36">
        <v>13497</v>
      </c>
      <c r="R36">
        <v>7696</v>
      </c>
      <c r="S36">
        <v>363253</v>
      </c>
      <c r="T36">
        <v>318348</v>
      </c>
      <c r="U36">
        <v>280912</v>
      </c>
      <c r="V36">
        <v>242134</v>
      </c>
      <c r="W36">
        <v>193128</v>
      </c>
      <c r="X36">
        <v>160033</v>
      </c>
      <c r="Y36">
        <v>130028</v>
      </c>
      <c r="Z36">
        <v>108009</v>
      </c>
      <c r="AA36">
        <v>88258</v>
      </c>
      <c r="AB36">
        <v>69751</v>
      </c>
      <c r="AC36">
        <v>55811</v>
      </c>
      <c r="AD36">
        <v>47690</v>
      </c>
      <c r="AE36">
        <v>36727</v>
      </c>
      <c r="AF36">
        <v>31858</v>
      </c>
      <c r="AG36">
        <v>24243</v>
      </c>
      <c r="AH36">
        <v>15485</v>
      </c>
      <c r="AI36">
        <v>10468</v>
      </c>
      <c r="AJ36">
        <v>2174496</v>
      </c>
      <c r="AK36">
        <v>2176136</v>
      </c>
      <c r="AL36">
        <v>4350632</v>
      </c>
    </row>
    <row r="37" spans="1:79" ht="18">
      <c r="A37" s="4" t="s">
        <v>34</v>
      </c>
      <c r="B37">
        <v>467145</v>
      </c>
      <c r="C37">
        <v>483709</v>
      </c>
      <c r="D37">
        <v>501004</v>
      </c>
      <c r="E37">
        <v>488748</v>
      </c>
      <c r="F37">
        <v>421265</v>
      </c>
      <c r="G37">
        <v>333130</v>
      </c>
      <c r="H37">
        <v>277872</v>
      </c>
      <c r="I37">
        <v>239886</v>
      </c>
      <c r="J37">
        <v>210642</v>
      </c>
      <c r="K37">
        <v>177900</v>
      </c>
      <c r="L37">
        <v>134391</v>
      </c>
      <c r="M37">
        <v>103129</v>
      </c>
      <c r="N37">
        <v>78763</v>
      </c>
      <c r="O37">
        <v>55917</v>
      </c>
      <c r="P37">
        <v>35126</v>
      </c>
      <c r="Q37">
        <v>21231</v>
      </c>
      <c r="R37">
        <v>12583</v>
      </c>
      <c r="S37">
        <v>439406</v>
      </c>
      <c r="T37">
        <v>454462</v>
      </c>
      <c r="U37">
        <v>482578</v>
      </c>
      <c r="V37">
        <v>452184</v>
      </c>
      <c r="W37">
        <v>358916</v>
      </c>
      <c r="X37">
        <v>303559</v>
      </c>
      <c r="Y37">
        <v>263254</v>
      </c>
      <c r="Z37">
        <v>246304</v>
      </c>
      <c r="AA37">
        <v>193008</v>
      </c>
      <c r="AB37">
        <v>170276</v>
      </c>
      <c r="AC37">
        <v>120712</v>
      </c>
      <c r="AD37">
        <v>106839</v>
      </c>
      <c r="AE37">
        <v>74634</v>
      </c>
      <c r="AF37">
        <v>62473</v>
      </c>
      <c r="AG37">
        <v>32025</v>
      </c>
      <c r="AH37">
        <v>23700</v>
      </c>
      <c r="AI37">
        <v>13992</v>
      </c>
      <c r="AJ37">
        <v>4042441</v>
      </c>
      <c r="AK37">
        <v>3798322</v>
      </c>
      <c r="AL37">
        <v>7840763</v>
      </c>
    </row>
    <row r="38" spans="1:79" ht="18">
      <c r="A38" s="4" t="s">
        <v>35</v>
      </c>
      <c r="B38">
        <v>517159</v>
      </c>
      <c r="C38">
        <v>412046</v>
      </c>
      <c r="D38">
        <v>311710</v>
      </c>
      <c r="E38">
        <v>252713</v>
      </c>
      <c r="F38">
        <v>179138</v>
      </c>
      <c r="G38">
        <v>159134</v>
      </c>
      <c r="H38">
        <v>151382</v>
      </c>
      <c r="I38">
        <v>128597</v>
      </c>
      <c r="J38">
        <v>113439</v>
      </c>
      <c r="K38">
        <v>75748</v>
      </c>
      <c r="L38">
        <v>73474</v>
      </c>
      <c r="M38">
        <v>52492</v>
      </c>
      <c r="N38">
        <v>46283</v>
      </c>
      <c r="O38">
        <v>25987</v>
      </c>
      <c r="P38">
        <v>23587</v>
      </c>
      <c r="Q38">
        <v>10916</v>
      </c>
      <c r="R38">
        <v>8035</v>
      </c>
      <c r="S38">
        <v>483508</v>
      </c>
      <c r="T38">
        <v>391615</v>
      </c>
      <c r="U38">
        <v>281259</v>
      </c>
      <c r="V38">
        <v>247273</v>
      </c>
      <c r="W38">
        <v>213704</v>
      </c>
      <c r="X38">
        <v>186430</v>
      </c>
      <c r="Y38">
        <v>161164</v>
      </c>
      <c r="Z38">
        <v>116877</v>
      </c>
      <c r="AA38">
        <v>111301</v>
      </c>
      <c r="AB38">
        <v>62539</v>
      </c>
      <c r="AC38">
        <v>72687</v>
      </c>
      <c r="AD38">
        <v>40278</v>
      </c>
      <c r="AE38">
        <v>46792</v>
      </c>
      <c r="AF38">
        <v>22283</v>
      </c>
      <c r="AG38">
        <v>27004</v>
      </c>
      <c r="AH38">
        <v>10335</v>
      </c>
      <c r="AI38">
        <v>10241</v>
      </c>
      <c r="AJ38">
        <v>2541840</v>
      </c>
      <c r="AK38">
        <v>2485290</v>
      </c>
      <c r="AL38">
        <v>5027130</v>
      </c>
    </row>
    <row r="39" spans="1:79" ht="18">
      <c r="A39" s="4" t="s">
        <v>36</v>
      </c>
      <c r="B39">
        <v>286819</v>
      </c>
      <c r="C39">
        <v>235530</v>
      </c>
      <c r="D39">
        <v>193204</v>
      </c>
      <c r="E39">
        <v>164686</v>
      </c>
      <c r="F39">
        <v>125104</v>
      </c>
      <c r="G39">
        <v>111914</v>
      </c>
      <c r="H39">
        <v>101059</v>
      </c>
      <c r="I39">
        <v>87732</v>
      </c>
      <c r="J39">
        <v>70354</v>
      </c>
      <c r="K39">
        <v>53386</v>
      </c>
      <c r="L39">
        <v>39936</v>
      </c>
      <c r="M39">
        <v>29259</v>
      </c>
      <c r="N39">
        <v>22694</v>
      </c>
      <c r="O39">
        <v>16146</v>
      </c>
      <c r="P39">
        <v>12218</v>
      </c>
      <c r="Q39">
        <v>8038</v>
      </c>
      <c r="R39">
        <v>4934</v>
      </c>
      <c r="S39">
        <v>270297</v>
      </c>
      <c r="T39">
        <v>223588</v>
      </c>
      <c r="U39">
        <v>183550</v>
      </c>
      <c r="V39">
        <v>160731</v>
      </c>
      <c r="W39">
        <v>132772</v>
      </c>
      <c r="X39">
        <v>113259</v>
      </c>
      <c r="Y39">
        <v>94485</v>
      </c>
      <c r="Z39">
        <v>74090</v>
      </c>
      <c r="AA39">
        <v>61841</v>
      </c>
      <c r="AB39">
        <v>43006</v>
      </c>
      <c r="AC39">
        <v>35351</v>
      </c>
      <c r="AD39">
        <v>26151</v>
      </c>
      <c r="AE39">
        <v>23108</v>
      </c>
      <c r="AF39">
        <v>16030</v>
      </c>
      <c r="AG39">
        <v>12739</v>
      </c>
      <c r="AH39">
        <v>7245</v>
      </c>
      <c r="AI39">
        <v>5247</v>
      </c>
      <c r="AJ39">
        <v>1563013</v>
      </c>
      <c r="AK39">
        <v>1483490</v>
      </c>
      <c r="AL39">
        <v>3046503</v>
      </c>
    </row>
    <row r="40" spans="1:79" ht="18">
      <c r="A40" s="4" t="s">
        <v>37</v>
      </c>
      <c r="B40">
        <v>352339</v>
      </c>
      <c r="C40">
        <v>297650</v>
      </c>
      <c r="D40">
        <v>235695</v>
      </c>
      <c r="E40">
        <v>196869</v>
      </c>
      <c r="F40">
        <v>145758</v>
      </c>
      <c r="G40">
        <v>127356</v>
      </c>
      <c r="H40">
        <v>123249</v>
      </c>
      <c r="I40">
        <v>93248</v>
      </c>
      <c r="J40">
        <v>87761</v>
      </c>
      <c r="K40">
        <v>53935</v>
      </c>
      <c r="L40">
        <v>55692</v>
      </c>
      <c r="M40">
        <v>30252</v>
      </c>
      <c r="N40">
        <v>34316</v>
      </c>
      <c r="O40">
        <v>15673</v>
      </c>
      <c r="P40">
        <v>19147</v>
      </c>
      <c r="Q40">
        <v>7372</v>
      </c>
      <c r="R40">
        <v>6098</v>
      </c>
      <c r="S40">
        <v>323610</v>
      </c>
      <c r="T40">
        <v>275237</v>
      </c>
      <c r="U40">
        <v>213349</v>
      </c>
      <c r="V40">
        <v>190216</v>
      </c>
      <c r="W40">
        <v>158723</v>
      </c>
      <c r="X40">
        <v>126035</v>
      </c>
      <c r="Y40">
        <v>110055</v>
      </c>
      <c r="Z40">
        <v>75039</v>
      </c>
      <c r="AA40">
        <v>74714</v>
      </c>
      <c r="AB40">
        <v>42238</v>
      </c>
      <c r="AC40">
        <v>47555</v>
      </c>
      <c r="AD40">
        <v>24233</v>
      </c>
      <c r="AE40">
        <v>30059</v>
      </c>
      <c r="AF40">
        <v>14059</v>
      </c>
      <c r="AG40">
        <v>18274</v>
      </c>
      <c r="AH40">
        <v>6708</v>
      </c>
      <c r="AI40">
        <v>6628</v>
      </c>
      <c r="AJ40">
        <v>1882410</v>
      </c>
      <c r="AK40">
        <v>1736732</v>
      </c>
      <c r="AL40">
        <v>3619142</v>
      </c>
    </row>
    <row r="41" spans="1:79" ht="18">
      <c r="A41" s="4" t="s">
        <v>38</v>
      </c>
      <c r="B41">
        <v>469509</v>
      </c>
      <c r="C41">
        <v>380392</v>
      </c>
      <c r="D41">
        <v>281118</v>
      </c>
      <c r="E41">
        <v>224523</v>
      </c>
      <c r="F41">
        <v>157264</v>
      </c>
      <c r="G41">
        <v>149130</v>
      </c>
      <c r="H41">
        <v>145163</v>
      </c>
      <c r="I41">
        <v>116093</v>
      </c>
      <c r="J41">
        <v>101706</v>
      </c>
      <c r="K41">
        <v>64971</v>
      </c>
      <c r="L41">
        <v>65457</v>
      </c>
      <c r="M41">
        <v>42389</v>
      </c>
      <c r="N41">
        <v>40549</v>
      </c>
      <c r="O41">
        <v>20664</v>
      </c>
      <c r="P41">
        <v>21450</v>
      </c>
      <c r="Q41">
        <v>9611</v>
      </c>
      <c r="R41">
        <v>7982</v>
      </c>
      <c r="S41">
        <v>442716</v>
      </c>
      <c r="T41">
        <v>370720</v>
      </c>
      <c r="U41">
        <v>258823</v>
      </c>
      <c r="V41">
        <v>234701</v>
      </c>
      <c r="W41">
        <v>204667</v>
      </c>
      <c r="X41">
        <v>172057</v>
      </c>
      <c r="Y41">
        <v>144205</v>
      </c>
      <c r="Z41">
        <v>101236</v>
      </c>
      <c r="AA41">
        <v>95888</v>
      </c>
      <c r="AB41">
        <v>53546</v>
      </c>
      <c r="AC41">
        <v>61939</v>
      </c>
      <c r="AD41">
        <v>32185</v>
      </c>
      <c r="AE41">
        <v>38574</v>
      </c>
      <c r="AF41">
        <v>17809</v>
      </c>
      <c r="AG41">
        <v>23063</v>
      </c>
      <c r="AH41">
        <v>9108</v>
      </c>
      <c r="AI41">
        <v>9111</v>
      </c>
      <c r="AJ41">
        <v>2297971</v>
      </c>
      <c r="AK41">
        <v>2270348</v>
      </c>
      <c r="AL41">
        <v>4568319</v>
      </c>
    </row>
    <row r="42" spans="1:79" ht="18">
      <c r="A42" s="4" t="s">
        <v>44</v>
      </c>
      <c r="B42">
        <v>17837020</v>
      </c>
      <c r="C42">
        <v>15502069</v>
      </c>
      <c r="D42">
        <v>13836239</v>
      </c>
      <c r="E42">
        <v>12293689</v>
      </c>
      <c r="F42">
        <v>10051901</v>
      </c>
      <c r="G42">
        <v>8480707</v>
      </c>
      <c r="H42">
        <v>7284102</v>
      </c>
      <c r="I42">
        <v>6240459</v>
      </c>
      <c r="J42">
        <v>5228754</v>
      </c>
      <c r="K42">
        <v>4105952</v>
      </c>
      <c r="L42">
        <v>3233093</v>
      </c>
      <c r="M42">
        <v>2454746</v>
      </c>
      <c r="N42">
        <v>1850354</v>
      </c>
      <c r="O42">
        <v>1335394</v>
      </c>
      <c r="P42">
        <v>965196</v>
      </c>
      <c r="Q42">
        <v>561382</v>
      </c>
      <c r="R42">
        <v>362424</v>
      </c>
      <c r="S42">
        <v>16969659</v>
      </c>
      <c r="T42">
        <v>14751712</v>
      </c>
      <c r="U42">
        <v>13072833</v>
      </c>
      <c r="V42">
        <v>11639983</v>
      </c>
      <c r="W42">
        <v>9674868</v>
      </c>
      <c r="X42">
        <v>8167582</v>
      </c>
      <c r="Y42">
        <v>6947084</v>
      </c>
      <c r="Z42">
        <v>5874695</v>
      </c>
      <c r="AA42">
        <v>4905215</v>
      </c>
      <c r="AB42">
        <v>3783584</v>
      </c>
      <c r="AC42">
        <v>3074491</v>
      </c>
      <c r="AD42">
        <v>2457793</v>
      </c>
      <c r="AE42">
        <v>1951626</v>
      </c>
      <c r="AF42">
        <v>1467403</v>
      </c>
      <c r="AG42">
        <v>1076136</v>
      </c>
      <c r="AH42">
        <v>635625</v>
      </c>
      <c r="AI42">
        <v>447580</v>
      </c>
      <c r="AJ42">
        <v>111623481</v>
      </c>
      <c r="AK42">
        <v>106897869</v>
      </c>
      <c r="AL42">
        <v>218521350</v>
      </c>
    </row>
    <row r="44" spans="1:79" ht="72">
      <c r="A44" s="3" t="s">
        <v>81</v>
      </c>
      <c r="B44" s="3" t="s">
        <v>82</v>
      </c>
      <c r="C44" s="3" t="s">
        <v>83</v>
      </c>
      <c r="D44" s="3" t="s">
        <v>100</v>
      </c>
      <c r="E44" s="3" t="s">
        <v>101</v>
      </c>
      <c r="F44" s="3" t="s">
        <v>102</v>
      </c>
      <c r="G44" s="3" t="s">
        <v>103</v>
      </c>
      <c r="H44" s="3" t="s">
        <v>104</v>
      </c>
      <c r="I44" s="3" t="s">
        <v>105</v>
      </c>
      <c r="J44" s="3" t="s">
        <v>106</v>
      </c>
      <c r="K44" s="3" t="s">
        <v>107</v>
      </c>
      <c r="L44" s="3" t="s">
        <v>108</v>
      </c>
      <c r="M44" s="3" t="s">
        <v>109</v>
      </c>
      <c r="N44" s="3" t="s">
        <v>110</v>
      </c>
      <c r="O44" s="3" t="s">
        <v>111</v>
      </c>
      <c r="P44" s="3" t="s">
        <v>112</v>
      </c>
      <c r="Q44" s="3" t="s">
        <v>113</v>
      </c>
      <c r="R44" s="3" t="s">
        <v>114</v>
      </c>
      <c r="S44" s="3" t="s">
        <v>115</v>
      </c>
      <c r="T44" s="3" t="s">
        <v>116</v>
      </c>
      <c r="U44" s="3" t="s">
        <v>117</v>
      </c>
      <c r="V44" s="3" t="s">
        <v>118</v>
      </c>
      <c r="W44" s="3" t="s">
        <v>119</v>
      </c>
      <c r="X44" s="3" t="s">
        <v>120</v>
      </c>
      <c r="Y44" s="3" t="s">
        <v>121</v>
      </c>
      <c r="Z44" s="3" t="s">
        <v>122</v>
      </c>
      <c r="AA44" s="3" t="s">
        <v>123</v>
      </c>
      <c r="AB44" s="3" t="s">
        <v>124</v>
      </c>
      <c r="AC44" s="3" t="s">
        <v>125</v>
      </c>
      <c r="AD44" s="3" t="s">
        <v>126</v>
      </c>
      <c r="AE44" s="3" t="s">
        <v>127</v>
      </c>
      <c r="AF44" s="3" t="s">
        <v>128</v>
      </c>
      <c r="AG44" s="3" t="s">
        <v>129</v>
      </c>
      <c r="AH44" s="3" t="s">
        <v>130</v>
      </c>
      <c r="AI44" s="3" t="s">
        <v>131</v>
      </c>
      <c r="AJ44" s="3" t="s">
        <v>132</v>
      </c>
      <c r="AK44" s="3" t="s">
        <v>133</v>
      </c>
      <c r="AL44" s="3" t="s">
        <v>134</v>
      </c>
      <c r="AM44" s="3" t="s">
        <v>135</v>
      </c>
      <c r="AN44" s="3" t="s">
        <v>136</v>
      </c>
      <c r="AO44" s="3" t="s">
        <v>137</v>
      </c>
      <c r="AP44" s="3" t="s">
        <v>138</v>
      </c>
      <c r="AQ44" s="3" t="s">
        <v>139</v>
      </c>
      <c r="AR44" s="3" t="s">
        <v>140</v>
      </c>
      <c r="AS44" s="3" t="s">
        <v>141</v>
      </c>
      <c r="AT44" s="3" t="s">
        <v>142</v>
      </c>
      <c r="AU44" s="3" t="s">
        <v>143</v>
      </c>
      <c r="AV44" s="3" t="s">
        <v>144</v>
      </c>
      <c r="AW44" s="3" t="s">
        <v>145</v>
      </c>
      <c r="AX44" s="3" t="s">
        <v>146</v>
      </c>
      <c r="AY44" s="3" t="s">
        <v>147</v>
      </c>
      <c r="AZ44" s="3" t="s">
        <v>148</v>
      </c>
      <c r="BA44" s="3" t="s">
        <v>149</v>
      </c>
      <c r="BB44" s="3" t="s">
        <v>150</v>
      </c>
      <c r="BC44" s="3" t="s">
        <v>151</v>
      </c>
      <c r="BD44" s="3" t="s">
        <v>152</v>
      </c>
      <c r="BE44" s="3" t="s">
        <v>153</v>
      </c>
      <c r="BF44" s="3" t="s">
        <v>154</v>
      </c>
      <c r="BG44" s="3" t="s">
        <v>155</v>
      </c>
      <c r="BH44" s="3" t="s">
        <v>156</v>
      </c>
      <c r="BI44" s="3" t="s">
        <v>157</v>
      </c>
      <c r="BJ44" s="3" t="s">
        <v>158</v>
      </c>
      <c r="BK44" s="3" t="s">
        <v>159</v>
      </c>
      <c r="BL44" s="3" t="s">
        <v>160</v>
      </c>
      <c r="BM44" s="3" t="s">
        <v>161</v>
      </c>
      <c r="BN44" s="3" t="s">
        <v>162</v>
      </c>
      <c r="BO44" s="3" t="s">
        <v>163</v>
      </c>
      <c r="BP44" s="3" t="s">
        <v>164</v>
      </c>
      <c r="BQ44" s="3" t="s">
        <v>165</v>
      </c>
      <c r="BR44" s="3" t="s">
        <v>166</v>
      </c>
      <c r="BS44" s="3" t="s">
        <v>167</v>
      </c>
      <c r="BT44" s="3" t="s">
        <v>168</v>
      </c>
      <c r="BU44" s="3" t="s">
        <v>169</v>
      </c>
      <c r="BV44" s="3" t="s">
        <v>170</v>
      </c>
      <c r="BW44" s="3" t="s">
        <v>171</v>
      </c>
      <c r="BX44" s="3" t="s">
        <v>172</v>
      </c>
      <c r="BY44" s="3" t="s">
        <v>173</v>
      </c>
      <c r="BZ44" s="3" t="s">
        <v>174</v>
      </c>
      <c r="CA44" s="3" t="s">
        <v>175</v>
      </c>
    </row>
    <row r="45" spans="1:79" ht="18">
      <c r="A45" s="5" t="s">
        <v>84</v>
      </c>
      <c r="B45">
        <v>-17377466</v>
      </c>
      <c r="C45">
        <v>16561329.000000002</v>
      </c>
      <c r="D45">
        <f>INDEX($A$4:$AI$41,1,ROW(A2))*(-1)</f>
        <v>-17837020</v>
      </c>
      <c r="E45">
        <f>INDEX($A$4:$AI$41,1,ROW(A19))</f>
        <v>16969659</v>
      </c>
      <c r="F45">
        <f>INDEX($A$4:$AI$41,2,ROW(A2))*(-1)</f>
        <v>-218758</v>
      </c>
      <c r="G45">
        <f>INDEX($A$4:$AI$41,2,ROW(A19))</f>
        <v>210483</v>
      </c>
      <c r="H45">
        <f>INDEX($A$4:$AI$41,3,ROW(A2))*(-1)</f>
        <v>-391921</v>
      </c>
      <c r="I45">
        <f>INDEX($A$4:$AI$41,3,ROW(A19))</f>
        <v>372760</v>
      </c>
      <c r="J45">
        <f>INDEX($A$4:$AI$41,4,ROW(A2))*(-1)</f>
        <v>-345584</v>
      </c>
      <c r="K45">
        <f>INDEX($A$4:$AI$41,4,ROW(A19))</f>
        <v>326260</v>
      </c>
      <c r="L45">
        <f>INDEX($A$4:$AI$41,5,ROW(A2))*(-1)</f>
        <v>-332996</v>
      </c>
      <c r="M45">
        <f>INDEX($A$4:$AI$41,5,ROW(A19))</f>
        <v>319470</v>
      </c>
      <c r="N45">
        <f>INDEX($A$4:$AI$41,6,ROW(A2))*(-1)</f>
        <v>-679500</v>
      </c>
      <c r="O45">
        <f>INDEX($A$4:$AI$41,6,ROW(A19))</f>
        <v>639299</v>
      </c>
      <c r="P45">
        <f>INDEX($A$4:$AI$41,7,ROW(A2))*(-1)</f>
        <v>-158035</v>
      </c>
      <c r="Q45">
        <f>INDEX($A$4:$AI$41,7,ROW(A19))</f>
        <v>150454</v>
      </c>
      <c r="R45">
        <f>INDEX($A$4:$AI$41,8,ROW(A2))*(-1)</f>
        <v>-539300</v>
      </c>
      <c r="S45">
        <f>INDEX($A$4:$AI$41,8,ROW(A19))</f>
        <v>514586</v>
      </c>
      <c r="T45">
        <f>INDEX($A$4:$AI$41,9,ROW(A2))*(-1)</f>
        <v>-644945</v>
      </c>
      <c r="U45">
        <f>INDEX($A$4:$AI$41,9,ROW(A19))</f>
        <v>596867</v>
      </c>
      <c r="V45">
        <f>INDEX($A$4:$AI$41,10,ROW(A2))*(-1)</f>
        <v>-255470</v>
      </c>
      <c r="W45">
        <f>INDEX($A$4:$AI$41,10,ROW(A19))</f>
        <v>243102</v>
      </c>
      <c r="X45">
        <f>INDEX($A$4:$AI$41,11,ROW(A2))*(-1)</f>
        <v>-367102</v>
      </c>
      <c r="Y45">
        <f>INDEX($A$4:$AI$41,11,ROW(A19))</f>
        <v>352059</v>
      </c>
      <c r="Z45">
        <f>INDEX($A$4:$AI$41,12,ROW(A2))*(-1)</f>
        <v>-213833</v>
      </c>
      <c r="AA45">
        <f>INDEX($A$4:$AI$41,12,ROW(A19))</f>
        <v>207890</v>
      </c>
      <c r="AB45">
        <f>INDEX($A$4:$AI$41,13,ROW(A2))*(-1)</f>
        <v>-276429</v>
      </c>
      <c r="AC45">
        <f>INDEX($A$4:$AI$41,13,ROW(A19))</f>
        <v>261756</v>
      </c>
      <c r="AD45">
        <f>INDEX($A$4:$AI$41,14,ROW(A2))*(-1)</f>
        <v>-199031</v>
      </c>
      <c r="AE45">
        <f>INDEX($A$4:$AI$41,14,ROW(A19))</f>
        <v>188875</v>
      </c>
      <c r="AF45">
        <f>INDEX($A$4:$AI$41,15,ROW(A2))*(-1)</f>
        <v>-253101</v>
      </c>
      <c r="AG45">
        <f>INDEX($A$4:$AI$41,15,ROW(A19))</f>
        <v>250024</v>
      </c>
      <c r="AH45">
        <f>INDEX($A$4:$AI$41,16,ROW(A2))*(-1)</f>
        <v>-366734</v>
      </c>
      <c r="AI45">
        <f>INDEX($A$4:$AI$41,16,ROW(A19))</f>
        <v>368062</v>
      </c>
      <c r="AJ45">
        <f>INDEX($A$4:$AI$41,17,ROW(A2))*(-1)</f>
        <v>-334511</v>
      </c>
      <c r="AK45">
        <f>INDEX($A$4:$AI$41,17,ROW(A19))</f>
        <v>311596</v>
      </c>
      <c r="AL45">
        <f>INDEX($A$4:$AI$41,18,ROW(A2))*(-1)</f>
        <v>-325102</v>
      </c>
      <c r="AM45">
        <f>INDEX($A$4:$AI$41,18,ROW(A19))</f>
        <v>309242</v>
      </c>
      <c r="AN45">
        <f>INDEX($A$4:$AI$41,19,ROW(A2))*(-1)</f>
        <v>-614198</v>
      </c>
      <c r="AO45">
        <f>INDEX($A$4:$AI$41,19,ROW(A19))</f>
        <v>563813</v>
      </c>
      <c r="AP45">
        <f>INDEX($A$4:$AI$41,20,ROW(A2))*(-1)</f>
        <v>-844977</v>
      </c>
      <c r="AQ45">
        <f>INDEX($A$4:$AI$41,20,ROW(A19))</f>
        <v>821129</v>
      </c>
      <c r="AR45">
        <f>INDEX($A$4:$AI$41,21,ROW(A2))*(-1)</f>
        <v>-2685854</v>
      </c>
      <c r="AS45">
        <f>INDEX($A$4:$AI$41,21,ROW(A19))</f>
        <v>2512812</v>
      </c>
      <c r="AT45">
        <f>INDEX($A$4:$AI$41,22,ROW(A2))*(-1)</f>
        <v>-855762</v>
      </c>
      <c r="AU45">
        <f>INDEX($A$4:$AI$41,22,ROW(A19))</f>
        <v>792645</v>
      </c>
      <c r="AV45">
        <f>INDEX($A$4:$AI$41,23,ROW(A2))*(-1)</f>
        <v>-460815</v>
      </c>
      <c r="AW45">
        <f>INDEX($A$4:$AI$41,23,ROW(A19))</f>
        <v>434592</v>
      </c>
      <c r="AX45">
        <f>INDEX($A$4:$AI$41,24,ROW(A2))*(-1)</f>
        <v>-450046</v>
      </c>
      <c r="AY45">
        <f>INDEX($A$4:$AI$41,24,ROW(A19))</f>
        <v>427979</v>
      </c>
      <c r="AZ45">
        <f>INDEX($A$4:$AI$41,25,ROW(A19))*(-1)</f>
        <v>-283824</v>
      </c>
      <c r="BA45">
        <f>INDEX($A$4:$AI$41,25,ROW(A19))</f>
        <v>283824</v>
      </c>
      <c r="BB45">
        <f>INDEX($A$4:$AI$41,26,ROW(A2))*(-1)</f>
        <v>-938127</v>
      </c>
      <c r="BC45">
        <f>INDEX($A$4:$AI$41,26,ROW(A19))</f>
        <v>929948</v>
      </c>
      <c r="BD45">
        <f>INDEX($A$4:$AI$41,27,ROW(A2))*(-1)</f>
        <v>-242841</v>
      </c>
      <c r="BE45">
        <f>INDEX($A$4:$AI$41,27,ROW(A19))</f>
        <v>236564</v>
      </c>
      <c r="BF45">
        <f>INDEX($A$4:$AI$41,28,ROW(A2))*(-1)</f>
        <v>-569848</v>
      </c>
      <c r="BG45">
        <f>INDEX($A$4:$AI$41,28,ROW(A19))</f>
        <v>552571</v>
      </c>
      <c r="BH45">
        <f>INDEX($A$4:$AI$41,29,ROW(A2))*(-1)</f>
        <v>-403228</v>
      </c>
      <c r="BI45">
        <f>INDEX($A$4:$AI$41,29,ROW(A19))</f>
        <v>402034</v>
      </c>
      <c r="BJ45">
        <f>INDEX($A$4:$AI$41,30,ROW(A2))*(-1)</f>
        <v>-291722</v>
      </c>
      <c r="BK45">
        <f>INDEX($A$4:$AI$41,30,ROW(A19))</f>
        <v>281672</v>
      </c>
      <c r="BL45">
        <f>INDEX($A$4:$AI$41,31,ROW(A2))*(-1)</f>
        <v>-284829</v>
      </c>
      <c r="BM45">
        <f>INDEX($A$4:$AI$41,31,ROW(A19))</f>
        <v>269645</v>
      </c>
      <c r="BN45">
        <f>INDEX($A$4:$AI$41,32,ROW(A2))*(-1)</f>
        <v>-534705</v>
      </c>
      <c r="BO45">
        <f>INDEX($A$4:$AI$41,32,ROW(A19))</f>
        <v>514856</v>
      </c>
      <c r="BP45">
        <f>INDEX($A$4:$AI$41,33,ROW(A2))*(-1)</f>
        <v>-367791</v>
      </c>
      <c r="BQ45">
        <f>INDEX($A$4:$AI$41,33,ROW(A19))</f>
        <v>363253</v>
      </c>
      <c r="BR45">
        <f>INDEX($A$4:$AI$41,34,ROW(A2))*(-1)</f>
        <v>-467145</v>
      </c>
      <c r="BS45">
        <f>INDEX($A$4:$AI$41,34,ROW(A19))</f>
        <v>439406</v>
      </c>
      <c r="BT45">
        <f>INDEX($A$4:$AI$41,35,ROW(A2))*(-1)</f>
        <v>-517159</v>
      </c>
      <c r="BU45">
        <f>INDEX($A$4:$AI$41,35,ROW(A19))</f>
        <v>483508</v>
      </c>
      <c r="BV45">
        <f>INDEX($A$4:$AI$41,36,ROW(A2))*(-1)</f>
        <v>-286819</v>
      </c>
      <c r="BW45">
        <f>INDEX($A$4:$AI$41,36,ROW(A19))</f>
        <v>270297</v>
      </c>
      <c r="BX45">
        <f>INDEX($A$4:$AI$41,37,ROW(A2))*(-1)</f>
        <v>-352339</v>
      </c>
      <c r="BY45">
        <f>INDEX($A$4:$AI$41,37,ROW(A19))</f>
        <v>323610</v>
      </c>
      <c r="BZ45">
        <f>INDEX($A$4:$AI$41,38,ROW(A2))*(-1)</f>
        <v>-469509</v>
      </c>
      <c r="CA45">
        <f>INDEX($A$4:$AI$41,38,ROW(A19))</f>
        <v>442716</v>
      </c>
    </row>
    <row r="46" spans="1:79" ht="18">
      <c r="A46" s="5" t="s">
        <v>85</v>
      </c>
      <c r="B46">
        <v>-15287661</v>
      </c>
      <c r="C46">
        <v>14625985</v>
      </c>
      <c r="D46">
        <f t="shared" ref="D46:D61" si="0">INDEX($A$4:$AI$41,1,ROW(A3))*(-1)</f>
        <v>-15502069</v>
      </c>
      <c r="E46">
        <f t="shared" ref="E46:E61" si="1">INDEX($A$4:$AI$41,1,ROW(A20))</f>
        <v>14751712</v>
      </c>
      <c r="F46">
        <f t="shared" ref="F46:F61" si="2">INDEX($A$4:$AI$41,2,ROW(A3))*(-1)</f>
        <v>-224631</v>
      </c>
      <c r="G46">
        <f t="shared" ref="G46:G61" si="3">INDEX($A$4:$AI$41,2,ROW(A20))</f>
        <v>215867</v>
      </c>
      <c r="H46">
        <f t="shared" ref="H46:H61" si="4">INDEX($A$4:$AI$41,3,ROW(A3))*(-1)</f>
        <v>-331150</v>
      </c>
      <c r="I46">
        <f t="shared" ref="I46:I61" si="5">INDEX($A$4:$AI$41,3,ROW(A20))</f>
        <v>320576</v>
      </c>
      <c r="J46">
        <f t="shared" ref="J46:J61" si="6">INDEX($A$4:$AI$41,4,ROW(A3))*(-1)</f>
        <v>-364957</v>
      </c>
      <c r="K46">
        <f t="shared" ref="K46:K61" si="7">INDEX($A$4:$AI$41,4,ROW(A20))</f>
        <v>342223</v>
      </c>
      <c r="L46">
        <f t="shared" ref="L46:L61" si="8">INDEX($A$4:$AI$41,5,ROW(A3))*(-1)</f>
        <v>-352714</v>
      </c>
      <c r="M46">
        <f t="shared" ref="M46:M61" si="9">INDEX($A$4:$AI$41,5,ROW(A20))</f>
        <v>334304</v>
      </c>
      <c r="N46">
        <f t="shared" ref="N46:N61" si="10">INDEX($A$4:$AI$41,6,ROW(A3))*(-1)</f>
        <v>-545659</v>
      </c>
      <c r="O46">
        <f t="shared" ref="O46:O61" si="11">INDEX($A$4:$AI$41,6,ROW(A20))</f>
        <v>509011</v>
      </c>
      <c r="P46">
        <f t="shared" ref="P46:P61" si="12">INDEX($A$4:$AI$41,7,ROW(A3))*(-1)</f>
        <v>-169405</v>
      </c>
      <c r="Q46">
        <f t="shared" ref="Q46:Q61" si="13">INDEX($A$4:$AI$41,7,ROW(A20))</f>
        <v>157800</v>
      </c>
      <c r="R46">
        <f t="shared" ref="R46:R61" si="14">INDEX($A$4:$AI$41,8,ROW(A3))*(-1)</f>
        <v>-445972</v>
      </c>
      <c r="S46">
        <f t="shared" ref="S46:S61" si="15">INDEX($A$4:$AI$41,8,ROW(A20))</f>
        <v>431588</v>
      </c>
      <c r="T46">
        <f t="shared" ref="T46:T61" si="16">INDEX($A$4:$AI$41,9,ROW(A3))*(-1)</f>
        <v>-544939</v>
      </c>
      <c r="U46">
        <f t="shared" ref="U46:U61" si="17">INDEX($A$4:$AI$41,9,ROW(A20))</f>
        <v>492977</v>
      </c>
      <c r="V46">
        <f t="shared" ref="V46:V61" si="18">INDEX($A$4:$AI$41,10,ROW(A3))*(-1)</f>
        <v>-263801</v>
      </c>
      <c r="W46">
        <f t="shared" ref="W46:W61" si="19">INDEX($A$4:$AI$41,10,ROW(A20))</f>
        <v>247026</v>
      </c>
      <c r="X46">
        <f t="shared" ref="X46:X61" si="20">INDEX($A$4:$AI$41,11,ROW(A3))*(-1)</f>
        <v>-363425</v>
      </c>
      <c r="Y46">
        <f t="shared" ref="Y46:Y61" si="21">INDEX($A$4:$AI$41,11,ROW(A20))</f>
        <v>347139</v>
      </c>
      <c r="Z46">
        <f t="shared" ref="Z46:Z61" si="22">INDEX($A$4:$AI$41,12,ROW(A3))*(-1)</f>
        <v>-203754</v>
      </c>
      <c r="AA46">
        <f t="shared" ref="AA46:AA61" si="23">INDEX($A$4:$AI$41,12,ROW(A20))</f>
        <v>199710</v>
      </c>
      <c r="AB46">
        <f t="shared" ref="AB46:AB61" si="24">INDEX($A$4:$AI$41,13,ROW(A3))*(-1)</f>
        <v>-267891</v>
      </c>
      <c r="AC46">
        <f t="shared" ref="AC46:AC61" si="25">INDEX($A$4:$AI$41,13,ROW(A20))</f>
        <v>255925</v>
      </c>
      <c r="AD46">
        <f t="shared" ref="AD46:AD61" si="26">INDEX($A$4:$AI$41,14,ROW(A3))*(-1)</f>
        <v>-218957</v>
      </c>
      <c r="AE46">
        <f t="shared" ref="AE46:AE61" si="27">INDEX($A$4:$AI$41,14,ROW(A20))</f>
        <v>207004</v>
      </c>
      <c r="AF46">
        <f t="shared" ref="AF46:AF61" si="28">INDEX($A$4:$AI$41,15,ROW(A3))*(-1)</f>
        <v>-254655</v>
      </c>
      <c r="AG46">
        <f t="shared" ref="AG46:AG61" si="29">INDEX($A$4:$AI$41,15,ROW(A20))</f>
        <v>247712</v>
      </c>
      <c r="AH46">
        <f t="shared" ref="AH46:AH61" si="30">INDEX($A$4:$AI$41,16,ROW(A3))*(-1)</f>
        <v>-281057</v>
      </c>
      <c r="AI46">
        <f t="shared" ref="AI46:AI61" si="31">INDEX($A$4:$AI$41,16,ROW(A20))</f>
        <v>295804</v>
      </c>
      <c r="AJ46">
        <f t="shared" ref="AJ46:AJ61" si="32">INDEX($A$4:$AI$41,17,ROW(A3))*(-1)</f>
        <v>-277281</v>
      </c>
      <c r="AK46">
        <f t="shared" ref="AK46:AK61" si="33">INDEX($A$4:$AI$41,17,ROW(A20))</f>
        <v>241005</v>
      </c>
      <c r="AL46">
        <f t="shared" ref="AL46:AL61" si="34">INDEX($A$4:$AI$41,18,ROW(A3))*(-1)</f>
        <v>-335341</v>
      </c>
      <c r="AM46">
        <f t="shared" ref="AM46:AM61" si="35">INDEX($A$4:$AI$41,18,ROW(A20))</f>
        <v>315414</v>
      </c>
      <c r="AN46">
        <f t="shared" ref="AN46:AN61" si="36">INDEX($A$4:$AI$41,19,ROW(A3))*(-1)</f>
        <v>-482852</v>
      </c>
      <c r="AO46">
        <f t="shared" ref="AO46:AO61" si="37">INDEX($A$4:$AI$41,19,ROW(A20))</f>
        <v>459277</v>
      </c>
      <c r="AP46">
        <f t="shared" ref="AP46:AP61" si="38">INDEX($A$4:$AI$41,20,ROW(A3))*(-1)</f>
        <v>-668389</v>
      </c>
      <c r="AQ46">
        <f t="shared" ref="AQ46:AQ61" si="39">INDEX($A$4:$AI$41,20,ROW(A20))</f>
        <v>651306</v>
      </c>
      <c r="AR46">
        <f t="shared" ref="AR46:AR61" si="40">INDEX($A$4:$AI$41,21,ROW(A3))*(-1)</f>
        <v>-2215912</v>
      </c>
      <c r="AS46">
        <f t="shared" ref="AS46:AS61" si="41">INDEX($A$4:$AI$41,21,ROW(A20))</f>
        <v>2022430</v>
      </c>
      <c r="AT46">
        <f t="shared" ref="AT46:AT61" si="42">INDEX($A$4:$AI$41,22,ROW(A3))*(-1)</f>
        <v>-663208</v>
      </c>
      <c r="AU46">
        <f t="shared" ref="AU46:AU61" si="43">INDEX($A$4:$AI$41,22,ROW(A20))</f>
        <v>616698</v>
      </c>
      <c r="AV46">
        <f t="shared" ref="AV46:AV61" si="44">INDEX($A$4:$AI$41,23,ROW(A3))*(-1)</f>
        <v>-375139</v>
      </c>
      <c r="AW46">
        <f t="shared" ref="AW46:AW61" si="45">INDEX($A$4:$AI$41,23,ROW(A20))</f>
        <v>371716</v>
      </c>
      <c r="AX46">
        <f t="shared" ref="AX46:AX61" si="46">INDEX($A$4:$AI$41,24,ROW(A3))*(-1)</f>
        <v>-357559</v>
      </c>
      <c r="AY46">
        <f t="shared" ref="AY46:AY61" si="47">INDEX($A$4:$AI$41,24,ROW(A20))</f>
        <v>341146</v>
      </c>
      <c r="AZ46">
        <f t="shared" ref="AZ46:AZ61" si="48">INDEX($A$4:$AI$41,25,ROW(A20))*(-1)</f>
        <v>-234528</v>
      </c>
      <c r="BA46">
        <f t="shared" ref="BA46:BA61" si="49">INDEX($A$4:$AI$41,25,ROW(A20))</f>
        <v>234528</v>
      </c>
      <c r="BB46">
        <f t="shared" ref="BB46:BB61" si="50">INDEX($A$4:$AI$41,26,ROW(A3))*(-1)</f>
        <v>-764124</v>
      </c>
      <c r="BC46">
        <f t="shared" ref="BC46:BC61" si="51">INDEX($A$4:$AI$41,26,ROW(A20))</f>
        <v>779056</v>
      </c>
      <c r="BD46">
        <f t="shared" ref="BD46:BD61" si="52">INDEX($A$4:$AI$41,27,ROW(A3))*(-1)</f>
        <v>-191349</v>
      </c>
      <c r="BE46">
        <f t="shared" ref="BE46:BE61" si="53">INDEX($A$4:$AI$41,27,ROW(A20))</f>
        <v>186154</v>
      </c>
      <c r="BF46">
        <f t="shared" ref="BF46:BF61" si="54">INDEX($A$4:$AI$41,28,ROW(A3))*(-1)</f>
        <v>-451692</v>
      </c>
      <c r="BG46">
        <f t="shared" ref="BG46:BG61" si="55">INDEX($A$4:$AI$41,28,ROW(A20))</f>
        <v>435222</v>
      </c>
      <c r="BH46">
        <f t="shared" ref="BH46:BH61" si="56">INDEX($A$4:$AI$41,29,ROW(A3))*(-1)</f>
        <v>-359666</v>
      </c>
      <c r="BI46">
        <f t="shared" ref="BI46:BI61" si="57">INDEX($A$4:$AI$41,29,ROW(A20))</f>
        <v>357660</v>
      </c>
      <c r="BJ46">
        <f t="shared" ref="BJ46:BJ61" si="58">INDEX($A$4:$AI$41,30,ROW(A3))*(-1)</f>
        <v>-302779</v>
      </c>
      <c r="BK46">
        <f t="shared" ref="BK46:BK61" si="59">INDEX($A$4:$AI$41,30,ROW(A20))</f>
        <v>288410</v>
      </c>
      <c r="BL46">
        <f t="shared" ref="BL46:BL61" si="60">INDEX($A$4:$AI$41,31,ROW(A3))*(-1)</f>
        <v>-305718</v>
      </c>
      <c r="BM46">
        <f t="shared" ref="BM46:BM61" si="61">INDEX($A$4:$AI$41,31,ROW(A20))</f>
        <v>287556</v>
      </c>
      <c r="BN46">
        <f t="shared" ref="BN46:BN61" si="62">INDEX($A$4:$AI$41,32,ROW(A3))*(-1)</f>
        <v>-545277</v>
      </c>
      <c r="BO46">
        <f t="shared" ref="BO46:BO61" si="63">INDEX($A$4:$AI$41,32,ROW(A20))</f>
        <v>525498</v>
      </c>
      <c r="BP46">
        <f t="shared" ref="BP46:BP61" si="64">INDEX($A$4:$AI$41,33,ROW(A3))*(-1)</f>
        <v>-315217</v>
      </c>
      <c r="BQ46">
        <f t="shared" ref="BQ46:BQ61" si="65">INDEX($A$4:$AI$41,33,ROW(A20))</f>
        <v>318348</v>
      </c>
      <c r="BR46">
        <f t="shared" ref="BR46:BR61" si="66">INDEX($A$4:$AI$41,34,ROW(A3))*(-1)</f>
        <v>-483709</v>
      </c>
      <c r="BS46">
        <f t="shared" ref="BS46:BS61" si="67">INDEX($A$4:$AI$41,34,ROW(A20))</f>
        <v>454462</v>
      </c>
      <c r="BT46">
        <f t="shared" ref="BT46:BT61" si="68">INDEX($A$4:$AI$41,35,ROW(A3))*(-1)</f>
        <v>-412046</v>
      </c>
      <c r="BU46">
        <f t="shared" ref="BU46:BU61" si="69">INDEX($A$4:$AI$41,35,ROW(A20))</f>
        <v>391615</v>
      </c>
      <c r="BV46">
        <f t="shared" ref="BV46:BV61" si="70">INDEX($A$4:$AI$41,36,ROW(A3))*(-1)</f>
        <v>-235530</v>
      </c>
      <c r="BW46">
        <f t="shared" ref="BW46:BW61" si="71">INDEX($A$4:$AI$41,36,ROW(A20))</f>
        <v>223588</v>
      </c>
      <c r="BX46">
        <f t="shared" ref="BX46:BX61" si="72">INDEX($A$4:$AI$41,37,ROW(A3))*(-1)</f>
        <v>-297650</v>
      </c>
      <c r="BY46">
        <f t="shared" ref="BY46:BY61" si="73">INDEX($A$4:$AI$41,37,ROW(A20))</f>
        <v>275237</v>
      </c>
      <c r="BZ46">
        <f t="shared" ref="BZ46:BZ61" si="74">INDEX($A$4:$AI$41,38,ROW(A3))*(-1)</f>
        <v>-380392</v>
      </c>
      <c r="CA46">
        <f t="shared" ref="CA46:CA61" si="75">INDEX($A$4:$AI$41,38,ROW(A20))</f>
        <v>370720</v>
      </c>
    </row>
    <row r="47" spans="1:79" ht="18">
      <c r="A47" s="5" t="s">
        <v>86</v>
      </c>
      <c r="B47">
        <v>-13159355</v>
      </c>
      <c r="C47">
        <v>12633388</v>
      </c>
      <c r="D47">
        <f t="shared" si="0"/>
        <v>-13836239</v>
      </c>
      <c r="E47">
        <f t="shared" si="1"/>
        <v>13072833</v>
      </c>
      <c r="F47">
        <f t="shared" si="2"/>
        <v>-252614</v>
      </c>
      <c r="G47">
        <f t="shared" si="3"/>
        <v>248705</v>
      </c>
      <c r="H47">
        <f t="shared" si="4"/>
        <v>-277805</v>
      </c>
      <c r="I47">
        <f t="shared" si="5"/>
        <v>273011</v>
      </c>
      <c r="J47">
        <f t="shared" si="6"/>
        <v>-371722</v>
      </c>
      <c r="K47">
        <f t="shared" si="7"/>
        <v>353787</v>
      </c>
      <c r="L47">
        <f t="shared" si="8"/>
        <v>-388676</v>
      </c>
      <c r="M47">
        <f t="shared" si="9"/>
        <v>379733</v>
      </c>
      <c r="N47">
        <f t="shared" si="10"/>
        <v>-442014</v>
      </c>
      <c r="O47">
        <f t="shared" si="11"/>
        <v>402259</v>
      </c>
      <c r="P47">
        <f t="shared" si="12"/>
        <v>-167379</v>
      </c>
      <c r="Q47">
        <f t="shared" si="13"/>
        <v>157102</v>
      </c>
      <c r="R47">
        <f t="shared" si="14"/>
        <v>-382231</v>
      </c>
      <c r="S47">
        <f t="shared" si="15"/>
        <v>371409</v>
      </c>
      <c r="T47">
        <f t="shared" si="16"/>
        <v>-421873</v>
      </c>
      <c r="U47">
        <f t="shared" si="17"/>
        <v>369247</v>
      </c>
      <c r="V47">
        <f t="shared" si="18"/>
        <v>-260335</v>
      </c>
      <c r="W47">
        <f t="shared" si="19"/>
        <v>247067</v>
      </c>
      <c r="X47">
        <f t="shared" si="20"/>
        <v>-373194</v>
      </c>
      <c r="Y47">
        <f t="shared" si="21"/>
        <v>365330</v>
      </c>
      <c r="Z47">
        <f t="shared" si="22"/>
        <v>-197034</v>
      </c>
      <c r="AA47">
        <f t="shared" si="23"/>
        <v>194554</v>
      </c>
      <c r="AB47">
        <f t="shared" si="24"/>
        <v>-273219</v>
      </c>
      <c r="AC47">
        <f t="shared" si="25"/>
        <v>267795</v>
      </c>
      <c r="AD47">
        <f t="shared" si="26"/>
        <v>-241674</v>
      </c>
      <c r="AE47">
        <f t="shared" si="27"/>
        <v>230520</v>
      </c>
      <c r="AF47">
        <f t="shared" si="28"/>
        <v>-277433</v>
      </c>
      <c r="AG47">
        <f t="shared" si="29"/>
        <v>283922</v>
      </c>
      <c r="AH47">
        <f t="shared" si="30"/>
        <v>-232913</v>
      </c>
      <c r="AI47">
        <f t="shared" si="31"/>
        <v>274169</v>
      </c>
      <c r="AJ47">
        <f t="shared" si="32"/>
        <v>-248163</v>
      </c>
      <c r="AK47">
        <f t="shared" si="33"/>
        <v>198060</v>
      </c>
      <c r="AL47">
        <f t="shared" si="34"/>
        <v>-361868</v>
      </c>
      <c r="AM47">
        <f t="shared" si="35"/>
        <v>350304</v>
      </c>
      <c r="AN47">
        <f t="shared" si="36"/>
        <v>-358722</v>
      </c>
      <c r="AO47">
        <f t="shared" si="37"/>
        <v>339830</v>
      </c>
      <c r="AP47">
        <f t="shared" si="38"/>
        <v>-555616</v>
      </c>
      <c r="AQ47">
        <f t="shared" si="39"/>
        <v>531399</v>
      </c>
      <c r="AR47">
        <f t="shared" si="40"/>
        <v>-1899992</v>
      </c>
      <c r="AS47">
        <f t="shared" si="41"/>
        <v>1533772</v>
      </c>
      <c r="AT47">
        <f t="shared" si="42"/>
        <v>-516254</v>
      </c>
      <c r="AU47">
        <f t="shared" si="43"/>
        <v>472450</v>
      </c>
      <c r="AV47">
        <f t="shared" si="44"/>
        <v>-281316</v>
      </c>
      <c r="AW47">
        <f t="shared" si="45"/>
        <v>266665</v>
      </c>
      <c r="AX47">
        <f t="shared" si="46"/>
        <v>-307624</v>
      </c>
      <c r="AY47">
        <f t="shared" si="47"/>
        <v>294002</v>
      </c>
      <c r="AZ47">
        <f t="shared" si="48"/>
        <v>-203623</v>
      </c>
      <c r="BA47">
        <f t="shared" si="49"/>
        <v>203623</v>
      </c>
      <c r="BB47">
        <f t="shared" si="50"/>
        <v>-711671</v>
      </c>
      <c r="BC47">
        <f t="shared" si="51"/>
        <v>790382</v>
      </c>
      <c r="BD47">
        <f t="shared" si="52"/>
        <v>-159821</v>
      </c>
      <c r="BE47">
        <f t="shared" si="53"/>
        <v>154587</v>
      </c>
      <c r="BF47">
        <f t="shared" si="54"/>
        <v>-357464</v>
      </c>
      <c r="BG47">
        <f t="shared" si="55"/>
        <v>340390</v>
      </c>
      <c r="BH47">
        <f t="shared" si="56"/>
        <v>-335879</v>
      </c>
      <c r="BI47">
        <f t="shared" si="57"/>
        <v>345551</v>
      </c>
      <c r="BJ47">
        <f t="shared" si="58"/>
        <v>-308683</v>
      </c>
      <c r="BK47">
        <f t="shared" si="59"/>
        <v>297653</v>
      </c>
      <c r="BL47">
        <f t="shared" si="60"/>
        <v>-317281</v>
      </c>
      <c r="BM47">
        <f t="shared" si="61"/>
        <v>304310</v>
      </c>
      <c r="BN47">
        <f t="shared" si="62"/>
        <v>-543253</v>
      </c>
      <c r="BO47">
        <f t="shared" si="63"/>
        <v>530774</v>
      </c>
      <c r="BP47">
        <f t="shared" si="64"/>
        <v>-275211</v>
      </c>
      <c r="BQ47">
        <f t="shared" si="65"/>
        <v>280912</v>
      </c>
      <c r="BR47">
        <f t="shared" si="66"/>
        <v>-501004</v>
      </c>
      <c r="BS47">
        <f t="shared" si="67"/>
        <v>482578</v>
      </c>
      <c r="BT47">
        <f t="shared" si="68"/>
        <v>-311710</v>
      </c>
      <c r="BU47">
        <f t="shared" si="69"/>
        <v>281259</v>
      </c>
      <c r="BV47">
        <f t="shared" si="70"/>
        <v>-193204</v>
      </c>
      <c r="BW47">
        <f t="shared" si="71"/>
        <v>183550</v>
      </c>
      <c r="BX47">
        <f t="shared" si="72"/>
        <v>-235695</v>
      </c>
      <c r="BY47">
        <f t="shared" si="73"/>
        <v>213349</v>
      </c>
      <c r="BZ47">
        <f t="shared" si="74"/>
        <v>-281118</v>
      </c>
      <c r="CA47">
        <f t="shared" si="75"/>
        <v>258823</v>
      </c>
    </row>
    <row r="48" spans="1:79" ht="18">
      <c r="A48" s="5" t="s">
        <v>87</v>
      </c>
      <c r="B48">
        <v>-11151483</v>
      </c>
      <c r="C48">
        <v>10758964</v>
      </c>
      <c r="D48">
        <f t="shared" si="0"/>
        <v>-12293689</v>
      </c>
      <c r="E48">
        <f t="shared" si="1"/>
        <v>11639983</v>
      </c>
      <c r="F48">
        <f t="shared" si="2"/>
        <v>-244697</v>
      </c>
      <c r="G48">
        <f t="shared" si="3"/>
        <v>235360</v>
      </c>
      <c r="H48">
        <f t="shared" si="4"/>
        <v>-238530</v>
      </c>
      <c r="I48">
        <f t="shared" si="5"/>
        <v>233204</v>
      </c>
      <c r="J48">
        <f t="shared" si="6"/>
        <v>-355275</v>
      </c>
      <c r="K48">
        <f t="shared" si="7"/>
        <v>329383</v>
      </c>
      <c r="L48">
        <f t="shared" si="8"/>
        <v>-376016</v>
      </c>
      <c r="M48">
        <f t="shared" si="9"/>
        <v>357447</v>
      </c>
      <c r="N48">
        <f t="shared" si="10"/>
        <v>-362751</v>
      </c>
      <c r="O48">
        <f t="shared" si="11"/>
        <v>352254</v>
      </c>
      <c r="P48">
        <f t="shared" si="12"/>
        <v>-160580</v>
      </c>
      <c r="Q48">
        <f t="shared" si="13"/>
        <v>144745</v>
      </c>
      <c r="R48">
        <f t="shared" si="14"/>
        <v>-330874</v>
      </c>
      <c r="S48">
        <f t="shared" si="15"/>
        <v>318050</v>
      </c>
      <c r="T48">
        <f t="shared" si="16"/>
        <v>-348897</v>
      </c>
      <c r="U48">
        <f t="shared" si="17"/>
        <v>326928</v>
      </c>
      <c r="V48">
        <f t="shared" si="18"/>
        <v>-242320</v>
      </c>
      <c r="W48">
        <f t="shared" si="19"/>
        <v>228463</v>
      </c>
      <c r="X48">
        <f t="shared" si="20"/>
        <v>-353940</v>
      </c>
      <c r="Y48">
        <f t="shared" si="21"/>
        <v>333023</v>
      </c>
      <c r="Z48">
        <f t="shared" si="22"/>
        <v>-176671</v>
      </c>
      <c r="AA48">
        <f t="shared" si="23"/>
        <v>179000</v>
      </c>
      <c r="AB48">
        <f t="shared" si="24"/>
        <v>-262779</v>
      </c>
      <c r="AC48">
        <f t="shared" si="25"/>
        <v>245304</v>
      </c>
      <c r="AD48">
        <f t="shared" si="26"/>
        <v>-231477</v>
      </c>
      <c r="AE48">
        <f t="shared" si="27"/>
        <v>217058</v>
      </c>
      <c r="AF48">
        <f t="shared" si="28"/>
        <v>-261039</v>
      </c>
      <c r="AG48">
        <f t="shared" si="29"/>
        <v>274784</v>
      </c>
      <c r="AH48">
        <f t="shared" si="30"/>
        <v>-202152</v>
      </c>
      <c r="AI48">
        <f t="shared" si="31"/>
        <v>226094</v>
      </c>
      <c r="AJ48">
        <f t="shared" si="32"/>
        <v>-209659</v>
      </c>
      <c r="AK48">
        <f t="shared" si="33"/>
        <v>174248</v>
      </c>
      <c r="AL48">
        <f t="shared" si="34"/>
        <v>-349158</v>
      </c>
      <c r="AM48">
        <f t="shared" si="35"/>
        <v>327225</v>
      </c>
      <c r="AN48">
        <f t="shared" si="36"/>
        <v>-291747</v>
      </c>
      <c r="AO48">
        <f t="shared" si="37"/>
        <v>300660</v>
      </c>
      <c r="AP48">
        <f t="shared" si="38"/>
        <v>-471968</v>
      </c>
      <c r="AQ48">
        <f t="shared" si="39"/>
        <v>466750</v>
      </c>
      <c r="AR48">
        <f t="shared" si="40"/>
        <v>-1623792</v>
      </c>
      <c r="AS48">
        <f t="shared" si="41"/>
        <v>1331018</v>
      </c>
      <c r="AT48">
        <f t="shared" si="42"/>
        <v>-413287</v>
      </c>
      <c r="AU48">
        <f t="shared" si="43"/>
        <v>409151</v>
      </c>
      <c r="AV48">
        <f t="shared" si="44"/>
        <v>-222841</v>
      </c>
      <c r="AW48">
        <f t="shared" si="45"/>
        <v>225813</v>
      </c>
      <c r="AX48">
        <f t="shared" si="46"/>
        <v>-267299</v>
      </c>
      <c r="AY48">
        <f t="shared" si="47"/>
        <v>256409</v>
      </c>
      <c r="AZ48">
        <f t="shared" si="48"/>
        <v>-173044</v>
      </c>
      <c r="BA48">
        <f t="shared" si="49"/>
        <v>173044</v>
      </c>
      <c r="BB48">
        <f t="shared" si="50"/>
        <v>-726172</v>
      </c>
      <c r="BC48">
        <f t="shared" si="51"/>
        <v>739251</v>
      </c>
      <c r="BD48">
        <f t="shared" si="52"/>
        <v>-139754</v>
      </c>
      <c r="BE48">
        <f t="shared" si="53"/>
        <v>136138</v>
      </c>
      <c r="BF48">
        <f t="shared" si="54"/>
        <v>-294639</v>
      </c>
      <c r="BG48">
        <f t="shared" si="55"/>
        <v>300216</v>
      </c>
      <c r="BH48">
        <f t="shared" si="56"/>
        <v>-300405</v>
      </c>
      <c r="BI48">
        <f t="shared" si="57"/>
        <v>287097</v>
      </c>
      <c r="BJ48">
        <f t="shared" si="58"/>
        <v>-286443</v>
      </c>
      <c r="BK48">
        <f t="shared" si="59"/>
        <v>259536</v>
      </c>
      <c r="BL48">
        <f t="shared" si="60"/>
        <v>-303336</v>
      </c>
      <c r="BM48">
        <f t="shared" si="61"/>
        <v>274168</v>
      </c>
      <c r="BN48">
        <f t="shared" si="62"/>
        <v>-490036</v>
      </c>
      <c r="BO48">
        <f t="shared" si="63"/>
        <v>450923</v>
      </c>
      <c r="BP48">
        <f t="shared" si="64"/>
        <v>-242035</v>
      </c>
      <c r="BQ48">
        <f t="shared" si="65"/>
        <v>242134</v>
      </c>
      <c r="BR48">
        <f t="shared" si="66"/>
        <v>-488748</v>
      </c>
      <c r="BS48">
        <f t="shared" si="67"/>
        <v>452184</v>
      </c>
      <c r="BT48">
        <f t="shared" si="68"/>
        <v>-252713</v>
      </c>
      <c r="BU48">
        <f t="shared" si="69"/>
        <v>247273</v>
      </c>
      <c r="BV48">
        <f t="shared" si="70"/>
        <v>-164686</v>
      </c>
      <c r="BW48">
        <f t="shared" si="71"/>
        <v>160731</v>
      </c>
      <c r="BX48">
        <f t="shared" si="72"/>
        <v>-196869</v>
      </c>
      <c r="BY48">
        <f t="shared" si="73"/>
        <v>190216</v>
      </c>
      <c r="BZ48">
        <f t="shared" si="74"/>
        <v>-224523</v>
      </c>
      <c r="CA48">
        <f t="shared" si="75"/>
        <v>234701</v>
      </c>
    </row>
    <row r="49" spans="1:79" ht="18">
      <c r="A49" s="5" t="s">
        <v>88</v>
      </c>
      <c r="B49">
        <v>-9170281</v>
      </c>
      <c r="C49">
        <v>8898293</v>
      </c>
      <c r="D49">
        <f t="shared" si="0"/>
        <v>-10051901</v>
      </c>
      <c r="E49">
        <f t="shared" si="1"/>
        <v>9674868</v>
      </c>
      <c r="F49">
        <f t="shared" si="2"/>
        <v>-197853</v>
      </c>
      <c r="G49">
        <f t="shared" si="3"/>
        <v>175331</v>
      </c>
      <c r="H49">
        <f t="shared" si="4"/>
        <v>-190232</v>
      </c>
      <c r="I49">
        <f t="shared" si="5"/>
        <v>190216</v>
      </c>
      <c r="J49">
        <f t="shared" si="6"/>
        <v>-285723</v>
      </c>
      <c r="K49">
        <f t="shared" si="7"/>
        <v>246884</v>
      </c>
      <c r="L49">
        <f t="shared" si="8"/>
        <v>-304587</v>
      </c>
      <c r="M49">
        <f t="shared" si="9"/>
        <v>273463</v>
      </c>
      <c r="N49">
        <f t="shared" si="10"/>
        <v>-260764</v>
      </c>
      <c r="O49">
        <f t="shared" si="11"/>
        <v>285240</v>
      </c>
      <c r="P49">
        <f t="shared" si="12"/>
        <v>-128084</v>
      </c>
      <c r="Q49">
        <f t="shared" si="13"/>
        <v>109296</v>
      </c>
      <c r="R49">
        <f t="shared" si="14"/>
        <v>-247899</v>
      </c>
      <c r="S49">
        <f t="shared" si="15"/>
        <v>248992</v>
      </c>
      <c r="T49">
        <f t="shared" si="16"/>
        <v>-270790</v>
      </c>
      <c r="U49">
        <f t="shared" si="17"/>
        <v>285460</v>
      </c>
      <c r="V49">
        <f t="shared" si="18"/>
        <v>-199798</v>
      </c>
      <c r="W49">
        <f t="shared" si="19"/>
        <v>177638</v>
      </c>
      <c r="X49">
        <f t="shared" si="20"/>
        <v>-297603</v>
      </c>
      <c r="Y49">
        <f t="shared" si="21"/>
        <v>263756</v>
      </c>
      <c r="Z49">
        <f t="shared" si="22"/>
        <v>-132083</v>
      </c>
      <c r="AA49">
        <f t="shared" si="23"/>
        <v>125519</v>
      </c>
      <c r="AB49">
        <f t="shared" si="24"/>
        <v>-244690</v>
      </c>
      <c r="AC49">
        <f t="shared" si="25"/>
        <v>206957</v>
      </c>
      <c r="AD49">
        <f t="shared" si="26"/>
        <v>-198471</v>
      </c>
      <c r="AE49">
        <f t="shared" si="27"/>
        <v>175326</v>
      </c>
      <c r="AF49">
        <f t="shared" si="28"/>
        <v>-221637</v>
      </c>
      <c r="AG49">
        <f t="shared" si="29"/>
        <v>217205</v>
      </c>
      <c r="AH49">
        <f t="shared" si="30"/>
        <v>-248382</v>
      </c>
      <c r="AI49">
        <f t="shared" si="31"/>
        <v>240570</v>
      </c>
      <c r="AJ49">
        <f t="shared" si="32"/>
        <v>-149392</v>
      </c>
      <c r="AK49">
        <f t="shared" si="33"/>
        <v>138293</v>
      </c>
      <c r="AL49">
        <f t="shared" si="34"/>
        <v>-279447</v>
      </c>
      <c r="AM49">
        <f t="shared" si="35"/>
        <v>246833</v>
      </c>
      <c r="AN49">
        <f t="shared" si="36"/>
        <v>-208354</v>
      </c>
      <c r="AO49">
        <f t="shared" si="37"/>
        <v>259361</v>
      </c>
      <c r="AP49">
        <f t="shared" si="38"/>
        <v>-365548</v>
      </c>
      <c r="AQ49">
        <f t="shared" si="39"/>
        <v>381545</v>
      </c>
      <c r="AR49">
        <f t="shared" si="40"/>
        <v>-1145504</v>
      </c>
      <c r="AS49">
        <f t="shared" si="41"/>
        <v>1130742</v>
      </c>
      <c r="AT49">
        <f t="shared" si="42"/>
        <v>-298887</v>
      </c>
      <c r="AU49">
        <f t="shared" si="43"/>
        <v>341581</v>
      </c>
      <c r="AV49">
        <f t="shared" si="44"/>
        <v>-159983</v>
      </c>
      <c r="AW49">
        <f t="shared" si="45"/>
        <v>195292</v>
      </c>
      <c r="AX49">
        <f t="shared" si="46"/>
        <v>-205971</v>
      </c>
      <c r="AY49">
        <f t="shared" si="47"/>
        <v>205935</v>
      </c>
      <c r="AZ49">
        <f t="shared" si="48"/>
        <v>-143444</v>
      </c>
      <c r="BA49">
        <f t="shared" si="49"/>
        <v>143444</v>
      </c>
      <c r="BB49">
        <f t="shared" si="50"/>
        <v>-910295</v>
      </c>
      <c r="BC49">
        <f t="shared" si="51"/>
        <v>748929</v>
      </c>
      <c r="BD49">
        <f t="shared" si="52"/>
        <v>-109763</v>
      </c>
      <c r="BE49">
        <f t="shared" si="53"/>
        <v>114094</v>
      </c>
      <c r="BF49">
        <f t="shared" si="54"/>
        <v>-230006</v>
      </c>
      <c r="BG49">
        <f t="shared" si="55"/>
        <v>253403</v>
      </c>
      <c r="BH49">
        <f t="shared" si="56"/>
        <v>-285927</v>
      </c>
      <c r="BI49">
        <f t="shared" si="57"/>
        <v>258573</v>
      </c>
      <c r="BJ49">
        <f t="shared" si="58"/>
        <v>-235225</v>
      </c>
      <c r="BK49">
        <f t="shared" si="59"/>
        <v>199677</v>
      </c>
      <c r="BL49">
        <f t="shared" si="60"/>
        <v>-257958</v>
      </c>
      <c r="BM49">
        <f t="shared" si="61"/>
        <v>212150</v>
      </c>
      <c r="BN49">
        <f t="shared" si="62"/>
        <v>-415062</v>
      </c>
      <c r="BO49">
        <f t="shared" si="63"/>
        <v>361253</v>
      </c>
      <c r="BP49">
        <f t="shared" si="64"/>
        <v>-188817</v>
      </c>
      <c r="BQ49">
        <f t="shared" si="65"/>
        <v>193128</v>
      </c>
      <c r="BR49">
        <f t="shared" si="66"/>
        <v>-421265</v>
      </c>
      <c r="BS49">
        <f t="shared" si="67"/>
        <v>358916</v>
      </c>
      <c r="BT49">
        <f t="shared" si="68"/>
        <v>-179138</v>
      </c>
      <c r="BU49">
        <f t="shared" si="69"/>
        <v>213704</v>
      </c>
      <c r="BV49">
        <f t="shared" si="70"/>
        <v>-125104</v>
      </c>
      <c r="BW49">
        <f t="shared" si="71"/>
        <v>132772</v>
      </c>
      <c r="BX49">
        <f t="shared" si="72"/>
        <v>-145758</v>
      </c>
      <c r="BY49">
        <f t="shared" si="73"/>
        <v>158723</v>
      </c>
      <c r="BZ49">
        <f t="shared" si="74"/>
        <v>-157264</v>
      </c>
      <c r="CA49">
        <f t="shared" si="75"/>
        <v>204667</v>
      </c>
    </row>
    <row r="50" spans="1:79" ht="18">
      <c r="A50" s="5" t="s">
        <v>89</v>
      </c>
      <c r="B50">
        <v>-7660610</v>
      </c>
      <c r="C50">
        <v>7448235</v>
      </c>
      <c r="D50">
        <f t="shared" si="0"/>
        <v>-8480707</v>
      </c>
      <c r="E50">
        <f t="shared" si="1"/>
        <v>8167582</v>
      </c>
      <c r="F50">
        <f t="shared" si="2"/>
        <v>-147846</v>
      </c>
      <c r="G50">
        <f t="shared" si="3"/>
        <v>141231</v>
      </c>
      <c r="H50">
        <f t="shared" si="4"/>
        <v>-160292</v>
      </c>
      <c r="I50">
        <f t="shared" si="5"/>
        <v>155723</v>
      </c>
      <c r="J50">
        <f t="shared" si="6"/>
        <v>-216091</v>
      </c>
      <c r="K50">
        <f t="shared" si="7"/>
        <v>207987</v>
      </c>
      <c r="L50">
        <f t="shared" si="8"/>
        <v>-232124</v>
      </c>
      <c r="M50">
        <f t="shared" si="9"/>
        <v>225850</v>
      </c>
      <c r="N50">
        <f t="shared" si="10"/>
        <v>-223221</v>
      </c>
      <c r="O50">
        <f t="shared" si="11"/>
        <v>235858</v>
      </c>
      <c r="P50">
        <f t="shared" si="12"/>
        <v>-98740</v>
      </c>
      <c r="Q50">
        <f t="shared" si="13"/>
        <v>93373</v>
      </c>
      <c r="R50">
        <f t="shared" si="14"/>
        <v>-201198</v>
      </c>
      <c r="S50">
        <f t="shared" si="15"/>
        <v>199610</v>
      </c>
      <c r="T50">
        <f t="shared" si="16"/>
        <v>-233981</v>
      </c>
      <c r="U50">
        <f t="shared" si="17"/>
        <v>230533</v>
      </c>
      <c r="V50">
        <f t="shared" si="18"/>
        <v>-157222</v>
      </c>
      <c r="W50">
        <f t="shared" si="19"/>
        <v>145558</v>
      </c>
      <c r="X50">
        <f t="shared" si="20"/>
        <v>-227942</v>
      </c>
      <c r="Y50">
        <f t="shared" si="21"/>
        <v>214716</v>
      </c>
      <c r="Z50">
        <f t="shared" si="22"/>
        <v>-95485</v>
      </c>
      <c r="AA50">
        <f t="shared" si="23"/>
        <v>104915</v>
      </c>
      <c r="AB50">
        <f t="shared" si="24"/>
        <v>-191737</v>
      </c>
      <c r="AC50">
        <f t="shared" si="25"/>
        <v>164130</v>
      </c>
      <c r="AD50">
        <f t="shared" si="26"/>
        <v>-134938</v>
      </c>
      <c r="AE50">
        <f t="shared" si="27"/>
        <v>125783</v>
      </c>
      <c r="AF50">
        <f t="shared" si="28"/>
        <v>-158394</v>
      </c>
      <c r="AG50">
        <f t="shared" si="29"/>
        <v>161621</v>
      </c>
      <c r="AH50">
        <f t="shared" si="30"/>
        <v>-310563</v>
      </c>
      <c r="AI50">
        <f t="shared" si="31"/>
        <v>239062</v>
      </c>
      <c r="AJ50">
        <f t="shared" si="32"/>
        <v>-119694</v>
      </c>
      <c r="AK50">
        <f t="shared" si="33"/>
        <v>116708</v>
      </c>
      <c r="AL50">
        <f t="shared" si="34"/>
        <v>-203489</v>
      </c>
      <c r="AM50">
        <f t="shared" si="35"/>
        <v>201853</v>
      </c>
      <c r="AN50">
        <f t="shared" si="36"/>
        <v>-184644</v>
      </c>
      <c r="AO50">
        <f t="shared" si="37"/>
        <v>214203</v>
      </c>
      <c r="AP50">
        <f t="shared" si="38"/>
        <v>-317880</v>
      </c>
      <c r="AQ50">
        <f t="shared" si="39"/>
        <v>319033</v>
      </c>
      <c r="AR50">
        <f t="shared" si="40"/>
        <v>-962806</v>
      </c>
      <c r="AS50">
        <f t="shared" si="41"/>
        <v>942938</v>
      </c>
      <c r="AT50">
        <f t="shared" si="42"/>
        <v>-261265</v>
      </c>
      <c r="AU50">
        <f t="shared" si="43"/>
        <v>287685</v>
      </c>
      <c r="AV50">
        <f t="shared" si="44"/>
        <v>-153342</v>
      </c>
      <c r="AW50">
        <f t="shared" si="45"/>
        <v>166637</v>
      </c>
      <c r="AX50">
        <f t="shared" si="46"/>
        <v>-173343</v>
      </c>
      <c r="AY50">
        <f t="shared" si="47"/>
        <v>178793</v>
      </c>
      <c r="AZ50">
        <f t="shared" si="48"/>
        <v>-125168</v>
      </c>
      <c r="BA50">
        <f t="shared" si="49"/>
        <v>125168</v>
      </c>
      <c r="BB50">
        <f t="shared" si="50"/>
        <v>-888836</v>
      </c>
      <c r="BC50">
        <f t="shared" si="51"/>
        <v>689190</v>
      </c>
      <c r="BD50">
        <f t="shared" si="52"/>
        <v>-96818</v>
      </c>
      <c r="BE50">
        <f t="shared" si="53"/>
        <v>98118</v>
      </c>
      <c r="BF50">
        <f t="shared" si="54"/>
        <v>-209805</v>
      </c>
      <c r="BG50">
        <f t="shared" si="55"/>
        <v>217287</v>
      </c>
      <c r="BH50">
        <f t="shared" si="56"/>
        <v>-248353</v>
      </c>
      <c r="BI50">
        <f t="shared" si="57"/>
        <v>232009</v>
      </c>
      <c r="BJ50">
        <f t="shared" si="58"/>
        <v>-179772</v>
      </c>
      <c r="BK50">
        <f t="shared" si="59"/>
        <v>172354</v>
      </c>
      <c r="BL50">
        <f t="shared" si="60"/>
        <v>-190982</v>
      </c>
      <c r="BM50">
        <f t="shared" si="61"/>
        <v>178089</v>
      </c>
      <c r="BN50">
        <f t="shared" si="62"/>
        <v>-330275</v>
      </c>
      <c r="BO50">
        <f t="shared" si="63"/>
        <v>320194</v>
      </c>
      <c r="BP50">
        <f t="shared" si="64"/>
        <v>-165794</v>
      </c>
      <c r="BQ50">
        <f t="shared" si="65"/>
        <v>160033</v>
      </c>
      <c r="BR50">
        <f t="shared" si="66"/>
        <v>-333130</v>
      </c>
      <c r="BS50">
        <f t="shared" si="67"/>
        <v>303559</v>
      </c>
      <c r="BT50">
        <f t="shared" si="68"/>
        <v>-159134</v>
      </c>
      <c r="BU50">
        <f t="shared" si="69"/>
        <v>186430</v>
      </c>
      <c r="BV50">
        <f t="shared" si="70"/>
        <v>-111914</v>
      </c>
      <c r="BW50">
        <f t="shared" si="71"/>
        <v>113259</v>
      </c>
      <c r="BX50">
        <f t="shared" si="72"/>
        <v>-127356</v>
      </c>
      <c r="BY50">
        <f t="shared" si="73"/>
        <v>126035</v>
      </c>
      <c r="BZ50">
        <f t="shared" si="74"/>
        <v>-149130</v>
      </c>
      <c r="CA50">
        <f t="shared" si="75"/>
        <v>172057</v>
      </c>
    </row>
    <row r="51" spans="1:79" ht="18">
      <c r="A51" s="5" t="s">
        <v>90</v>
      </c>
      <c r="B51">
        <v>-6613972</v>
      </c>
      <c r="C51">
        <v>6430540</v>
      </c>
      <c r="D51">
        <f t="shared" si="0"/>
        <v>-7284102</v>
      </c>
      <c r="E51">
        <f t="shared" si="1"/>
        <v>6947084</v>
      </c>
      <c r="F51">
        <f t="shared" si="2"/>
        <v>-119759</v>
      </c>
      <c r="G51">
        <f t="shared" si="3"/>
        <v>124752</v>
      </c>
      <c r="H51">
        <f t="shared" si="4"/>
        <v>-138807</v>
      </c>
      <c r="I51">
        <f t="shared" si="5"/>
        <v>131631</v>
      </c>
      <c r="J51">
        <f t="shared" si="6"/>
        <v>-174848</v>
      </c>
      <c r="K51">
        <f t="shared" si="7"/>
        <v>184349</v>
      </c>
      <c r="L51">
        <f t="shared" si="8"/>
        <v>-187703</v>
      </c>
      <c r="M51">
        <f t="shared" si="9"/>
        <v>193788</v>
      </c>
      <c r="N51">
        <f t="shared" si="10"/>
        <v>-203035</v>
      </c>
      <c r="O51">
        <f t="shared" si="11"/>
        <v>198776</v>
      </c>
      <c r="P51">
        <f t="shared" si="12"/>
        <v>-82485</v>
      </c>
      <c r="Q51">
        <f t="shared" si="13"/>
        <v>84237</v>
      </c>
      <c r="R51">
        <f t="shared" si="14"/>
        <v>-173256</v>
      </c>
      <c r="S51">
        <f t="shared" si="15"/>
        <v>168682</v>
      </c>
      <c r="T51">
        <f t="shared" si="16"/>
        <v>-220992</v>
      </c>
      <c r="U51">
        <f t="shared" si="17"/>
        <v>201616</v>
      </c>
      <c r="V51">
        <f t="shared" si="18"/>
        <v>-125944</v>
      </c>
      <c r="W51">
        <f t="shared" si="19"/>
        <v>127746</v>
      </c>
      <c r="X51">
        <f t="shared" si="20"/>
        <v>-182870</v>
      </c>
      <c r="Y51">
        <f t="shared" si="21"/>
        <v>186714</v>
      </c>
      <c r="Z51">
        <f t="shared" si="22"/>
        <v>-79584</v>
      </c>
      <c r="AA51">
        <f t="shared" si="23"/>
        <v>94035</v>
      </c>
      <c r="AB51">
        <f t="shared" si="24"/>
        <v>-140876</v>
      </c>
      <c r="AC51">
        <f t="shared" si="25"/>
        <v>137442</v>
      </c>
      <c r="AD51">
        <f t="shared" si="26"/>
        <v>-101395</v>
      </c>
      <c r="AE51">
        <f t="shared" si="27"/>
        <v>105683</v>
      </c>
      <c r="AF51">
        <f t="shared" si="28"/>
        <v>-118345</v>
      </c>
      <c r="AG51">
        <f t="shared" si="29"/>
        <v>140126</v>
      </c>
      <c r="AH51">
        <f t="shared" si="30"/>
        <v>-263226</v>
      </c>
      <c r="AI51">
        <f t="shared" si="31"/>
        <v>186691</v>
      </c>
      <c r="AJ51">
        <f t="shared" si="32"/>
        <v>-104192</v>
      </c>
      <c r="AK51">
        <f t="shared" si="33"/>
        <v>95232</v>
      </c>
      <c r="AL51">
        <f t="shared" si="34"/>
        <v>-163543</v>
      </c>
      <c r="AM51">
        <f t="shared" si="35"/>
        <v>178926</v>
      </c>
      <c r="AN51">
        <f t="shared" si="36"/>
        <v>-192209</v>
      </c>
      <c r="AO51">
        <f t="shared" si="37"/>
        <v>193560</v>
      </c>
      <c r="AP51">
        <f t="shared" si="38"/>
        <v>-275283</v>
      </c>
      <c r="AQ51">
        <f t="shared" si="39"/>
        <v>260737</v>
      </c>
      <c r="AR51">
        <f t="shared" si="40"/>
        <v>-873748</v>
      </c>
      <c r="AS51">
        <f t="shared" si="41"/>
        <v>806562</v>
      </c>
      <c r="AT51">
        <f t="shared" si="42"/>
        <v>-246915</v>
      </c>
      <c r="AU51">
        <f t="shared" si="43"/>
        <v>243017</v>
      </c>
      <c r="AV51">
        <f t="shared" si="44"/>
        <v>-138763</v>
      </c>
      <c r="AW51">
        <f t="shared" si="45"/>
        <v>136434</v>
      </c>
      <c r="AX51">
        <f t="shared" si="46"/>
        <v>-150802</v>
      </c>
      <c r="AY51">
        <f t="shared" si="47"/>
        <v>149077</v>
      </c>
      <c r="AZ51">
        <f t="shared" si="48"/>
        <v>-104685</v>
      </c>
      <c r="BA51">
        <f t="shared" si="49"/>
        <v>104685</v>
      </c>
      <c r="BB51">
        <f t="shared" si="50"/>
        <v>-732696</v>
      </c>
      <c r="BC51">
        <f t="shared" si="51"/>
        <v>569628</v>
      </c>
      <c r="BD51">
        <f t="shared" si="52"/>
        <v>-83448</v>
      </c>
      <c r="BE51">
        <f t="shared" si="53"/>
        <v>77887</v>
      </c>
      <c r="BF51">
        <f t="shared" si="54"/>
        <v>-188691</v>
      </c>
      <c r="BG51">
        <f t="shared" si="55"/>
        <v>173566</v>
      </c>
      <c r="BH51">
        <f t="shared" si="56"/>
        <v>-210296</v>
      </c>
      <c r="BI51">
        <f t="shared" si="57"/>
        <v>201769</v>
      </c>
      <c r="BJ51">
        <f t="shared" si="58"/>
        <v>-146198</v>
      </c>
      <c r="BK51">
        <f t="shared" si="59"/>
        <v>152652</v>
      </c>
      <c r="BL51">
        <f t="shared" si="60"/>
        <v>-146328</v>
      </c>
      <c r="BM51">
        <f t="shared" si="61"/>
        <v>151732</v>
      </c>
      <c r="BN51">
        <f t="shared" si="62"/>
        <v>-273646</v>
      </c>
      <c r="BO51">
        <f t="shared" si="63"/>
        <v>282161</v>
      </c>
      <c r="BP51">
        <f t="shared" si="64"/>
        <v>-139986</v>
      </c>
      <c r="BQ51">
        <f t="shared" si="65"/>
        <v>130028</v>
      </c>
      <c r="BR51">
        <f t="shared" si="66"/>
        <v>-277872</v>
      </c>
      <c r="BS51">
        <f t="shared" si="67"/>
        <v>263254</v>
      </c>
      <c r="BT51">
        <f t="shared" si="68"/>
        <v>-151382</v>
      </c>
      <c r="BU51">
        <f t="shared" si="69"/>
        <v>161164</v>
      </c>
      <c r="BV51">
        <f t="shared" si="70"/>
        <v>-101059</v>
      </c>
      <c r="BW51">
        <f t="shared" si="71"/>
        <v>94485</v>
      </c>
      <c r="BX51">
        <f t="shared" si="72"/>
        <v>-123249</v>
      </c>
      <c r="BY51">
        <f t="shared" si="73"/>
        <v>110055</v>
      </c>
      <c r="BZ51">
        <f t="shared" si="74"/>
        <v>-145163</v>
      </c>
      <c r="CA51">
        <f t="shared" si="75"/>
        <v>144205</v>
      </c>
    </row>
    <row r="52" spans="1:79" ht="18">
      <c r="A52" s="5" t="s">
        <v>91</v>
      </c>
      <c r="B52">
        <v>-5745353</v>
      </c>
      <c r="C52">
        <v>5578185</v>
      </c>
      <c r="D52">
        <f t="shared" si="0"/>
        <v>-6240459</v>
      </c>
      <c r="E52">
        <f t="shared" si="1"/>
        <v>5874695</v>
      </c>
      <c r="F52">
        <f t="shared" si="2"/>
        <v>-104223</v>
      </c>
      <c r="G52">
        <f t="shared" si="3"/>
        <v>118724</v>
      </c>
      <c r="H52">
        <f t="shared" si="4"/>
        <v>-119876</v>
      </c>
      <c r="I52">
        <f t="shared" si="5"/>
        <v>105703</v>
      </c>
      <c r="J52">
        <f t="shared" si="6"/>
        <v>-159735</v>
      </c>
      <c r="K52">
        <f t="shared" si="7"/>
        <v>180667</v>
      </c>
      <c r="L52">
        <f t="shared" si="8"/>
        <v>-164634</v>
      </c>
      <c r="M52">
        <f t="shared" si="9"/>
        <v>185580</v>
      </c>
      <c r="N52">
        <f t="shared" si="10"/>
        <v>-168629</v>
      </c>
      <c r="O52">
        <f t="shared" si="11"/>
        <v>153495</v>
      </c>
      <c r="P52">
        <f t="shared" si="12"/>
        <v>-72773</v>
      </c>
      <c r="Q52">
        <f t="shared" si="13"/>
        <v>80603</v>
      </c>
      <c r="R52">
        <f t="shared" si="14"/>
        <v>-146700</v>
      </c>
      <c r="S52">
        <f t="shared" si="15"/>
        <v>135038</v>
      </c>
      <c r="T52">
        <f t="shared" si="16"/>
        <v>-176524</v>
      </c>
      <c r="U52">
        <f t="shared" si="17"/>
        <v>146564</v>
      </c>
      <c r="V52">
        <f t="shared" si="18"/>
        <v>-111965</v>
      </c>
      <c r="W52">
        <f t="shared" si="19"/>
        <v>120877</v>
      </c>
      <c r="X52">
        <f t="shared" si="20"/>
        <v>-163400</v>
      </c>
      <c r="Y52">
        <f t="shared" si="21"/>
        <v>178217</v>
      </c>
      <c r="Z52">
        <f t="shared" si="22"/>
        <v>-72338</v>
      </c>
      <c r="AA52">
        <f t="shared" si="23"/>
        <v>90186</v>
      </c>
      <c r="AB52">
        <f t="shared" si="24"/>
        <v>-122163</v>
      </c>
      <c r="AC52">
        <f t="shared" si="25"/>
        <v>131252</v>
      </c>
      <c r="AD52">
        <f t="shared" si="26"/>
        <v>-89201</v>
      </c>
      <c r="AE52">
        <f t="shared" si="27"/>
        <v>105824</v>
      </c>
      <c r="AF52">
        <f t="shared" si="28"/>
        <v>-108252</v>
      </c>
      <c r="AG52">
        <f t="shared" si="29"/>
        <v>135981</v>
      </c>
      <c r="AH52">
        <f t="shared" si="30"/>
        <v>-228757</v>
      </c>
      <c r="AI52">
        <f t="shared" si="31"/>
        <v>144517</v>
      </c>
      <c r="AJ52">
        <f t="shared" si="32"/>
        <v>-87074</v>
      </c>
      <c r="AK52">
        <f t="shared" si="33"/>
        <v>75830</v>
      </c>
      <c r="AL52">
        <f t="shared" si="34"/>
        <v>-147223</v>
      </c>
      <c r="AM52">
        <f t="shared" si="35"/>
        <v>174716</v>
      </c>
      <c r="AN52">
        <f t="shared" si="36"/>
        <v>-151233</v>
      </c>
      <c r="AO52">
        <f t="shared" si="37"/>
        <v>136409</v>
      </c>
      <c r="AP52">
        <f t="shared" si="38"/>
        <v>-236243</v>
      </c>
      <c r="AQ52">
        <f t="shared" si="39"/>
        <v>209617</v>
      </c>
      <c r="AR52">
        <f t="shared" si="40"/>
        <v>-710084</v>
      </c>
      <c r="AS52">
        <f t="shared" si="41"/>
        <v>594464</v>
      </c>
      <c r="AT52">
        <f t="shared" si="42"/>
        <v>-205252</v>
      </c>
      <c r="AU52">
        <f t="shared" si="43"/>
        <v>184850</v>
      </c>
      <c r="AV52">
        <f t="shared" si="44"/>
        <v>-115221</v>
      </c>
      <c r="AW52">
        <f t="shared" si="45"/>
        <v>101666</v>
      </c>
      <c r="AX52">
        <f t="shared" si="46"/>
        <v>-129911</v>
      </c>
      <c r="AY52">
        <f t="shared" si="47"/>
        <v>125434</v>
      </c>
      <c r="AZ52">
        <f t="shared" si="48"/>
        <v>-88631</v>
      </c>
      <c r="BA52">
        <f t="shared" si="49"/>
        <v>88631</v>
      </c>
      <c r="BB52">
        <f t="shared" si="50"/>
        <v>-635191</v>
      </c>
      <c r="BC52">
        <f t="shared" si="51"/>
        <v>494720</v>
      </c>
      <c r="BD52">
        <f t="shared" si="52"/>
        <v>-71211</v>
      </c>
      <c r="BE52">
        <f t="shared" si="53"/>
        <v>61966</v>
      </c>
      <c r="BF52">
        <f t="shared" si="54"/>
        <v>-160748</v>
      </c>
      <c r="BG52">
        <f t="shared" si="55"/>
        <v>135623</v>
      </c>
      <c r="BH52">
        <f t="shared" si="56"/>
        <v>-195624</v>
      </c>
      <c r="BI52">
        <f t="shared" si="57"/>
        <v>189160</v>
      </c>
      <c r="BJ52">
        <f t="shared" si="58"/>
        <v>-130116</v>
      </c>
      <c r="BK52">
        <f t="shared" si="59"/>
        <v>146002</v>
      </c>
      <c r="BL52">
        <f t="shared" si="60"/>
        <v>-129984</v>
      </c>
      <c r="BM52">
        <f t="shared" si="61"/>
        <v>151780</v>
      </c>
      <c r="BN52">
        <f t="shared" si="62"/>
        <v>-246628</v>
      </c>
      <c r="BO52">
        <f t="shared" si="63"/>
        <v>269044</v>
      </c>
      <c r="BP52">
        <f t="shared" si="64"/>
        <v>-123109</v>
      </c>
      <c r="BQ52">
        <f t="shared" si="65"/>
        <v>108009</v>
      </c>
      <c r="BR52">
        <f t="shared" si="66"/>
        <v>-239886</v>
      </c>
      <c r="BS52">
        <f t="shared" si="67"/>
        <v>246304</v>
      </c>
      <c r="BT52">
        <f t="shared" si="68"/>
        <v>-128597</v>
      </c>
      <c r="BU52">
        <f t="shared" si="69"/>
        <v>116877</v>
      </c>
      <c r="BV52">
        <f t="shared" si="70"/>
        <v>-87732</v>
      </c>
      <c r="BW52">
        <f t="shared" si="71"/>
        <v>74090</v>
      </c>
      <c r="BX52">
        <f t="shared" si="72"/>
        <v>-93248</v>
      </c>
      <c r="BY52">
        <f t="shared" si="73"/>
        <v>75039</v>
      </c>
      <c r="BZ52">
        <f t="shared" si="74"/>
        <v>-116093</v>
      </c>
      <c r="CA52">
        <f t="shared" si="75"/>
        <v>101236</v>
      </c>
    </row>
    <row r="53" spans="1:79" ht="18">
      <c r="A53" s="5" t="s">
        <v>92</v>
      </c>
      <c r="B53">
        <v>-4785766</v>
      </c>
      <c r="C53">
        <v>4672877</v>
      </c>
      <c r="D53">
        <f t="shared" si="0"/>
        <v>-5228754</v>
      </c>
      <c r="E53">
        <f t="shared" si="1"/>
        <v>4905215</v>
      </c>
      <c r="F53">
        <f t="shared" si="2"/>
        <v>-96942</v>
      </c>
      <c r="G53">
        <f t="shared" si="3"/>
        <v>97191</v>
      </c>
      <c r="H53">
        <f t="shared" si="4"/>
        <v>-95845</v>
      </c>
      <c r="I53">
        <f t="shared" si="5"/>
        <v>93150</v>
      </c>
      <c r="J53">
        <f t="shared" si="6"/>
        <v>-143522</v>
      </c>
      <c r="K53">
        <f t="shared" si="7"/>
        <v>144644</v>
      </c>
      <c r="L53">
        <f t="shared" si="8"/>
        <v>-153188</v>
      </c>
      <c r="M53">
        <f t="shared" si="9"/>
        <v>149135</v>
      </c>
      <c r="N53">
        <f t="shared" si="10"/>
        <v>-143572</v>
      </c>
      <c r="O53">
        <f t="shared" si="11"/>
        <v>133251</v>
      </c>
      <c r="P53">
        <f t="shared" si="12"/>
        <v>-65964</v>
      </c>
      <c r="Q53">
        <f t="shared" si="13"/>
        <v>62980</v>
      </c>
      <c r="R53">
        <f t="shared" si="14"/>
        <v>-119001</v>
      </c>
      <c r="S53">
        <f t="shared" si="15"/>
        <v>120485</v>
      </c>
      <c r="T53">
        <f t="shared" si="16"/>
        <v>-160850</v>
      </c>
      <c r="U53">
        <f t="shared" si="17"/>
        <v>138886</v>
      </c>
      <c r="V53">
        <f t="shared" si="18"/>
        <v>-99844</v>
      </c>
      <c r="W53">
        <f t="shared" si="19"/>
        <v>98133</v>
      </c>
      <c r="X53">
        <f t="shared" si="20"/>
        <v>-139733</v>
      </c>
      <c r="Y53">
        <f t="shared" si="21"/>
        <v>142570</v>
      </c>
      <c r="Z53">
        <f t="shared" si="22"/>
        <v>-67188</v>
      </c>
      <c r="AA53">
        <f t="shared" si="23"/>
        <v>76152</v>
      </c>
      <c r="AB53">
        <f t="shared" si="24"/>
        <v>-98953</v>
      </c>
      <c r="AC53">
        <f t="shared" si="25"/>
        <v>105276</v>
      </c>
      <c r="AD53">
        <f t="shared" si="26"/>
        <v>-83388</v>
      </c>
      <c r="AE53">
        <f t="shared" si="27"/>
        <v>84561</v>
      </c>
      <c r="AF53">
        <f t="shared" si="28"/>
        <v>-102622</v>
      </c>
      <c r="AG53">
        <f t="shared" si="29"/>
        <v>117125</v>
      </c>
      <c r="AH53">
        <f t="shared" si="30"/>
        <v>-148467</v>
      </c>
      <c r="AI53">
        <f t="shared" si="31"/>
        <v>92826</v>
      </c>
      <c r="AJ53">
        <f t="shared" si="32"/>
        <v>-70682</v>
      </c>
      <c r="AK53">
        <f t="shared" si="33"/>
        <v>63848</v>
      </c>
      <c r="AL53">
        <f t="shared" si="34"/>
        <v>-138378</v>
      </c>
      <c r="AM53">
        <f t="shared" si="35"/>
        <v>142857</v>
      </c>
      <c r="AN53">
        <f t="shared" si="36"/>
        <v>-143479</v>
      </c>
      <c r="AO53">
        <f t="shared" si="37"/>
        <v>131297</v>
      </c>
      <c r="AP53">
        <f t="shared" si="38"/>
        <v>-187951</v>
      </c>
      <c r="AQ53">
        <f t="shared" si="39"/>
        <v>174590</v>
      </c>
      <c r="AR53">
        <f t="shared" si="40"/>
        <v>-626126</v>
      </c>
      <c r="AS53">
        <f t="shared" si="41"/>
        <v>551850</v>
      </c>
      <c r="AT53">
        <f t="shared" si="42"/>
        <v>-177914</v>
      </c>
      <c r="AU53">
        <f t="shared" si="43"/>
        <v>163563</v>
      </c>
      <c r="AV53">
        <f t="shared" si="44"/>
        <v>-96011</v>
      </c>
      <c r="AW53">
        <f t="shared" si="45"/>
        <v>93962</v>
      </c>
      <c r="AX53">
        <f t="shared" si="46"/>
        <v>-108089</v>
      </c>
      <c r="AY53">
        <f t="shared" si="47"/>
        <v>104451</v>
      </c>
      <c r="AZ53">
        <f t="shared" si="48"/>
        <v>-76133</v>
      </c>
      <c r="BA53">
        <f t="shared" si="49"/>
        <v>76133</v>
      </c>
      <c r="BB53">
        <f t="shared" si="50"/>
        <v>-425939</v>
      </c>
      <c r="BC53">
        <f t="shared" si="51"/>
        <v>358912</v>
      </c>
      <c r="BD53">
        <f t="shared" si="52"/>
        <v>-55243</v>
      </c>
      <c r="BE53">
        <f t="shared" si="53"/>
        <v>50169</v>
      </c>
      <c r="BF53">
        <f t="shared" si="54"/>
        <v>-127827</v>
      </c>
      <c r="BG53">
        <f t="shared" si="55"/>
        <v>110145</v>
      </c>
      <c r="BH53">
        <f t="shared" si="56"/>
        <v>-150417</v>
      </c>
      <c r="BI53">
        <f t="shared" si="57"/>
        <v>146492</v>
      </c>
      <c r="BJ53">
        <f t="shared" si="58"/>
        <v>-114052</v>
      </c>
      <c r="BK53">
        <f t="shared" si="59"/>
        <v>118363</v>
      </c>
      <c r="BL53">
        <f t="shared" si="60"/>
        <v>-120048</v>
      </c>
      <c r="BM53">
        <f t="shared" si="61"/>
        <v>123117</v>
      </c>
      <c r="BN53">
        <f t="shared" si="62"/>
        <v>-213766</v>
      </c>
      <c r="BO53">
        <f t="shared" si="63"/>
        <v>214091</v>
      </c>
      <c r="BP53">
        <f t="shared" si="64"/>
        <v>-91527</v>
      </c>
      <c r="BQ53">
        <f t="shared" si="65"/>
        <v>88258</v>
      </c>
      <c r="BR53">
        <f t="shared" si="66"/>
        <v>-210642</v>
      </c>
      <c r="BS53">
        <f t="shared" si="67"/>
        <v>193008</v>
      </c>
      <c r="BT53">
        <f t="shared" si="68"/>
        <v>-113439</v>
      </c>
      <c r="BU53">
        <f t="shared" si="69"/>
        <v>111301</v>
      </c>
      <c r="BV53">
        <f t="shared" si="70"/>
        <v>-70354</v>
      </c>
      <c r="BW53">
        <f t="shared" si="71"/>
        <v>61841</v>
      </c>
      <c r="BX53">
        <f t="shared" si="72"/>
        <v>-87761</v>
      </c>
      <c r="BY53">
        <f t="shared" si="73"/>
        <v>74714</v>
      </c>
      <c r="BZ53">
        <f t="shared" si="74"/>
        <v>-101706</v>
      </c>
      <c r="CA53">
        <f t="shared" si="75"/>
        <v>95888</v>
      </c>
    </row>
    <row r="54" spans="1:79" ht="18">
      <c r="A54" s="5" t="s">
        <v>93</v>
      </c>
      <c r="B54">
        <v>-3807418</v>
      </c>
      <c r="C54">
        <v>3771400</v>
      </c>
      <c r="D54">
        <f t="shared" si="0"/>
        <v>-4105952</v>
      </c>
      <c r="E54">
        <f t="shared" si="1"/>
        <v>3783584</v>
      </c>
      <c r="F54">
        <f t="shared" si="2"/>
        <v>-86562</v>
      </c>
      <c r="G54">
        <f t="shared" si="3"/>
        <v>89290</v>
      </c>
      <c r="H54">
        <f t="shared" si="4"/>
        <v>-76036</v>
      </c>
      <c r="I54">
        <f t="shared" si="5"/>
        <v>67345</v>
      </c>
      <c r="J54">
        <f t="shared" si="6"/>
        <v>-125640</v>
      </c>
      <c r="K54">
        <f t="shared" si="7"/>
        <v>130441</v>
      </c>
      <c r="L54">
        <f t="shared" si="8"/>
        <v>-134792</v>
      </c>
      <c r="M54">
        <f t="shared" si="9"/>
        <v>135868</v>
      </c>
      <c r="N54">
        <f t="shared" si="10"/>
        <v>-103270</v>
      </c>
      <c r="O54">
        <f t="shared" si="11"/>
        <v>90278</v>
      </c>
      <c r="P54">
        <f t="shared" si="12"/>
        <v>-54387</v>
      </c>
      <c r="Q54">
        <f t="shared" si="13"/>
        <v>55671</v>
      </c>
      <c r="R54">
        <f t="shared" si="14"/>
        <v>-95899</v>
      </c>
      <c r="S54">
        <f t="shared" si="15"/>
        <v>86544</v>
      </c>
      <c r="T54">
        <f t="shared" si="16"/>
        <v>-108578</v>
      </c>
      <c r="U54">
        <f t="shared" si="17"/>
        <v>84797</v>
      </c>
      <c r="V54">
        <f t="shared" si="18"/>
        <v>-85277</v>
      </c>
      <c r="W54">
        <f t="shared" si="19"/>
        <v>83858</v>
      </c>
      <c r="X54">
        <f t="shared" si="20"/>
        <v>-123629</v>
      </c>
      <c r="Y54">
        <f t="shared" si="21"/>
        <v>132157</v>
      </c>
      <c r="Z54">
        <f t="shared" si="22"/>
        <v>-58447</v>
      </c>
      <c r="AA54">
        <f t="shared" si="23"/>
        <v>67676</v>
      </c>
      <c r="AB54">
        <f t="shared" si="24"/>
        <v>-91372</v>
      </c>
      <c r="AC54">
        <f t="shared" si="25"/>
        <v>99053</v>
      </c>
      <c r="AD54">
        <f t="shared" si="26"/>
        <v>-72033</v>
      </c>
      <c r="AE54">
        <f t="shared" si="27"/>
        <v>79616</v>
      </c>
      <c r="AF54">
        <f t="shared" si="28"/>
        <v>-98325</v>
      </c>
      <c r="AG54">
        <f t="shared" si="29"/>
        <v>110055</v>
      </c>
      <c r="AH54">
        <f t="shared" si="30"/>
        <v>-121262</v>
      </c>
      <c r="AI54">
        <f t="shared" si="31"/>
        <v>66230</v>
      </c>
      <c r="AJ54">
        <f t="shared" si="32"/>
        <v>-53257</v>
      </c>
      <c r="AK54">
        <f t="shared" si="33"/>
        <v>45983</v>
      </c>
      <c r="AL54">
        <f t="shared" si="34"/>
        <v>-124953</v>
      </c>
      <c r="AM54">
        <f t="shared" si="35"/>
        <v>132292</v>
      </c>
      <c r="AN54">
        <f t="shared" si="36"/>
        <v>-88653</v>
      </c>
      <c r="AO54">
        <f t="shared" si="37"/>
        <v>75712</v>
      </c>
      <c r="AP54">
        <f t="shared" si="38"/>
        <v>-145539</v>
      </c>
      <c r="AQ54">
        <f t="shared" si="39"/>
        <v>126817</v>
      </c>
      <c r="AR54">
        <f t="shared" si="40"/>
        <v>-417902</v>
      </c>
      <c r="AS54">
        <f t="shared" si="41"/>
        <v>332620</v>
      </c>
      <c r="AT54">
        <f t="shared" si="42"/>
        <v>-124250</v>
      </c>
      <c r="AU54">
        <f t="shared" si="43"/>
        <v>106718</v>
      </c>
      <c r="AV54">
        <f t="shared" si="44"/>
        <v>-66407</v>
      </c>
      <c r="AW54">
        <f t="shared" si="45"/>
        <v>54681</v>
      </c>
      <c r="AX54">
        <f t="shared" si="46"/>
        <v>-85882</v>
      </c>
      <c r="AY54">
        <f t="shared" si="47"/>
        <v>79458</v>
      </c>
      <c r="AZ54">
        <f t="shared" si="48"/>
        <v>-57849</v>
      </c>
      <c r="BA54">
        <f t="shared" si="49"/>
        <v>57849</v>
      </c>
      <c r="BB54">
        <f t="shared" si="50"/>
        <v>-351940</v>
      </c>
      <c r="BC54">
        <f t="shared" si="51"/>
        <v>300427</v>
      </c>
      <c r="BD54">
        <f t="shared" si="52"/>
        <v>-42945</v>
      </c>
      <c r="BE54">
        <f t="shared" si="53"/>
        <v>36788</v>
      </c>
      <c r="BF54">
        <f t="shared" si="54"/>
        <v>-95340</v>
      </c>
      <c r="BG54">
        <f t="shared" si="55"/>
        <v>77651</v>
      </c>
      <c r="BH54">
        <f t="shared" si="56"/>
        <v>-128174</v>
      </c>
      <c r="BI54">
        <f t="shared" si="57"/>
        <v>123836</v>
      </c>
      <c r="BJ54">
        <f t="shared" si="58"/>
        <v>-97464</v>
      </c>
      <c r="BK54">
        <f t="shared" si="59"/>
        <v>105421</v>
      </c>
      <c r="BL54">
        <f t="shared" si="60"/>
        <v>-103685</v>
      </c>
      <c r="BM54">
        <f t="shared" si="61"/>
        <v>113642</v>
      </c>
      <c r="BN54">
        <f t="shared" si="62"/>
        <v>-181584</v>
      </c>
      <c r="BO54">
        <f t="shared" si="63"/>
        <v>193454</v>
      </c>
      <c r="BP54">
        <f t="shared" si="64"/>
        <v>-75248</v>
      </c>
      <c r="BQ54">
        <f t="shared" si="65"/>
        <v>69751</v>
      </c>
      <c r="BR54">
        <f t="shared" si="66"/>
        <v>-177900</v>
      </c>
      <c r="BS54">
        <f t="shared" si="67"/>
        <v>170276</v>
      </c>
      <c r="BT54">
        <f t="shared" si="68"/>
        <v>-75748</v>
      </c>
      <c r="BU54">
        <f t="shared" si="69"/>
        <v>62539</v>
      </c>
      <c r="BV54">
        <f t="shared" si="70"/>
        <v>-53386</v>
      </c>
      <c r="BW54">
        <f t="shared" si="71"/>
        <v>43006</v>
      </c>
      <c r="BX54">
        <f t="shared" si="72"/>
        <v>-53935</v>
      </c>
      <c r="BY54">
        <f t="shared" si="73"/>
        <v>42238</v>
      </c>
      <c r="BZ54">
        <f t="shared" si="74"/>
        <v>-64971</v>
      </c>
      <c r="CA54">
        <f t="shared" si="75"/>
        <v>53546</v>
      </c>
    </row>
    <row r="55" spans="1:79" ht="18">
      <c r="A55" s="5" t="s">
        <v>94</v>
      </c>
      <c r="B55">
        <v>-2947899</v>
      </c>
      <c r="C55">
        <v>2995570</v>
      </c>
      <c r="D55">
        <f t="shared" si="0"/>
        <v>-3233093</v>
      </c>
      <c r="E55">
        <f t="shared" si="1"/>
        <v>3074491</v>
      </c>
      <c r="F55">
        <f t="shared" si="2"/>
        <v>-66047</v>
      </c>
      <c r="G55">
        <f t="shared" si="3"/>
        <v>68647</v>
      </c>
      <c r="H55">
        <f t="shared" si="4"/>
        <v>-56748</v>
      </c>
      <c r="I55">
        <f t="shared" si="5"/>
        <v>59734</v>
      </c>
      <c r="J55">
        <f t="shared" si="6"/>
        <v>-96021</v>
      </c>
      <c r="K55">
        <f t="shared" si="7"/>
        <v>94389</v>
      </c>
      <c r="L55">
        <f t="shared" si="8"/>
        <v>-105401</v>
      </c>
      <c r="M55">
        <f t="shared" si="9"/>
        <v>95878</v>
      </c>
      <c r="N55">
        <f t="shared" si="10"/>
        <v>-89342</v>
      </c>
      <c r="O55">
        <f t="shared" si="11"/>
        <v>83531</v>
      </c>
      <c r="P55">
        <f t="shared" si="12"/>
        <v>-43741</v>
      </c>
      <c r="Q55">
        <f t="shared" si="13"/>
        <v>38799</v>
      </c>
      <c r="R55">
        <f t="shared" si="14"/>
        <v>-73977</v>
      </c>
      <c r="S55">
        <f t="shared" si="15"/>
        <v>75599</v>
      </c>
      <c r="T55">
        <f t="shared" si="16"/>
        <v>-98736</v>
      </c>
      <c r="U55">
        <f t="shared" si="17"/>
        <v>87266</v>
      </c>
      <c r="V55">
        <f t="shared" si="18"/>
        <v>-65584</v>
      </c>
      <c r="W55">
        <f t="shared" si="19"/>
        <v>63626</v>
      </c>
      <c r="X55">
        <f t="shared" si="20"/>
        <v>-92496</v>
      </c>
      <c r="Y55">
        <f t="shared" si="21"/>
        <v>95005</v>
      </c>
      <c r="Z55">
        <f t="shared" si="22"/>
        <v>-46109</v>
      </c>
      <c r="AA55">
        <f t="shared" si="23"/>
        <v>48162</v>
      </c>
      <c r="AB55">
        <f t="shared" si="24"/>
        <v>-65990</v>
      </c>
      <c r="AC55">
        <f t="shared" si="25"/>
        <v>71708</v>
      </c>
      <c r="AD55">
        <f t="shared" si="26"/>
        <v>-58322</v>
      </c>
      <c r="AE55">
        <f t="shared" si="27"/>
        <v>54939</v>
      </c>
      <c r="AF55">
        <f t="shared" si="28"/>
        <v>-76391</v>
      </c>
      <c r="AG55">
        <f t="shared" si="29"/>
        <v>82636</v>
      </c>
      <c r="AH55">
        <f t="shared" si="30"/>
        <v>-62545</v>
      </c>
      <c r="AI55">
        <f t="shared" si="31"/>
        <v>38666</v>
      </c>
      <c r="AJ55">
        <f t="shared" si="32"/>
        <v>-41639</v>
      </c>
      <c r="AK55">
        <f t="shared" si="33"/>
        <v>39465</v>
      </c>
      <c r="AL55">
        <f t="shared" si="34"/>
        <v>-97194</v>
      </c>
      <c r="AM55">
        <f t="shared" si="35"/>
        <v>95830</v>
      </c>
      <c r="AN55">
        <f t="shared" si="36"/>
        <v>-94036</v>
      </c>
      <c r="AO55">
        <f t="shared" si="37"/>
        <v>82142</v>
      </c>
      <c r="AP55">
        <f t="shared" si="38"/>
        <v>-109636</v>
      </c>
      <c r="AQ55">
        <f t="shared" si="39"/>
        <v>104643</v>
      </c>
      <c r="AR55">
        <f t="shared" si="40"/>
        <v>-390072</v>
      </c>
      <c r="AS55">
        <f t="shared" si="41"/>
        <v>341472</v>
      </c>
      <c r="AT55">
        <f t="shared" si="42"/>
        <v>-111981</v>
      </c>
      <c r="AU55">
        <f t="shared" si="43"/>
        <v>101363</v>
      </c>
      <c r="AV55">
        <f t="shared" si="44"/>
        <v>-60550</v>
      </c>
      <c r="AW55">
        <f t="shared" si="45"/>
        <v>58969</v>
      </c>
      <c r="AX55">
        <f t="shared" si="46"/>
        <v>-66505</v>
      </c>
      <c r="AY55">
        <f t="shared" si="47"/>
        <v>62200</v>
      </c>
      <c r="AZ55">
        <f t="shared" si="48"/>
        <v>-46492</v>
      </c>
      <c r="BA55">
        <f t="shared" si="49"/>
        <v>46492</v>
      </c>
      <c r="BB55">
        <f t="shared" si="50"/>
        <v>-209085</v>
      </c>
      <c r="BC55">
        <f t="shared" si="51"/>
        <v>201048</v>
      </c>
      <c r="BD55">
        <f t="shared" si="52"/>
        <v>-31670</v>
      </c>
      <c r="BE55">
        <f t="shared" si="53"/>
        <v>29629</v>
      </c>
      <c r="BF55">
        <f t="shared" si="54"/>
        <v>-74705</v>
      </c>
      <c r="BG55">
        <f t="shared" si="55"/>
        <v>65258</v>
      </c>
      <c r="BH55">
        <f t="shared" si="56"/>
        <v>-84739</v>
      </c>
      <c r="BI55">
        <f t="shared" si="57"/>
        <v>91759</v>
      </c>
      <c r="BJ55">
        <f t="shared" si="58"/>
        <v>-75802</v>
      </c>
      <c r="BK55">
        <f t="shared" si="59"/>
        <v>79073</v>
      </c>
      <c r="BL55">
        <f t="shared" si="60"/>
        <v>-82885</v>
      </c>
      <c r="BM55">
        <f t="shared" si="61"/>
        <v>81809</v>
      </c>
      <c r="BN55">
        <f t="shared" si="62"/>
        <v>-137562</v>
      </c>
      <c r="BO55">
        <f t="shared" si="63"/>
        <v>140699</v>
      </c>
      <c r="BP55">
        <f t="shared" si="64"/>
        <v>-50715</v>
      </c>
      <c r="BQ55">
        <f t="shared" si="65"/>
        <v>55811</v>
      </c>
      <c r="BR55">
        <f t="shared" si="66"/>
        <v>-134391</v>
      </c>
      <c r="BS55">
        <f t="shared" si="67"/>
        <v>120712</v>
      </c>
      <c r="BT55">
        <f t="shared" si="68"/>
        <v>-73474</v>
      </c>
      <c r="BU55">
        <f t="shared" si="69"/>
        <v>72687</v>
      </c>
      <c r="BV55">
        <f t="shared" si="70"/>
        <v>-39936</v>
      </c>
      <c r="BW55">
        <f t="shared" si="71"/>
        <v>35351</v>
      </c>
      <c r="BX55">
        <f t="shared" si="72"/>
        <v>-55692</v>
      </c>
      <c r="BY55">
        <f t="shared" si="73"/>
        <v>47555</v>
      </c>
      <c r="BZ55">
        <f t="shared" si="74"/>
        <v>-65457</v>
      </c>
      <c r="CA55">
        <f t="shared" si="75"/>
        <v>61939</v>
      </c>
    </row>
    <row r="56" spans="1:79" ht="18">
      <c r="A56" s="5" t="s">
        <v>95</v>
      </c>
      <c r="B56">
        <v>-2330368</v>
      </c>
      <c r="C56">
        <v>2426334</v>
      </c>
      <c r="D56">
        <f t="shared" si="0"/>
        <v>-2454746</v>
      </c>
      <c r="E56">
        <f t="shared" si="1"/>
        <v>2457793</v>
      </c>
      <c r="F56">
        <f t="shared" si="2"/>
        <v>-60055</v>
      </c>
      <c r="G56">
        <f t="shared" si="3"/>
        <v>66458</v>
      </c>
      <c r="H56">
        <f t="shared" si="4"/>
        <v>-48899</v>
      </c>
      <c r="I56">
        <f t="shared" si="5"/>
        <v>45221</v>
      </c>
      <c r="J56">
        <f t="shared" si="6"/>
        <v>-77876</v>
      </c>
      <c r="K56">
        <f t="shared" si="7"/>
        <v>82954</v>
      </c>
      <c r="L56">
        <f t="shared" si="8"/>
        <v>-89482</v>
      </c>
      <c r="M56">
        <f t="shared" si="9"/>
        <v>95605</v>
      </c>
      <c r="N56">
        <f t="shared" si="10"/>
        <v>-57851</v>
      </c>
      <c r="O56">
        <f t="shared" si="11"/>
        <v>51340</v>
      </c>
      <c r="P56">
        <f t="shared" si="12"/>
        <v>-31487</v>
      </c>
      <c r="Q56">
        <f t="shared" si="13"/>
        <v>34675</v>
      </c>
      <c r="R56">
        <f t="shared" si="14"/>
        <v>-53904</v>
      </c>
      <c r="S56">
        <f t="shared" si="15"/>
        <v>54587</v>
      </c>
      <c r="T56">
        <f t="shared" si="16"/>
        <v>-60103</v>
      </c>
      <c r="U56">
        <f t="shared" si="17"/>
        <v>49291</v>
      </c>
      <c r="V56">
        <f t="shared" si="18"/>
        <v>-48000</v>
      </c>
      <c r="W56">
        <f t="shared" si="19"/>
        <v>48751</v>
      </c>
      <c r="X56">
        <f t="shared" si="20"/>
        <v>-82655</v>
      </c>
      <c r="Y56">
        <f t="shared" si="21"/>
        <v>96062</v>
      </c>
      <c r="Z56">
        <f t="shared" si="22"/>
        <v>-36235</v>
      </c>
      <c r="AA56">
        <f t="shared" si="23"/>
        <v>42488</v>
      </c>
      <c r="AB56">
        <f t="shared" si="24"/>
        <v>-65097</v>
      </c>
      <c r="AC56">
        <f t="shared" si="25"/>
        <v>74956</v>
      </c>
      <c r="AD56">
        <f t="shared" si="26"/>
        <v>-44278</v>
      </c>
      <c r="AE56">
        <f t="shared" si="27"/>
        <v>57642</v>
      </c>
      <c r="AF56">
        <f t="shared" si="28"/>
        <v>-69909</v>
      </c>
      <c r="AG56">
        <f t="shared" si="29"/>
        <v>79464</v>
      </c>
      <c r="AH56">
        <f t="shared" si="30"/>
        <v>-53076</v>
      </c>
      <c r="AI56">
        <f t="shared" si="31"/>
        <v>33081</v>
      </c>
      <c r="AJ56">
        <f t="shared" si="32"/>
        <v>-30353</v>
      </c>
      <c r="AK56">
        <f t="shared" si="33"/>
        <v>28526</v>
      </c>
      <c r="AL56">
        <f t="shared" si="34"/>
        <v>-83548</v>
      </c>
      <c r="AM56">
        <f t="shared" si="35"/>
        <v>93207</v>
      </c>
      <c r="AN56">
        <f t="shared" si="36"/>
        <v>-44362</v>
      </c>
      <c r="AO56">
        <f t="shared" si="37"/>
        <v>41509</v>
      </c>
      <c r="AP56">
        <f t="shared" si="38"/>
        <v>-89037</v>
      </c>
      <c r="AQ56">
        <f t="shared" si="39"/>
        <v>81710</v>
      </c>
      <c r="AR56">
        <f t="shared" si="40"/>
        <v>-240480</v>
      </c>
      <c r="AS56">
        <f t="shared" si="41"/>
        <v>189342</v>
      </c>
      <c r="AT56">
        <f t="shared" si="42"/>
        <v>-64741</v>
      </c>
      <c r="AU56">
        <f t="shared" si="43"/>
        <v>60327</v>
      </c>
      <c r="AV56">
        <f t="shared" si="44"/>
        <v>-43425</v>
      </c>
      <c r="AW56">
        <f t="shared" si="45"/>
        <v>34810</v>
      </c>
      <c r="AX56">
        <f t="shared" si="46"/>
        <v>-44898</v>
      </c>
      <c r="AY56">
        <f t="shared" si="47"/>
        <v>49353</v>
      </c>
      <c r="AZ56">
        <f t="shared" si="48"/>
        <v>-39773</v>
      </c>
      <c r="BA56">
        <f t="shared" si="49"/>
        <v>39773</v>
      </c>
      <c r="BB56">
        <f t="shared" si="50"/>
        <v>-209088</v>
      </c>
      <c r="BC56">
        <f t="shared" si="51"/>
        <v>199279</v>
      </c>
      <c r="BD56">
        <f t="shared" si="52"/>
        <v>-22831</v>
      </c>
      <c r="BE56">
        <f t="shared" si="53"/>
        <v>22587</v>
      </c>
      <c r="BF56">
        <f t="shared" si="54"/>
        <v>-51481</v>
      </c>
      <c r="BG56">
        <f t="shared" si="55"/>
        <v>46960</v>
      </c>
      <c r="BH56">
        <f t="shared" si="56"/>
        <v>-78853</v>
      </c>
      <c r="BI56">
        <f t="shared" si="57"/>
        <v>90501</v>
      </c>
      <c r="BJ56">
        <f t="shared" si="58"/>
        <v>-57895</v>
      </c>
      <c r="BK56">
        <f t="shared" si="59"/>
        <v>70074</v>
      </c>
      <c r="BL56">
        <f t="shared" si="60"/>
        <v>-63976</v>
      </c>
      <c r="BM56">
        <f t="shared" si="61"/>
        <v>81403</v>
      </c>
      <c r="BN56">
        <f t="shared" si="62"/>
        <v>-112465</v>
      </c>
      <c r="BO56">
        <f t="shared" si="63"/>
        <v>138481</v>
      </c>
      <c r="BP56">
        <f t="shared" si="64"/>
        <v>-46064</v>
      </c>
      <c r="BQ56">
        <f t="shared" si="65"/>
        <v>47690</v>
      </c>
      <c r="BR56">
        <f t="shared" si="66"/>
        <v>-103129</v>
      </c>
      <c r="BS56">
        <f t="shared" si="67"/>
        <v>106839</v>
      </c>
      <c r="BT56">
        <f t="shared" si="68"/>
        <v>-52492</v>
      </c>
      <c r="BU56">
        <f t="shared" si="69"/>
        <v>40278</v>
      </c>
      <c r="BV56">
        <f t="shared" si="70"/>
        <v>-29259</v>
      </c>
      <c r="BW56">
        <f t="shared" si="71"/>
        <v>26151</v>
      </c>
      <c r="BX56">
        <f t="shared" si="72"/>
        <v>-30252</v>
      </c>
      <c r="BY56">
        <f t="shared" si="73"/>
        <v>24233</v>
      </c>
      <c r="BZ56">
        <f t="shared" si="74"/>
        <v>-42389</v>
      </c>
      <c r="CA56">
        <f t="shared" si="75"/>
        <v>32185</v>
      </c>
    </row>
    <row r="57" spans="1:79" ht="18">
      <c r="A57" s="5" t="s">
        <v>96</v>
      </c>
      <c r="B57">
        <v>-1764536</v>
      </c>
      <c r="C57">
        <v>1892087</v>
      </c>
      <c r="D57">
        <f t="shared" si="0"/>
        <v>-1850354</v>
      </c>
      <c r="E57">
        <f t="shared" si="1"/>
        <v>1951626</v>
      </c>
      <c r="F57">
        <f t="shared" si="2"/>
        <v>-38619</v>
      </c>
      <c r="G57">
        <f t="shared" si="3"/>
        <v>45452</v>
      </c>
      <c r="H57">
        <f t="shared" si="4"/>
        <v>-32936</v>
      </c>
      <c r="I57">
        <f t="shared" si="5"/>
        <v>39961</v>
      </c>
      <c r="J57">
        <f t="shared" si="6"/>
        <v>-61936</v>
      </c>
      <c r="K57">
        <f t="shared" si="7"/>
        <v>63215</v>
      </c>
      <c r="L57">
        <f t="shared" si="8"/>
        <v>-63031</v>
      </c>
      <c r="M57">
        <f t="shared" si="9"/>
        <v>59135</v>
      </c>
      <c r="N57">
        <f t="shared" si="10"/>
        <v>-50345</v>
      </c>
      <c r="O57">
        <f t="shared" si="11"/>
        <v>51485</v>
      </c>
      <c r="P57">
        <f t="shared" si="12"/>
        <v>-25781</v>
      </c>
      <c r="Q57">
        <f t="shared" si="13"/>
        <v>24906</v>
      </c>
      <c r="R57">
        <f t="shared" si="14"/>
        <v>-43804</v>
      </c>
      <c r="S57">
        <f t="shared" si="15"/>
        <v>57410</v>
      </c>
      <c r="T57">
        <f t="shared" si="16"/>
        <v>-60783</v>
      </c>
      <c r="U57">
        <f t="shared" si="17"/>
        <v>56913</v>
      </c>
      <c r="V57">
        <f t="shared" si="18"/>
        <v>-37811</v>
      </c>
      <c r="W57">
        <f t="shared" si="19"/>
        <v>41139</v>
      </c>
      <c r="X57">
        <f t="shared" si="20"/>
        <v>-52325</v>
      </c>
      <c r="Y57">
        <f t="shared" si="21"/>
        <v>59273</v>
      </c>
      <c r="Z57">
        <f t="shared" si="22"/>
        <v>-28541</v>
      </c>
      <c r="AA57">
        <f t="shared" si="23"/>
        <v>33954</v>
      </c>
      <c r="AB57">
        <f t="shared" si="24"/>
        <v>-37391</v>
      </c>
      <c r="AC57">
        <f t="shared" si="25"/>
        <v>45906</v>
      </c>
      <c r="AD57">
        <f t="shared" si="26"/>
        <v>-36026</v>
      </c>
      <c r="AE57">
        <f t="shared" si="27"/>
        <v>38065</v>
      </c>
      <c r="AF57">
        <f t="shared" si="28"/>
        <v>-49306</v>
      </c>
      <c r="AG57">
        <f t="shared" si="29"/>
        <v>57225</v>
      </c>
      <c r="AH57">
        <f t="shared" si="30"/>
        <v>-20135</v>
      </c>
      <c r="AI57">
        <f t="shared" si="31"/>
        <v>18099</v>
      </c>
      <c r="AJ57">
        <f t="shared" si="32"/>
        <v>-23361</v>
      </c>
      <c r="AK57">
        <f t="shared" si="33"/>
        <v>24977</v>
      </c>
      <c r="AL57">
        <f t="shared" si="34"/>
        <v>-57973</v>
      </c>
      <c r="AM57">
        <f t="shared" si="35"/>
        <v>62793</v>
      </c>
      <c r="AN57">
        <f t="shared" si="36"/>
        <v>-55594</v>
      </c>
      <c r="AO57">
        <f t="shared" si="37"/>
        <v>51711</v>
      </c>
      <c r="AP57">
        <f t="shared" si="38"/>
        <v>-58793</v>
      </c>
      <c r="AQ57">
        <f t="shared" si="39"/>
        <v>61439</v>
      </c>
      <c r="AR57">
        <f t="shared" si="40"/>
        <v>-224944</v>
      </c>
      <c r="AS57">
        <f t="shared" si="41"/>
        <v>205702</v>
      </c>
      <c r="AT57">
        <f t="shared" si="42"/>
        <v>-64193</v>
      </c>
      <c r="AU57">
        <f t="shared" si="43"/>
        <v>63210</v>
      </c>
      <c r="AV57">
        <f t="shared" si="44"/>
        <v>-38085</v>
      </c>
      <c r="AW57">
        <f t="shared" si="45"/>
        <v>38285</v>
      </c>
      <c r="AX57">
        <f t="shared" si="46"/>
        <v>-39268</v>
      </c>
      <c r="AY57">
        <f t="shared" si="47"/>
        <v>40417</v>
      </c>
      <c r="AZ57">
        <f t="shared" si="48"/>
        <v>-30625</v>
      </c>
      <c r="BA57">
        <f t="shared" si="49"/>
        <v>30625</v>
      </c>
      <c r="BB57">
        <f t="shared" si="50"/>
        <v>-93689</v>
      </c>
      <c r="BC57">
        <f t="shared" si="51"/>
        <v>108829</v>
      </c>
      <c r="BD57">
        <f t="shared" si="52"/>
        <v>-16394</v>
      </c>
      <c r="BE57">
        <f t="shared" si="53"/>
        <v>18541</v>
      </c>
      <c r="BF57">
        <f t="shared" si="54"/>
        <v>-40449</v>
      </c>
      <c r="BG57">
        <f t="shared" si="55"/>
        <v>39514</v>
      </c>
      <c r="BH57">
        <f t="shared" si="56"/>
        <v>-45323</v>
      </c>
      <c r="BI57">
        <f t="shared" si="57"/>
        <v>62792</v>
      </c>
      <c r="BJ57">
        <f t="shared" si="58"/>
        <v>-45355</v>
      </c>
      <c r="BK57">
        <f t="shared" si="59"/>
        <v>54143</v>
      </c>
      <c r="BL57">
        <f t="shared" si="60"/>
        <v>-48924</v>
      </c>
      <c r="BM57">
        <f t="shared" si="61"/>
        <v>54396</v>
      </c>
      <c r="BN57">
        <f t="shared" si="62"/>
        <v>-80129</v>
      </c>
      <c r="BO57">
        <f t="shared" si="63"/>
        <v>92220</v>
      </c>
      <c r="BP57">
        <f t="shared" si="64"/>
        <v>-27739</v>
      </c>
      <c r="BQ57">
        <f t="shared" si="65"/>
        <v>36727</v>
      </c>
      <c r="BR57">
        <f t="shared" si="66"/>
        <v>-78763</v>
      </c>
      <c r="BS57">
        <f t="shared" si="67"/>
        <v>74634</v>
      </c>
      <c r="BT57">
        <f t="shared" si="68"/>
        <v>-46283</v>
      </c>
      <c r="BU57">
        <f t="shared" si="69"/>
        <v>46792</v>
      </c>
      <c r="BV57">
        <f t="shared" si="70"/>
        <v>-22694</v>
      </c>
      <c r="BW57">
        <f t="shared" si="71"/>
        <v>23108</v>
      </c>
      <c r="BX57">
        <f t="shared" si="72"/>
        <v>-34316</v>
      </c>
      <c r="BY57">
        <f t="shared" si="73"/>
        <v>30059</v>
      </c>
      <c r="BZ57">
        <f t="shared" si="74"/>
        <v>-40549</v>
      </c>
      <c r="CA57">
        <f t="shared" si="75"/>
        <v>38574</v>
      </c>
    </row>
    <row r="58" spans="1:79" ht="18">
      <c r="A58" s="5" t="s">
        <v>97</v>
      </c>
      <c r="B58">
        <v>-1232451</v>
      </c>
      <c r="C58">
        <v>1369452</v>
      </c>
      <c r="D58">
        <f t="shared" si="0"/>
        <v>-1335394</v>
      </c>
      <c r="E58">
        <f t="shared" si="1"/>
        <v>1467403</v>
      </c>
      <c r="F58">
        <f t="shared" si="2"/>
        <v>-36743</v>
      </c>
      <c r="G58">
        <f t="shared" si="3"/>
        <v>42233</v>
      </c>
      <c r="H58">
        <f t="shared" si="4"/>
        <v>-28317</v>
      </c>
      <c r="I58">
        <f t="shared" si="5"/>
        <v>29740</v>
      </c>
      <c r="J58">
        <f t="shared" si="6"/>
        <v>-46240</v>
      </c>
      <c r="K58">
        <f t="shared" si="7"/>
        <v>52546</v>
      </c>
      <c r="L58">
        <f t="shared" si="8"/>
        <v>-53670</v>
      </c>
      <c r="M58">
        <f t="shared" si="9"/>
        <v>56517</v>
      </c>
      <c r="N58">
        <f t="shared" si="10"/>
        <v>-30837</v>
      </c>
      <c r="O58">
        <f t="shared" si="11"/>
        <v>30115</v>
      </c>
      <c r="P58">
        <f t="shared" si="12"/>
        <v>-17586</v>
      </c>
      <c r="Q58">
        <f t="shared" si="13"/>
        <v>19395</v>
      </c>
      <c r="R58">
        <f t="shared" si="14"/>
        <v>-30213</v>
      </c>
      <c r="S58">
        <f t="shared" si="15"/>
        <v>37257</v>
      </c>
      <c r="T58">
        <f t="shared" si="16"/>
        <v>-31453</v>
      </c>
      <c r="U58">
        <f t="shared" si="17"/>
        <v>28951</v>
      </c>
      <c r="V58">
        <f t="shared" si="18"/>
        <v>-28190</v>
      </c>
      <c r="W58">
        <f t="shared" si="19"/>
        <v>31640</v>
      </c>
      <c r="X58">
        <f t="shared" si="20"/>
        <v>-47402</v>
      </c>
      <c r="Y58">
        <f t="shared" si="21"/>
        <v>55830</v>
      </c>
      <c r="Z58">
        <f t="shared" si="22"/>
        <v>-22476</v>
      </c>
      <c r="AA58">
        <f t="shared" si="23"/>
        <v>27586</v>
      </c>
      <c r="AB58">
        <f t="shared" si="24"/>
        <v>-36243</v>
      </c>
      <c r="AC58">
        <f t="shared" si="25"/>
        <v>45164</v>
      </c>
      <c r="AD58">
        <f t="shared" si="26"/>
        <v>-27713</v>
      </c>
      <c r="AE58">
        <f t="shared" si="27"/>
        <v>34165</v>
      </c>
      <c r="AF58">
        <f t="shared" si="28"/>
        <v>-45193</v>
      </c>
      <c r="AG58">
        <f t="shared" si="29"/>
        <v>51551</v>
      </c>
      <c r="AH58">
        <f t="shared" si="30"/>
        <v>-16802</v>
      </c>
      <c r="AI58">
        <f t="shared" si="31"/>
        <v>16523</v>
      </c>
      <c r="AJ58">
        <f t="shared" si="32"/>
        <v>-16672</v>
      </c>
      <c r="AK58">
        <f t="shared" si="33"/>
        <v>17348</v>
      </c>
      <c r="AL58">
        <f t="shared" si="34"/>
        <v>-50281</v>
      </c>
      <c r="AM58">
        <f t="shared" si="35"/>
        <v>61769</v>
      </c>
      <c r="AN58">
        <f t="shared" si="36"/>
        <v>-23145</v>
      </c>
      <c r="AO58">
        <f t="shared" si="37"/>
        <v>23348</v>
      </c>
      <c r="AP58">
        <f t="shared" si="38"/>
        <v>-44237</v>
      </c>
      <c r="AQ58">
        <f t="shared" si="39"/>
        <v>46682</v>
      </c>
      <c r="AR58">
        <f t="shared" si="40"/>
        <v>-117568</v>
      </c>
      <c r="AS58">
        <f t="shared" si="41"/>
        <v>104032</v>
      </c>
      <c r="AT58">
        <f t="shared" si="42"/>
        <v>-32605</v>
      </c>
      <c r="AU58">
        <f t="shared" si="43"/>
        <v>34063</v>
      </c>
      <c r="AV58">
        <f t="shared" si="44"/>
        <v>-22319</v>
      </c>
      <c r="AW58">
        <f t="shared" si="45"/>
        <v>20772</v>
      </c>
      <c r="AX58">
        <f t="shared" si="46"/>
        <v>-27993</v>
      </c>
      <c r="AY58">
        <f t="shared" si="47"/>
        <v>31538</v>
      </c>
      <c r="AZ58">
        <f t="shared" si="48"/>
        <v>-24516</v>
      </c>
      <c r="BA58">
        <f t="shared" si="49"/>
        <v>24516</v>
      </c>
      <c r="BB58">
        <f t="shared" si="50"/>
        <v>-87826</v>
      </c>
      <c r="BC58">
        <f t="shared" si="51"/>
        <v>99362</v>
      </c>
      <c r="BD58">
        <f t="shared" si="52"/>
        <v>-13111</v>
      </c>
      <c r="BE58">
        <f t="shared" si="53"/>
        <v>14892</v>
      </c>
      <c r="BF58">
        <f t="shared" si="54"/>
        <v>-28391</v>
      </c>
      <c r="BG58">
        <f t="shared" si="55"/>
        <v>28141</v>
      </c>
      <c r="BH58">
        <f t="shared" si="56"/>
        <v>-43439</v>
      </c>
      <c r="BI58">
        <f t="shared" si="57"/>
        <v>63495</v>
      </c>
      <c r="BJ58">
        <f t="shared" si="58"/>
        <v>-36672</v>
      </c>
      <c r="BK58">
        <f t="shared" si="59"/>
        <v>41946</v>
      </c>
      <c r="BL58">
        <f t="shared" si="60"/>
        <v>-39919</v>
      </c>
      <c r="BM58">
        <f t="shared" si="61"/>
        <v>47089</v>
      </c>
      <c r="BN58">
        <f t="shared" si="62"/>
        <v>-69038</v>
      </c>
      <c r="BO58">
        <f t="shared" si="63"/>
        <v>84685</v>
      </c>
      <c r="BP58">
        <f t="shared" si="64"/>
        <v>-27067</v>
      </c>
      <c r="BQ58">
        <f t="shared" si="65"/>
        <v>31858</v>
      </c>
      <c r="BR58">
        <f t="shared" si="66"/>
        <v>-55917</v>
      </c>
      <c r="BS58">
        <f t="shared" si="67"/>
        <v>62473</v>
      </c>
      <c r="BT58">
        <f t="shared" si="68"/>
        <v>-25987</v>
      </c>
      <c r="BU58">
        <f t="shared" si="69"/>
        <v>22283</v>
      </c>
      <c r="BV58">
        <f t="shared" si="70"/>
        <v>-16146</v>
      </c>
      <c r="BW58">
        <f t="shared" si="71"/>
        <v>16030</v>
      </c>
      <c r="BX58">
        <f t="shared" si="72"/>
        <v>-15673</v>
      </c>
      <c r="BY58">
        <f t="shared" si="73"/>
        <v>14059</v>
      </c>
      <c r="BZ58">
        <f t="shared" si="74"/>
        <v>-20664</v>
      </c>
      <c r="CA58">
        <f t="shared" si="75"/>
        <v>17809</v>
      </c>
    </row>
    <row r="59" spans="1:79" ht="18">
      <c r="A59" s="5" t="s">
        <v>98</v>
      </c>
      <c r="B59">
        <v>-816324</v>
      </c>
      <c r="C59">
        <v>900588</v>
      </c>
      <c r="D59">
        <f t="shared" si="0"/>
        <v>-965196</v>
      </c>
      <c r="E59">
        <f t="shared" si="1"/>
        <v>1076136</v>
      </c>
      <c r="F59">
        <f t="shared" si="2"/>
        <v>-21766</v>
      </c>
      <c r="G59">
        <f t="shared" si="3"/>
        <v>27155</v>
      </c>
      <c r="H59">
        <f t="shared" si="4"/>
        <v>-20135</v>
      </c>
      <c r="I59">
        <f t="shared" si="5"/>
        <v>26280</v>
      </c>
      <c r="J59">
        <f t="shared" si="6"/>
        <v>-27453</v>
      </c>
      <c r="K59">
        <f t="shared" si="7"/>
        <v>26086</v>
      </c>
      <c r="L59">
        <f t="shared" si="8"/>
        <v>-31439</v>
      </c>
      <c r="M59">
        <f t="shared" si="9"/>
        <v>32959</v>
      </c>
      <c r="N59">
        <f t="shared" si="10"/>
        <v>-29566</v>
      </c>
      <c r="O59">
        <f t="shared" si="11"/>
        <v>28710</v>
      </c>
      <c r="P59">
        <f t="shared" si="12"/>
        <v>-12790</v>
      </c>
      <c r="Q59">
        <f t="shared" si="13"/>
        <v>10835</v>
      </c>
      <c r="R59">
        <f t="shared" si="14"/>
        <v>-23436</v>
      </c>
      <c r="S59">
        <f t="shared" si="15"/>
        <v>29396</v>
      </c>
      <c r="T59">
        <f t="shared" si="16"/>
        <v>-31629</v>
      </c>
      <c r="U59">
        <f t="shared" si="17"/>
        <v>31809</v>
      </c>
      <c r="V59">
        <f t="shared" si="18"/>
        <v>-17153</v>
      </c>
      <c r="W59">
        <f t="shared" si="19"/>
        <v>18689</v>
      </c>
      <c r="X59">
        <f t="shared" si="20"/>
        <v>-27695</v>
      </c>
      <c r="Y59">
        <f t="shared" si="21"/>
        <v>35088</v>
      </c>
      <c r="Z59">
        <f t="shared" si="22"/>
        <v>-13855</v>
      </c>
      <c r="AA59">
        <f t="shared" si="23"/>
        <v>15951</v>
      </c>
      <c r="AB59">
        <f t="shared" si="24"/>
        <v>-20266</v>
      </c>
      <c r="AC59">
        <f t="shared" si="25"/>
        <v>27536</v>
      </c>
      <c r="AD59">
        <f t="shared" si="26"/>
        <v>-18326</v>
      </c>
      <c r="AE59">
        <f t="shared" si="27"/>
        <v>16611</v>
      </c>
      <c r="AF59">
        <f t="shared" si="28"/>
        <v>-27101</v>
      </c>
      <c r="AG59">
        <f t="shared" si="29"/>
        <v>29694</v>
      </c>
      <c r="AH59">
        <f t="shared" si="30"/>
        <v>-7187</v>
      </c>
      <c r="AI59">
        <f t="shared" si="31"/>
        <v>10377</v>
      </c>
      <c r="AJ59">
        <f t="shared" si="32"/>
        <v>-13286</v>
      </c>
      <c r="AK59">
        <f t="shared" si="33"/>
        <v>14741</v>
      </c>
      <c r="AL59">
        <f t="shared" si="34"/>
        <v>-31470</v>
      </c>
      <c r="AM59">
        <f t="shared" si="35"/>
        <v>35109</v>
      </c>
      <c r="AN59">
        <f t="shared" si="36"/>
        <v>-35036</v>
      </c>
      <c r="AO59">
        <f t="shared" si="37"/>
        <v>31052</v>
      </c>
      <c r="AP59">
        <f t="shared" si="38"/>
        <v>-32223</v>
      </c>
      <c r="AQ59">
        <f t="shared" si="39"/>
        <v>38943</v>
      </c>
      <c r="AR59">
        <f t="shared" si="40"/>
        <v>-131960</v>
      </c>
      <c r="AS59">
        <f t="shared" si="41"/>
        <v>134946</v>
      </c>
      <c r="AT59">
        <f t="shared" si="42"/>
        <v>-36191</v>
      </c>
      <c r="AU59">
        <f t="shared" si="43"/>
        <v>36547</v>
      </c>
      <c r="AV59">
        <f t="shared" si="44"/>
        <v>-19369</v>
      </c>
      <c r="AW59">
        <f t="shared" si="45"/>
        <v>22484</v>
      </c>
      <c r="AX59">
        <f t="shared" si="46"/>
        <v>-18024</v>
      </c>
      <c r="AY59">
        <f t="shared" si="47"/>
        <v>19401</v>
      </c>
      <c r="AZ59">
        <f t="shared" si="48"/>
        <v>-16093</v>
      </c>
      <c r="BA59">
        <f t="shared" si="49"/>
        <v>16093</v>
      </c>
      <c r="BB59">
        <f t="shared" si="50"/>
        <v>-34712</v>
      </c>
      <c r="BC59">
        <f t="shared" si="51"/>
        <v>52776</v>
      </c>
      <c r="BD59">
        <f t="shared" si="52"/>
        <v>-9268</v>
      </c>
      <c r="BE59">
        <f t="shared" si="53"/>
        <v>10278</v>
      </c>
      <c r="BF59">
        <f t="shared" si="54"/>
        <v>-22121</v>
      </c>
      <c r="BG59">
        <f t="shared" si="55"/>
        <v>20722</v>
      </c>
      <c r="BH59">
        <f t="shared" si="56"/>
        <v>-23049</v>
      </c>
      <c r="BI59">
        <f t="shared" si="57"/>
        <v>38503</v>
      </c>
      <c r="BJ59">
        <f t="shared" si="58"/>
        <v>-23448</v>
      </c>
      <c r="BK59">
        <f t="shared" si="59"/>
        <v>25423</v>
      </c>
      <c r="BL59">
        <f t="shared" si="60"/>
        <v>-23821</v>
      </c>
      <c r="BM59">
        <f t="shared" si="61"/>
        <v>27146</v>
      </c>
      <c r="BN59">
        <f t="shared" si="62"/>
        <v>-39256</v>
      </c>
      <c r="BO59">
        <f t="shared" si="63"/>
        <v>47448</v>
      </c>
      <c r="BP59">
        <f t="shared" si="64"/>
        <v>-16983</v>
      </c>
      <c r="BQ59">
        <f t="shared" si="65"/>
        <v>24243</v>
      </c>
      <c r="BR59">
        <f t="shared" si="66"/>
        <v>-35126</v>
      </c>
      <c r="BS59">
        <f t="shared" si="67"/>
        <v>32025</v>
      </c>
      <c r="BT59">
        <f t="shared" si="68"/>
        <v>-23587</v>
      </c>
      <c r="BU59">
        <f t="shared" si="69"/>
        <v>27004</v>
      </c>
      <c r="BV59">
        <f t="shared" si="70"/>
        <v>-12218</v>
      </c>
      <c r="BW59">
        <f t="shared" si="71"/>
        <v>12739</v>
      </c>
      <c r="BX59">
        <f t="shared" si="72"/>
        <v>-19147</v>
      </c>
      <c r="BY59">
        <f t="shared" si="73"/>
        <v>18274</v>
      </c>
      <c r="BZ59">
        <f t="shared" si="74"/>
        <v>-21450</v>
      </c>
      <c r="CA59">
        <f t="shared" si="75"/>
        <v>23063</v>
      </c>
    </row>
    <row r="60" spans="1:79" ht="18">
      <c r="A60" s="5" t="s">
        <v>99</v>
      </c>
      <c r="B60">
        <v>-426433</v>
      </c>
      <c r="C60">
        <v>480358</v>
      </c>
      <c r="D60">
        <f t="shared" si="0"/>
        <v>-561382</v>
      </c>
      <c r="E60">
        <f t="shared" si="1"/>
        <v>635625</v>
      </c>
      <c r="F60">
        <f t="shared" si="2"/>
        <v>-16548</v>
      </c>
      <c r="G60">
        <f t="shared" si="3"/>
        <v>18965</v>
      </c>
      <c r="H60">
        <f t="shared" si="4"/>
        <v>-13404</v>
      </c>
      <c r="I60">
        <f t="shared" si="5"/>
        <v>14250</v>
      </c>
      <c r="J60">
        <f t="shared" si="6"/>
        <v>-16233</v>
      </c>
      <c r="K60">
        <f t="shared" si="7"/>
        <v>15922</v>
      </c>
      <c r="L60">
        <f t="shared" si="8"/>
        <v>-22388</v>
      </c>
      <c r="M60">
        <f t="shared" si="9"/>
        <v>25634</v>
      </c>
      <c r="N60">
        <f t="shared" si="10"/>
        <v>-15850</v>
      </c>
      <c r="O60">
        <f t="shared" si="11"/>
        <v>15170</v>
      </c>
      <c r="P60">
        <f t="shared" si="12"/>
        <v>-7288</v>
      </c>
      <c r="Q60">
        <f t="shared" si="13"/>
        <v>7773</v>
      </c>
      <c r="R60">
        <f t="shared" si="14"/>
        <v>-16003</v>
      </c>
      <c r="S60">
        <f t="shared" si="15"/>
        <v>17770</v>
      </c>
      <c r="T60">
        <f t="shared" si="16"/>
        <v>-14056</v>
      </c>
      <c r="U60">
        <f t="shared" si="17"/>
        <v>14151</v>
      </c>
      <c r="V60">
        <f t="shared" si="18"/>
        <v>-10955</v>
      </c>
      <c r="W60">
        <f t="shared" si="19"/>
        <v>12559</v>
      </c>
      <c r="X60">
        <f t="shared" si="20"/>
        <v>-21886</v>
      </c>
      <c r="Y60">
        <f t="shared" si="21"/>
        <v>27040</v>
      </c>
      <c r="Z60">
        <f t="shared" si="22"/>
        <v>-10238</v>
      </c>
      <c r="AA60">
        <f t="shared" si="23"/>
        <v>9976</v>
      </c>
      <c r="AB60">
        <f t="shared" si="24"/>
        <v>-15590</v>
      </c>
      <c r="AC60">
        <f t="shared" si="25"/>
        <v>21281</v>
      </c>
      <c r="AD60">
        <f t="shared" si="26"/>
        <v>-9656</v>
      </c>
      <c r="AE60">
        <f t="shared" si="27"/>
        <v>11695</v>
      </c>
      <c r="AF60">
        <f t="shared" si="28"/>
        <v>-16472</v>
      </c>
      <c r="AG60">
        <f t="shared" si="29"/>
        <v>19976</v>
      </c>
      <c r="AH60">
        <f t="shared" si="30"/>
        <v>-5307</v>
      </c>
      <c r="AI60">
        <f t="shared" si="31"/>
        <v>6774</v>
      </c>
      <c r="AJ60">
        <f t="shared" si="32"/>
        <v>-8762</v>
      </c>
      <c r="AK60">
        <f t="shared" si="33"/>
        <v>8088</v>
      </c>
      <c r="AL60">
        <f t="shared" si="34"/>
        <v>-22123</v>
      </c>
      <c r="AM60">
        <f t="shared" si="35"/>
        <v>24762</v>
      </c>
      <c r="AN60">
        <f t="shared" si="36"/>
        <v>-11747</v>
      </c>
      <c r="AO60">
        <f t="shared" si="37"/>
        <v>11479</v>
      </c>
      <c r="AP60">
        <f t="shared" si="38"/>
        <v>-20891</v>
      </c>
      <c r="AQ60">
        <f t="shared" si="39"/>
        <v>23466</v>
      </c>
      <c r="AR60">
        <f t="shared" si="40"/>
        <v>-55088</v>
      </c>
      <c r="AS60">
        <f t="shared" si="41"/>
        <v>53078</v>
      </c>
      <c r="AT60">
        <f t="shared" si="42"/>
        <v>-17490</v>
      </c>
      <c r="AU60">
        <f t="shared" si="43"/>
        <v>17381</v>
      </c>
      <c r="AV60">
        <f t="shared" si="44"/>
        <v>-9548</v>
      </c>
      <c r="AW60">
        <f t="shared" si="45"/>
        <v>9368</v>
      </c>
      <c r="AX60">
        <f t="shared" si="46"/>
        <v>-10938</v>
      </c>
      <c r="AY60">
        <f t="shared" si="47"/>
        <v>11776</v>
      </c>
      <c r="AZ60">
        <f t="shared" si="48"/>
        <v>-10772</v>
      </c>
      <c r="BA60">
        <f t="shared" si="49"/>
        <v>10772</v>
      </c>
      <c r="BB60">
        <f t="shared" si="50"/>
        <v>-24664</v>
      </c>
      <c r="BC60">
        <f t="shared" si="51"/>
        <v>39470</v>
      </c>
      <c r="BD60">
        <f t="shared" si="52"/>
        <v>-5934</v>
      </c>
      <c r="BE60">
        <f t="shared" si="53"/>
        <v>7163</v>
      </c>
      <c r="BF60">
        <f t="shared" si="54"/>
        <v>-12766</v>
      </c>
      <c r="BG60">
        <f t="shared" si="55"/>
        <v>12432</v>
      </c>
      <c r="BH60">
        <f t="shared" si="56"/>
        <v>-16545</v>
      </c>
      <c r="BI60">
        <f t="shared" si="57"/>
        <v>28704</v>
      </c>
      <c r="BJ60">
        <f t="shared" si="58"/>
        <v>-13998</v>
      </c>
      <c r="BK60">
        <f t="shared" si="59"/>
        <v>15966</v>
      </c>
      <c r="BL60">
        <f t="shared" si="60"/>
        <v>-15119</v>
      </c>
      <c r="BM60">
        <f t="shared" si="61"/>
        <v>17095</v>
      </c>
      <c r="BN60">
        <f t="shared" si="62"/>
        <v>-25386</v>
      </c>
      <c r="BO60">
        <f t="shared" si="63"/>
        <v>33108</v>
      </c>
      <c r="BP60">
        <f t="shared" si="64"/>
        <v>-13497</v>
      </c>
      <c r="BQ60">
        <f t="shared" si="65"/>
        <v>15485</v>
      </c>
      <c r="BR60">
        <f t="shared" si="66"/>
        <v>-21231</v>
      </c>
      <c r="BS60">
        <f t="shared" si="67"/>
        <v>23700</v>
      </c>
      <c r="BT60">
        <f t="shared" si="68"/>
        <v>-10916</v>
      </c>
      <c r="BU60">
        <f t="shared" si="69"/>
        <v>10335</v>
      </c>
      <c r="BV60">
        <f t="shared" si="70"/>
        <v>-8038</v>
      </c>
      <c r="BW60">
        <f t="shared" si="71"/>
        <v>7245</v>
      </c>
      <c r="BX60">
        <f t="shared" si="72"/>
        <v>-7372</v>
      </c>
      <c r="BY60">
        <f t="shared" si="73"/>
        <v>6708</v>
      </c>
      <c r="BZ60">
        <f t="shared" si="74"/>
        <v>-9611</v>
      </c>
      <c r="CA60">
        <f t="shared" si="75"/>
        <v>9108</v>
      </c>
    </row>
    <row r="61" spans="1:79" ht="18">
      <c r="A61" s="5" t="s">
        <v>39</v>
      </c>
      <c r="B61">
        <v>-192261</v>
      </c>
      <c r="C61">
        <v>226365</v>
      </c>
      <c r="D61">
        <f t="shared" si="0"/>
        <v>-362424</v>
      </c>
      <c r="E61">
        <f t="shared" si="1"/>
        <v>447580</v>
      </c>
      <c r="F61">
        <f t="shared" si="2"/>
        <v>-8075</v>
      </c>
      <c r="G61">
        <f t="shared" si="3"/>
        <v>11395</v>
      </c>
      <c r="H61">
        <f t="shared" si="4"/>
        <v>-7414</v>
      </c>
      <c r="I61">
        <f t="shared" si="5"/>
        <v>9747</v>
      </c>
      <c r="J61">
        <f t="shared" si="6"/>
        <v>-7696</v>
      </c>
      <c r="K61">
        <f t="shared" si="7"/>
        <v>7475</v>
      </c>
      <c r="L61">
        <f t="shared" si="8"/>
        <v>-11067</v>
      </c>
      <c r="M61">
        <f t="shared" si="9"/>
        <v>12510</v>
      </c>
      <c r="N61">
        <f t="shared" si="10"/>
        <v>-11412</v>
      </c>
      <c r="O61">
        <f t="shared" si="11"/>
        <v>12444</v>
      </c>
      <c r="P61">
        <f t="shared" si="12"/>
        <v>-4308</v>
      </c>
      <c r="Q61">
        <f t="shared" si="13"/>
        <v>4317</v>
      </c>
      <c r="R61">
        <f t="shared" si="14"/>
        <v>-10919</v>
      </c>
      <c r="S61">
        <f t="shared" si="15"/>
        <v>13339</v>
      </c>
      <c r="T61">
        <f t="shared" si="16"/>
        <v>-11139</v>
      </c>
      <c r="U61">
        <f t="shared" si="17"/>
        <v>12468</v>
      </c>
      <c r="V61">
        <f t="shared" si="18"/>
        <v>-6018</v>
      </c>
      <c r="W61">
        <f t="shared" si="19"/>
        <v>6706</v>
      </c>
      <c r="X61">
        <f t="shared" si="20"/>
        <v>-10668</v>
      </c>
      <c r="Y61">
        <f t="shared" si="21"/>
        <v>15782</v>
      </c>
      <c r="Z61">
        <f t="shared" si="22"/>
        <v>-5363</v>
      </c>
      <c r="AA61">
        <f t="shared" si="23"/>
        <v>6145</v>
      </c>
      <c r="AB61">
        <f t="shared" si="24"/>
        <v>-8038</v>
      </c>
      <c r="AC61">
        <f t="shared" si="25"/>
        <v>12905</v>
      </c>
      <c r="AD61">
        <f t="shared" si="26"/>
        <v>-5704</v>
      </c>
      <c r="AE61">
        <f t="shared" si="27"/>
        <v>6995</v>
      </c>
      <c r="AF61">
        <f t="shared" si="28"/>
        <v>-8176</v>
      </c>
      <c r="AG61">
        <f t="shared" si="29"/>
        <v>10275</v>
      </c>
      <c r="AH61">
        <f t="shared" si="30"/>
        <v>-3651</v>
      </c>
      <c r="AI61">
        <f t="shared" si="31"/>
        <v>4986</v>
      </c>
      <c r="AJ61">
        <f t="shared" si="32"/>
        <v>-4907</v>
      </c>
      <c r="AK61">
        <f t="shared" si="33"/>
        <v>5612</v>
      </c>
      <c r="AL61">
        <f t="shared" si="34"/>
        <v>-11055</v>
      </c>
      <c r="AM61">
        <f t="shared" si="35"/>
        <v>12249</v>
      </c>
      <c r="AN61">
        <f t="shared" si="36"/>
        <v>-13355</v>
      </c>
      <c r="AO61">
        <f t="shared" si="37"/>
        <v>13101</v>
      </c>
      <c r="AP61">
        <f t="shared" si="38"/>
        <v>-15840</v>
      </c>
      <c r="AQ61">
        <f t="shared" si="39"/>
        <v>18190</v>
      </c>
      <c r="AR61">
        <f t="shared" si="40"/>
        <v>-53210</v>
      </c>
      <c r="AS61">
        <f t="shared" si="41"/>
        <v>61438</v>
      </c>
      <c r="AT61">
        <f t="shared" si="42"/>
        <v>-14146</v>
      </c>
      <c r="AU61">
        <f t="shared" si="43"/>
        <v>14872</v>
      </c>
      <c r="AV61">
        <f t="shared" si="44"/>
        <v>-6986</v>
      </c>
      <c r="AW61">
        <f t="shared" si="45"/>
        <v>8208</v>
      </c>
      <c r="AX61">
        <f t="shared" si="46"/>
        <v>-7155</v>
      </c>
      <c r="AY61">
        <f t="shared" si="47"/>
        <v>8048</v>
      </c>
      <c r="AZ61">
        <f t="shared" si="48"/>
        <v>-6638</v>
      </c>
      <c r="BA61">
        <f t="shared" si="49"/>
        <v>6638</v>
      </c>
      <c r="BB61">
        <f t="shared" si="50"/>
        <v>-11328</v>
      </c>
      <c r="BC61">
        <f t="shared" si="51"/>
        <v>23164</v>
      </c>
      <c r="BD61">
        <f t="shared" si="52"/>
        <v>-4378</v>
      </c>
      <c r="BE61">
        <f t="shared" si="53"/>
        <v>4666</v>
      </c>
      <c r="BF61">
        <f t="shared" si="54"/>
        <v>-10235</v>
      </c>
      <c r="BG61">
        <f t="shared" si="55"/>
        <v>9960</v>
      </c>
      <c r="BH61">
        <f t="shared" si="56"/>
        <v>-7661</v>
      </c>
      <c r="BI61">
        <f t="shared" si="57"/>
        <v>16542</v>
      </c>
      <c r="BJ61">
        <f t="shared" si="58"/>
        <v>-7760</v>
      </c>
      <c r="BK61">
        <f t="shared" si="59"/>
        <v>11660</v>
      </c>
      <c r="BL61">
        <f t="shared" si="60"/>
        <v>-8476</v>
      </c>
      <c r="BM61">
        <f t="shared" si="61"/>
        <v>10344</v>
      </c>
      <c r="BN61">
        <f t="shared" si="62"/>
        <v>-13917</v>
      </c>
      <c r="BO61">
        <f t="shared" si="63"/>
        <v>19712</v>
      </c>
      <c r="BP61">
        <f t="shared" si="64"/>
        <v>-7696</v>
      </c>
      <c r="BQ61">
        <f t="shared" si="65"/>
        <v>10468</v>
      </c>
      <c r="BR61">
        <f t="shared" si="66"/>
        <v>-12583</v>
      </c>
      <c r="BS61">
        <f t="shared" si="67"/>
        <v>13992</v>
      </c>
      <c r="BT61">
        <f t="shared" si="68"/>
        <v>-8035</v>
      </c>
      <c r="BU61">
        <f t="shared" si="69"/>
        <v>10241</v>
      </c>
      <c r="BV61">
        <f t="shared" si="70"/>
        <v>-4934</v>
      </c>
      <c r="BW61">
        <f t="shared" si="71"/>
        <v>5247</v>
      </c>
      <c r="BX61">
        <f t="shared" si="72"/>
        <v>-6098</v>
      </c>
      <c r="BY61">
        <f t="shared" si="73"/>
        <v>6628</v>
      </c>
      <c r="BZ61">
        <f t="shared" si="74"/>
        <v>-7982</v>
      </c>
      <c r="CA61">
        <f t="shared" si="75"/>
        <v>9111</v>
      </c>
    </row>
    <row r="62" spans="1:79" ht="72">
      <c r="A62" s="3" t="s">
        <v>81</v>
      </c>
      <c r="B62" s="3" t="s">
        <v>82</v>
      </c>
      <c r="C62" s="3" t="s">
        <v>83</v>
      </c>
      <c r="D62" s="3" t="s">
        <v>100</v>
      </c>
      <c r="E62" s="3" t="s">
        <v>101</v>
      </c>
      <c r="F62" s="3" t="s">
        <v>102</v>
      </c>
      <c r="G62" s="3" t="s">
        <v>103</v>
      </c>
      <c r="H62" s="3" t="s">
        <v>104</v>
      </c>
      <c r="I62" s="3" t="s">
        <v>105</v>
      </c>
      <c r="J62" s="3" t="s">
        <v>106</v>
      </c>
      <c r="K62" s="3" t="s">
        <v>107</v>
      </c>
      <c r="L62" s="3" t="s">
        <v>108</v>
      </c>
      <c r="M62" s="3" t="s">
        <v>109</v>
      </c>
      <c r="N62" s="3" t="s">
        <v>110</v>
      </c>
      <c r="O62" s="3" t="s">
        <v>111</v>
      </c>
      <c r="P62" s="3" t="s">
        <v>112</v>
      </c>
      <c r="Q62" s="3" t="s">
        <v>113</v>
      </c>
      <c r="R62" s="3" t="s">
        <v>114</v>
      </c>
      <c r="S62" s="3" t="s">
        <v>115</v>
      </c>
      <c r="T62" s="3" t="s">
        <v>116</v>
      </c>
      <c r="U62" s="3" t="s">
        <v>117</v>
      </c>
      <c r="V62" s="3" t="s">
        <v>118</v>
      </c>
      <c r="W62" s="3" t="s">
        <v>119</v>
      </c>
      <c r="X62" s="3" t="s">
        <v>120</v>
      </c>
      <c r="Y62" s="3" t="s">
        <v>121</v>
      </c>
      <c r="Z62" s="3" t="s">
        <v>122</v>
      </c>
      <c r="AA62" s="3" t="s">
        <v>123</v>
      </c>
      <c r="AB62" s="3" t="s">
        <v>124</v>
      </c>
      <c r="AC62" s="3" t="s">
        <v>125</v>
      </c>
      <c r="AD62" s="3" t="s">
        <v>126</v>
      </c>
      <c r="AE62" s="3" t="s">
        <v>127</v>
      </c>
      <c r="AF62" s="3" t="s">
        <v>128</v>
      </c>
      <c r="AG62" s="3" t="s">
        <v>129</v>
      </c>
      <c r="AH62" s="3" t="s">
        <v>130</v>
      </c>
      <c r="AI62" s="3" t="s">
        <v>131</v>
      </c>
      <c r="AJ62" s="3" t="s">
        <v>132</v>
      </c>
      <c r="AK62" s="3" t="s">
        <v>133</v>
      </c>
      <c r="AL62" s="3" t="s">
        <v>134</v>
      </c>
      <c r="AM62" s="3" t="s">
        <v>135</v>
      </c>
      <c r="AN62" s="3" t="s">
        <v>136</v>
      </c>
      <c r="AO62" s="3" t="s">
        <v>137</v>
      </c>
      <c r="AP62" s="3" t="s">
        <v>138</v>
      </c>
      <c r="AQ62" s="3" t="s">
        <v>139</v>
      </c>
      <c r="AR62" s="3" t="s">
        <v>140</v>
      </c>
      <c r="AS62" s="3" t="s">
        <v>141</v>
      </c>
      <c r="AT62" s="3" t="s">
        <v>142</v>
      </c>
      <c r="AU62" s="3" t="s">
        <v>143</v>
      </c>
      <c r="AV62" s="3" t="s">
        <v>144</v>
      </c>
      <c r="AW62" s="3" t="s">
        <v>145</v>
      </c>
      <c r="AX62" s="3" t="s">
        <v>146</v>
      </c>
      <c r="AY62" s="3" t="s">
        <v>147</v>
      </c>
      <c r="AZ62" s="3" t="s">
        <v>148</v>
      </c>
      <c r="BA62" s="3" t="s">
        <v>149</v>
      </c>
      <c r="BB62" s="3" t="s">
        <v>150</v>
      </c>
      <c r="BC62" s="3" t="s">
        <v>151</v>
      </c>
      <c r="BD62" s="3" t="s">
        <v>152</v>
      </c>
      <c r="BE62" s="3" t="s">
        <v>153</v>
      </c>
      <c r="BF62" s="3" t="s">
        <v>154</v>
      </c>
      <c r="BG62" s="3" t="s">
        <v>155</v>
      </c>
      <c r="BH62" s="3" t="s">
        <v>156</v>
      </c>
      <c r="BI62" s="3" t="s">
        <v>157</v>
      </c>
      <c r="BJ62" s="3" t="s">
        <v>158</v>
      </c>
      <c r="BK62" s="3" t="s">
        <v>159</v>
      </c>
      <c r="BL62" s="3" t="s">
        <v>160</v>
      </c>
      <c r="BM62" s="3" t="s">
        <v>161</v>
      </c>
      <c r="BN62" s="3" t="s">
        <v>162</v>
      </c>
      <c r="BO62" s="3" t="s">
        <v>163</v>
      </c>
      <c r="BP62" s="3" t="s">
        <v>164</v>
      </c>
      <c r="BQ62" s="3" t="s">
        <v>165</v>
      </c>
      <c r="BR62" s="3" t="s">
        <v>166</v>
      </c>
      <c r="BS62" s="3" t="s">
        <v>167</v>
      </c>
      <c r="BT62" s="3" t="s">
        <v>168</v>
      </c>
      <c r="BU62" s="3" t="s">
        <v>169</v>
      </c>
      <c r="BV62" s="3" t="s">
        <v>170</v>
      </c>
      <c r="BW62" s="3" t="s">
        <v>171</v>
      </c>
      <c r="BX62" s="3" t="s">
        <v>172</v>
      </c>
      <c r="BY62" s="3" t="s">
        <v>173</v>
      </c>
      <c r="BZ62" s="3" t="s">
        <v>174</v>
      </c>
      <c r="CA62" s="3" t="s">
        <v>175</v>
      </c>
    </row>
    <row r="63" spans="1:79">
      <c r="A63" s="8" t="s">
        <v>84</v>
      </c>
      <c r="B63" s="9">
        <f>B45/$B$1</f>
        <v>-7.9522966520205005E-2</v>
      </c>
      <c r="C63" s="9">
        <f>C45/$B$1</f>
        <v>7.5788150677267921E-2</v>
      </c>
      <c r="D63" s="9">
        <f>D45/$B$1</f>
        <v>-8.1625982998915214E-2</v>
      </c>
      <c r="E63" s="9">
        <f>E45/$B$1</f>
        <v>7.7656755278145584E-2</v>
      </c>
      <c r="F63" s="9">
        <f>F45/$AL$5</f>
        <v>-5.6395797139297293E-2</v>
      </c>
      <c r="G63" s="9">
        <f>G45/$AL$5</f>
        <v>5.4262502716566761E-2</v>
      </c>
      <c r="H63" s="9">
        <f>H45/$AL$6</f>
        <v>-8.9141857149128229E-2</v>
      </c>
      <c r="I63" s="9">
        <f>I45/$AL$6</f>
        <v>8.4783715776671917E-2</v>
      </c>
      <c r="J63" s="9">
        <f>J45/$AL$7</f>
        <v>-6.0995127929790227E-2</v>
      </c>
      <c r="K63" s="9">
        <f>K45/$AL$7</f>
        <v>5.7584466984505533E-2</v>
      </c>
      <c r="L63" s="9">
        <f>L45/$AL$8</f>
        <v>-5.6090300741950525E-2</v>
      </c>
      <c r="M63" s="9">
        <f>M45/$AL$8</f>
        <v>5.3811962840487372E-2</v>
      </c>
      <c r="N63" s="9">
        <f>N45/$AL$9</f>
        <v>-0.10156747234061381</v>
      </c>
      <c r="O63" s="9">
        <f>O45/$AL$9</f>
        <v>9.5558474613512967E-2</v>
      </c>
      <c r="P63" s="9">
        <f>P45/$AL$10</f>
        <v>-6.2273078690222215E-2</v>
      </c>
      <c r="Q63" s="9">
        <f>Q45/$AL$10</f>
        <v>5.928581504893659E-2</v>
      </c>
      <c r="R63" s="9">
        <f>R45/$AL$11</f>
        <v>-9.2744054612542065E-2</v>
      </c>
      <c r="S63" s="9">
        <f>S45/$AL$11</f>
        <v>8.8493958996568825E-2</v>
      </c>
      <c r="T63" s="9">
        <f>T45/$AL$12</f>
        <v>-9.7793143645966515E-2</v>
      </c>
      <c r="U63" s="9">
        <f>U45/$AL$12</f>
        <v>9.050306656929985E-2</v>
      </c>
      <c r="V63" s="9">
        <f>V45/$AL$13</f>
        <v>-6.4540903653494644E-2</v>
      </c>
      <c r="W63" s="9">
        <f>W45/$AL$13</f>
        <v>6.1416302344587843E-2</v>
      </c>
      <c r="X63" s="9">
        <f>X45/$AL$14</f>
        <v>-6.2992323249239923E-2</v>
      </c>
      <c r="Y63" s="9">
        <f>Y45/$AL$14</f>
        <v>6.0411041974176551E-2</v>
      </c>
      <c r="Z63" s="9">
        <f>Z45/$AL$15</f>
        <v>-7.1680679339472961E-2</v>
      </c>
      <c r="AA63" s="9">
        <f>AA45/$AL$15</f>
        <v>6.9688478522412514E-2</v>
      </c>
      <c r="AB63" s="9">
        <f>AB45/$AL$16</f>
        <v>-6.292387783486264E-2</v>
      </c>
      <c r="AC63" s="9">
        <f>AC45/$AL$16</f>
        <v>5.9583844555174396E-2</v>
      </c>
      <c r="AD63" s="9">
        <f>AD45/$AL$17</f>
        <v>-5.6688613230827425E-2</v>
      </c>
      <c r="AE63" s="9">
        <f>AE45/$AL$17</f>
        <v>5.3795950500035321E-2</v>
      </c>
      <c r="AF63" s="9">
        <f>AF45/$AL$18</f>
        <v>-5.7318081484657002E-2</v>
      </c>
      <c r="AG63" s="9">
        <f>AG45/$AL$18</f>
        <v>5.6621253986036728E-2</v>
      </c>
      <c r="AH63" s="9">
        <f>AH45/$AL$19</f>
        <v>-7.5853814067209716E-2</v>
      </c>
      <c r="AI63" s="9">
        <f>AI45/$AL$19</f>
        <v>7.6128492349237714E-2</v>
      </c>
      <c r="AJ63" s="9">
        <f>AJ45/$AL$20</f>
        <v>-9.8604693664893606E-2</v>
      </c>
      <c r="AK63" s="9">
        <f>AK45/$AL$20</f>
        <v>9.1849978407903446E-2</v>
      </c>
      <c r="AL63" s="9">
        <f>AL45/$AL$21</f>
        <v>-5.860304961111501E-2</v>
      </c>
      <c r="AM63" s="9">
        <f>AM45/$AL$21</f>
        <v>5.5744118054765666E-2</v>
      </c>
      <c r="AN63" s="9">
        <f>AN45/$AL$22</f>
        <v>-0.10371760080920932</v>
      </c>
      <c r="AO63" s="9">
        <f>AO45/$AL$22</f>
        <v>9.5209251194309868E-2</v>
      </c>
      <c r="AP63" s="9">
        <f>AP45/$AL$23</f>
        <v>-9.6480071413181503E-2</v>
      </c>
      <c r="AQ63" s="9">
        <f>AQ45/$AL$23</f>
        <v>9.3757089908286628E-2</v>
      </c>
      <c r="AR63" s="9">
        <f>AR45/$AL$24</f>
        <v>-9.8656639335651358E-2</v>
      </c>
      <c r="AS63" s="9">
        <f>AS45/$AL$24</f>
        <v>9.2300470242350025E-2</v>
      </c>
      <c r="AT63" s="9">
        <f>AT45/$AL$25</f>
        <v>-0.10629973782871095</v>
      </c>
      <c r="AU63" s="9">
        <f>AU45/$AL$25</f>
        <v>9.8459566668347723E-2</v>
      </c>
      <c r="AV63" s="9">
        <f>AV45/$AL$26</f>
        <v>-0.10216553736924323</v>
      </c>
      <c r="AW63" s="9">
        <f>AW45/$AL$26</f>
        <v>9.6351735981628536E-2</v>
      </c>
      <c r="AX63" s="9">
        <f>AX45/$AL$27</f>
        <v>-9.3047690957763968E-2</v>
      </c>
      <c r="AY63" s="9">
        <f>AY45/$AL$27</f>
        <v>8.8485305343037973E-2</v>
      </c>
      <c r="AZ63" s="9">
        <f>AZ45/$AL$28</f>
        <v>-8.4003732788904162E-2</v>
      </c>
      <c r="BA63" s="9">
        <f>BA45/$AL$28</f>
        <v>8.4003732788904162E-2</v>
      </c>
      <c r="BB63" s="9">
        <f>BB45/$AL$29</f>
        <v>-6.3047211667612249E-2</v>
      </c>
      <c r="BC63" s="9">
        <f>BC45/$AL$29</f>
        <v>6.2497538601780644E-2</v>
      </c>
      <c r="BD63" s="9">
        <f>BD45/$AL$30</f>
        <v>-9.4971059835745011E-2</v>
      </c>
      <c r="BE63" s="9">
        <f>BE45/$AL$30</f>
        <v>9.2516229956980833E-2</v>
      </c>
      <c r="BF63" s="9">
        <f>BF45/$AL$31</f>
        <v>-9.9185608193454469E-2</v>
      </c>
      <c r="BG63" s="9">
        <f>BG45/$AL$31</f>
        <v>9.6178438294186056E-2</v>
      </c>
      <c r="BH63" s="9">
        <f>BH45/$AL$32</f>
        <v>-6.8880118140331792E-2</v>
      </c>
      <c r="BI63" s="9">
        <f>BI45/$AL$32</f>
        <v>6.8676156954452935E-2</v>
      </c>
      <c r="BJ63" s="9">
        <f>BJ45/$AL$33</f>
        <v>-6.2421671204039707E-2</v>
      </c>
      <c r="BK63" s="9">
        <f>BK45/$AL$33</f>
        <v>6.0271206735811052E-2</v>
      </c>
      <c r="BL63" s="9">
        <f>BL45/$AL$34</f>
        <v>-5.8986195156500457E-2</v>
      </c>
      <c r="BM63" s="9">
        <f>BM45/$AL$34</f>
        <v>5.5841689550483152E-2</v>
      </c>
      <c r="BN63" s="9">
        <f>BN45/$AL$35</f>
        <v>-6.3124912491296356E-2</v>
      </c>
      <c r="BO63" s="9">
        <f>BO45/$AL$35</f>
        <v>6.0781627150707167E-2</v>
      </c>
      <c r="BP63" s="9">
        <f>BP45/$AL$36</f>
        <v>-8.4537372960985901E-2</v>
      </c>
      <c r="BQ63" s="9">
        <f>BQ45/$AL$36</f>
        <v>8.3494306114605885E-2</v>
      </c>
      <c r="BR63" s="9">
        <f>BR45/$AL$37</f>
        <v>-5.9579023112929189E-2</v>
      </c>
      <c r="BS63" s="9">
        <f>BS45/$AL$37</f>
        <v>5.6041229660939884E-2</v>
      </c>
      <c r="BT63" s="9">
        <f>BT45/$AL$38</f>
        <v>-0.1028736078040552</v>
      </c>
      <c r="BU63" s="9">
        <f>BU45/$AL$38</f>
        <v>9.6179728791576907E-2</v>
      </c>
      <c r="BV63" s="9">
        <f>BV45/$AL$39</f>
        <v>-9.4146961286432351E-2</v>
      </c>
      <c r="BW63" s="9">
        <f>BW45/$AL$39</f>
        <v>8.8723694019011312E-2</v>
      </c>
      <c r="BX63" s="9">
        <f>BX45/$AL$40</f>
        <v>-9.7354290049962114E-2</v>
      </c>
      <c r="BY63" s="9">
        <f>BY45/$AL$40</f>
        <v>8.9416220750664105E-2</v>
      </c>
      <c r="BZ63" s="9">
        <f>BZ45/$AL$41</f>
        <v>-0.10277500323423124</v>
      </c>
      <c r="CA63" s="9">
        <f>CA45/$AL$41</f>
        <v>9.691004502969254E-2</v>
      </c>
    </row>
    <row r="64" spans="1:79">
      <c r="A64" s="8" t="s">
        <v>85</v>
      </c>
      <c r="B64" s="9">
        <f t="shared" ref="B64:E79" si="76">B46/$B$1</f>
        <v>-6.9959576032273277E-2</v>
      </c>
      <c r="C64" s="9">
        <f t="shared" si="76"/>
        <v>6.6931606454014678E-2</v>
      </c>
      <c r="D64" s="9">
        <f t="shared" si="76"/>
        <v>-7.0940752471097213E-2</v>
      </c>
      <c r="E64" s="9">
        <f t="shared" si="76"/>
        <v>6.7506959846257583E-2</v>
      </c>
      <c r="F64" s="9">
        <f t="shared" ref="F64:G79" si="77">F46/$AL$5</f>
        <v>-5.7909856129592929E-2</v>
      </c>
      <c r="G64" s="9">
        <f t="shared" si="77"/>
        <v>5.5650497540975369E-2</v>
      </c>
      <c r="H64" s="9">
        <f t="shared" ref="H64:I79" si="78">H46/$AL$6</f>
        <v>-7.5319582249825379E-2</v>
      </c>
      <c r="I64" s="9">
        <f t="shared" si="78"/>
        <v>7.2914541444421013E-2</v>
      </c>
      <c r="J64" s="9">
        <f t="shared" ref="J64:K79" si="79">J46/$AL$7</f>
        <v>-6.4414437311543504E-2</v>
      </c>
      <c r="K64" s="9">
        <f t="shared" si="79"/>
        <v>6.0401915787526628E-2</v>
      </c>
      <c r="L64" s="9">
        <f t="shared" ref="L64:M79" si="80">L46/$AL$8</f>
        <v>-5.9411627574794706E-2</v>
      </c>
      <c r="M64" s="9">
        <f t="shared" si="80"/>
        <v>5.6310622047222876E-2</v>
      </c>
      <c r="N64" s="9">
        <f t="shared" ref="N64:O79" si="81">N46/$AL$9</f>
        <v>-8.1561744503174383E-2</v>
      </c>
      <c r="O64" s="9">
        <f t="shared" si="81"/>
        <v>7.608382731945279E-2</v>
      </c>
      <c r="P64" s="9">
        <f t="shared" ref="P64:Q79" si="82">P46/$AL$10</f>
        <v>-6.6753383082969561E-2</v>
      </c>
      <c r="Q64" s="9">
        <f t="shared" si="82"/>
        <v>6.2180477851849693E-2</v>
      </c>
      <c r="R64" s="9">
        <f t="shared" ref="R64:S79" si="83">R46/$AL$11</f>
        <v>-7.6694328803383297E-2</v>
      </c>
      <c r="S64" s="9">
        <f t="shared" si="83"/>
        <v>7.4220695423915822E-2</v>
      </c>
      <c r="T64" s="9">
        <f t="shared" ref="T64:U79" si="84">T46/$AL$12</f>
        <v>-8.2629213196922763E-2</v>
      </c>
      <c r="U64" s="9">
        <f t="shared" si="84"/>
        <v>7.4750204397518602E-2</v>
      </c>
      <c r="V64" s="9">
        <f t="shared" ref="V64:W79" si="85">V46/$AL$13</f>
        <v>-6.6645613671646536E-2</v>
      </c>
      <c r="W64" s="9">
        <f t="shared" si="85"/>
        <v>6.2407645774095466E-2</v>
      </c>
      <c r="X64" s="9">
        <f t="shared" ref="X64:Y79" si="86">X46/$AL$14</f>
        <v>-6.2361373887516329E-2</v>
      </c>
      <c r="Y64" s="9">
        <f t="shared" si="86"/>
        <v>5.9566801870918437E-2</v>
      </c>
      <c r="Z64" s="9">
        <f t="shared" ref="Z64:AA79" si="87">Z46/$AL$15</f>
        <v>-6.8302016705255847E-2</v>
      </c>
      <c r="AA64" s="9">
        <f t="shared" si="87"/>
        <v>6.6946394947861865E-2</v>
      </c>
      <c r="AB64" s="9">
        <f t="shared" ref="AB64:AC79" si="88">AB46/$AL$16</f>
        <v>-6.0980362252365659E-2</v>
      </c>
      <c r="AC64" s="9">
        <f t="shared" si="88"/>
        <v>5.8256526756914867E-2</v>
      </c>
      <c r="AD64" s="9">
        <f t="shared" ref="AD64:AE79" si="89">AD46/$AL$17</f>
        <v>-6.2363997001383099E-2</v>
      </c>
      <c r="AE64" s="9">
        <f t="shared" si="89"/>
        <v>5.8959507278937451E-2</v>
      </c>
      <c r="AF64" s="9">
        <f t="shared" ref="AF64:AG79" si="90">AF46/$AL$18</f>
        <v>-5.7670005414736915E-2</v>
      </c>
      <c r="AG64" s="9">
        <f t="shared" si="90"/>
        <v>5.6097670893150778E-2</v>
      </c>
      <c r="AH64" s="9">
        <f t="shared" ref="AH64:AI79" si="91">AH46/$AL$19</f>
        <v>-5.8132721319233457E-2</v>
      </c>
      <c r="AI64" s="9">
        <f t="shared" si="91"/>
        <v>6.1182932633289805E-2</v>
      </c>
      <c r="AJ64" s="9">
        <f t="shared" ref="AJ64:AK79" si="92">AJ46/$AL$20</f>
        <v>-8.1734854949748637E-2</v>
      </c>
      <c r="AK64" s="9">
        <f t="shared" si="92"/>
        <v>7.1041682326463657E-2</v>
      </c>
      <c r="AL64" s="9">
        <f t="shared" ref="AL64:AM79" si="93">AL46/$AL$21</f>
        <v>-6.0448736887625781E-2</v>
      </c>
      <c r="AM64" s="9">
        <f t="shared" si="93"/>
        <v>5.6856685871019642E-2</v>
      </c>
      <c r="AN64" s="9">
        <f t="shared" ref="AN64:AO79" si="94">AN46/$AL$22</f>
        <v>-8.1537632792565817E-2</v>
      </c>
      <c r="AO64" s="9">
        <f t="shared" si="94"/>
        <v>7.7556599902395038E-2</v>
      </c>
      <c r="AP64" s="9">
        <f t="shared" ref="AP64:AQ79" si="95">AP46/$AL$23</f>
        <v>-7.631712869318924E-2</v>
      </c>
      <c r="AQ64" s="9">
        <f t="shared" si="95"/>
        <v>7.4366579672385857E-2</v>
      </c>
      <c r="AR64" s="9">
        <f t="shared" ref="AR64:AS79" si="96">AR46/$AL$24</f>
        <v>-8.1394756000714066E-2</v>
      </c>
      <c r="AS64" s="9">
        <f t="shared" si="96"/>
        <v>7.4287785967368805E-2</v>
      </c>
      <c r="AT64" s="9">
        <f t="shared" ref="AT64:AU79" si="97">AT46/$AL$25</f>
        <v>-8.2381358982875769E-2</v>
      </c>
      <c r="AU64" s="9">
        <f t="shared" si="97"/>
        <v>7.6604050798575282E-2</v>
      </c>
      <c r="AV64" s="9">
        <f t="shared" ref="AV64:AW79" si="98">AV46/$AL$26</f>
        <v>-8.317063794182164E-2</v>
      </c>
      <c r="AW64" s="9">
        <f t="shared" si="98"/>
        <v>8.241173765772733E-2</v>
      </c>
      <c r="AX64" s="9">
        <f t="shared" ref="AX64:AY79" si="99">AX46/$AL$27</f>
        <v>-7.3925863869842484E-2</v>
      </c>
      <c r="AY64" s="9">
        <f t="shared" si="99"/>
        <v>7.0532451303816385E-2</v>
      </c>
      <c r="AZ64" s="9">
        <f t="shared" ref="AZ64:BA79" si="100">AZ46/$AL$28</f>
        <v>-6.941353600652557E-2</v>
      </c>
      <c r="BA64" s="9">
        <f t="shared" si="100"/>
        <v>6.941353600652557E-2</v>
      </c>
      <c r="BB64" s="9">
        <f t="shared" ref="BB64:BC79" si="101">BB46/$AL$29</f>
        <v>-5.1353268340323367E-2</v>
      </c>
      <c r="BC64" s="9">
        <f t="shared" si="101"/>
        <v>5.2356779554285644E-2</v>
      </c>
      <c r="BD64" s="9">
        <f t="shared" ref="BD64:BE79" si="102">BD46/$AL$30</f>
        <v>-7.4833398513883459E-2</v>
      </c>
      <c r="BE64" s="9">
        <f t="shared" si="102"/>
        <v>7.2801720766523276E-2</v>
      </c>
      <c r="BF64" s="9">
        <f t="shared" ref="BF64:BG79" si="103">BF46/$AL$31</f>
        <v>-7.861981745328199E-2</v>
      </c>
      <c r="BG64" s="9">
        <f t="shared" si="103"/>
        <v>7.5753110950940672E-2</v>
      </c>
      <c r="BH64" s="9">
        <f t="shared" ref="BH64:BI79" si="104">BH46/$AL$32</f>
        <v>-6.1438780469264466E-2</v>
      </c>
      <c r="BI64" s="9">
        <f t="shared" si="104"/>
        <v>6.1096112011246907E-2</v>
      </c>
      <c r="BJ64" s="9">
        <f t="shared" ref="BJ64:BK79" si="105">BJ46/$AL$33</f>
        <v>-6.4787610072219226E-2</v>
      </c>
      <c r="BK64" s="9">
        <f t="shared" si="105"/>
        <v>6.1712980824062263E-2</v>
      </c>
      <c r="BL64" s="9">
        <f t="shared" ref="BL64:BM79" si="106">BL46/$AL$34</f>
        <v>-6.3312168391754367E-2</v>
      </c>
      <c r="BM64" s="9">
        <f t="shared" si="106"/>
        <v>5.9550938754209172E-2</v>
      </c>
      <c r="BN64" s="9">
        <f t="shared" ref="BN64:BO79" si="107">BN46/$AL$35</f>
        <v>-6.437299615398509E-2</v>
      </c>
      <c r="BO64" s="9">
        <f t="shared" si="107"/>
        <v>6.2037974704465544E-2</v>
      </c>
      <c r="BP64" s="9">
        <f t="shared" ref="BP64:BQ79" si="108">BP46/$AL$36</f>
        <v>-7.2453151634061436E-2</v>
      </c>
      <c r="BQ64" s="9">
        <f t="shared" si="108"/>
        <v>7.3172817190697806E-2</v>
      </c>
      <c r="BR64" s="9">
        <f t="shared" ref="BR64:BS79" si="109">BR46/$AL$37</f>
        <v>-6.1691572618634179E-2</v>
      </c>
      <c r="BS64" s="9">
        <f t="shared" si="109"/>
        <v>5.7961450945526599E-2</v>
      </c>
      <c r="BT64" s="9">
        <f t="shared" ref="BT64:BU79" si="110">BT46/$AL$38</f>
        <v>-8.1964460835506542E-2</v>
      </c>
      <c r="BU64" s="9">
        <f t="shared" si="110"/>
        <v>7.7900312902192709E-2</v>
      </c>
      <c r="BV64" s="9">
        <f t="shared" ref="BV64:BW79" si="111">BV46/$AL$39</f>
        <v>-7.7311592996954212E-2</v>
      </c>
      <c r="BW64" s="9">
        <f t="shared" si="111"/>
        <v>7.3391688765775051E-2</v>
      </c>
      <c r="BX64" s="9">
        <f t="shared" ref="BX64:BY79" si="112">BX46/$AL$40</f>
        <v>-8.2243249919456043E-2</v>
      </c>
      <c r="BY64" s="9">
        <f t="shared" si="112"/>
        <v>7.6050345634407268E-2</v>
      </c>
      <c r="BZ64" s="9">
        <f t="shared" ref="BZ64:CA79" si="113">BZ46/$AL$41</f>
        <v>-8.3267390039968747E-2</v>
      </c>
      <c r="CA64" s="9">
        <f t="shared" si="113"/>
        <v>8.115019988752975E-2</v>
      </c>
    </row>
    <row r="65" spans="1:79">
      <c r="A65" s="8" t="s">
        <v>86</v>
      </c>
      <c r="B65" s="9">
        <f t="shared" si="76"/>
        <v>-6.0219996810380316E-2</v>
      </c>
      <c r="C65" s="9">
        <f t="shared" si="76"/>
        <v>5.781306037144654E-2</v>
      </c>
      <c r="D65" s="9">
        <f t="shared" si="76"/>
        <v>-6.3317561419055854E-2</v>
      </c>
      <c r="E65" s="9">
        <f t="shared" si="76"/>
        <v>5.9824053805268916E-2</v>
      </c>
      <c r="F65" s="9">
        <f t="shared" si="77"/>
        <v>-6.5123871577480355E-2</v>
      </c>
      <c r="G65" s="9">
        <f t="shared" si="77"/>
        <v>6.4116131650174782E-2</v>
      </c>
      <c r="H65" s="9">
        <f t="shared" si="78"/>
        <v>-6.3186340168844141E-2</v>
      </c>
      <c r="I65" s="9">
        <f t="shared" si="78"/>
        <v>6.2095951893725125E-2</v>
      </c>
      <c r="J65" s="9">
        <f t="shared" si="79"/>
        <v>-6.5608451040318663E-2</v>
      </c>
      <c r="K65" s="9">
        <f t="shared" si="79"/>
        <v>6.2442946794112851E-2</v>
      </c>
      <c r="L65" s="9">
        <f t="shared" si="80"/>
        <v>-6.5469115938865216E-2</v>
      </c>
      <c r="M65" s="9">
        <f t="shared" si="80"/>
        <v>6.3962744812679731E-2</v>
      </c>
      <c r="N65" s="9">
        <f t="shared" si="81"/>
        <v>-6.6069528652191414E-2</v>
      </c>
      <c r="O65" s="9">
        <f t="shared" si="81"/>
        <v>6.0127196256457641E-2</v>
      </c>
      <c r="P65" s="9">
        <f t="shared" si="82"/>
        <v>-6.5955045642362167E-2</v>
      </c>
      <c r="Q65" s="9">
        <f t="shared" si="82"/>
        <v>6.190543365957725E-2</v>
      </c>
      <c r="R65" s="9">
        <f t="shared" si="83"/>
        <v>-6.5732714145385812E-2</v>
      </c>
      <c r="S65" s="9">
        <f t="shared" si="83"/>
        <v>6.3871642090839301E-2</v>
      </c>
      <c r="T65" s="9">
        <f t="shared" si="84"/>
        <v>-6.3968690181883461E-2</v>
      </c>
      <c r="U65" s="9">
        <f t="shared" si="84"/>
        <v>5.5988998925245094E-2</v>
      </c>
      <c r="V65" s="9">
        <f t="shared" si="85"/>
        <v>-6.5769977502769528E-2</v>
      </c>
      <c r="W65" s="9">
        <f t="shared" si="85"/>
        <v>6.241800384764537E-2</v>
      </c>
      <c r="X65" s="9">
        <f t="shared" si="86"/>
        <v>-6.4037670954331077E-2</v>
      </c>
      <c r="Y65" s="9">
        <f t="shared" si="86"/>
        <v>6.2688259537253474E-2</v>
      </c>
      <c r="Z65" s="9">
        <f t="shared" si="87"/>
        <v>-6.604935147041717E-2</v>
      </c>
      <c r="AA65" s="9">
        <f t="shared" si="87"/>
        <v>6.5218010728988612E-2</v>
      </c>
      <c r="AB65" s="9">
        <f t="shared" si="88"/>
        <v>-6.2193181533642762E-2</v>
      </c>
      <c r="AC65" s="9">
        <f t="shared" si="88"/>
        <v>6.0958509652703011E-2</v>
      </c>
      <c r="AD65" s="9">
        <f t="shared" si="89"/>
        <v>-6.8834321859142483E-2</v>
      </c>
      <c r="AE65" s="9">
        <f t="shared" si="89"/>
        <v>6.5657405740665212E-2</v>
      </c>
      <c r="AF65" s="9">
        <f t="shared" si="90"/>
        <v>-6.2828385903385783E-2</v>
      </c>
      <c r="AG65" s="9">
        <f t="shared" si="90"/>
        <v>6.4297906097908683E-2</v>
      </c>
      <c r="AH65" s="9">
        <f t="shared" si="91"/>
        <v>-4.8174806251495686E-2</v>
      </c>
      <c r="AI65" s="9">
        <f t="shared" si="91"/>
        <v>5.6708034567268979E-2</v>
      </c>
      <c r="AJ65" s="9">
        <f t="shared" si="92"/>
        <v>-7.3151664949615988E-2</v>
      </c>
      <c r="AK65" s="9">
        <f t="shared" si="92"/>
        <v>5.8382670905497362E-2</v>
      </c>
      <c r="AL65" s="9">
        <f t="shared" si="93"/>
        <v>-6.5230507215196964E-2</v>
      </c>
      <c r="AM65" s="9">
        <f t="shared" si="93"/>
        <v>6.314597477398487E-2</v>
      </c>
      <c r="AN65" s="9">
        <f t="shared" si="94"/>
        <v>-6.0576207017087623E-2</v>
      </c>
      <c r="AO65" s="9">
        <f t="shared" si="94"/>
        <v>5.7385976969956926E-2</v>
      </c>
      <c r="AP65" s="9">
        <f t="shared" si="95"/>
        <v>-6.3440627802065913E-2</v>
      </c>
      <c r="AQ65" s="9">
        <f t="shared" si="95"/>
        <v>6.0675513616220603E-2</v>
      </c>
      <c r="AR65" s="9">
        <f t="shared" si="96"/>
        <v>-6.9790400179839604E-2</v>
      </c>
      <c r="AS65" s="9">
        <f t="shared" si="96"/>
        <v>5.6338427564238659E-2</v>
      </c>
      <c r="AT65" s="9">
        <f t="shared" si="97"/>
        <v>-6.4127251330420534E-2</v>
      </c>
      <c r="AU65" s="9">
        <f t="shared" si="97"/>
        <v>5.8686072923516686E-2</v>
      </c>
      <c r="AV65" s="9">
        <f t="shared" si="98"/>
        <v>-6.2369498194646503E-2</v>
      </c>
      <c r="AW65" s="9">
        <f t="shared" si="98"/>
        <v>5.9121280823257155E-2</v>
      </c>
      <c r="AX65" s="9">
        <f t="shared" si="99"/>
        <v>-6.3601727119430421E-2</v>
      </c>
      <c r="AY65" s="9">
        <f t="shared" si="99"/>
        <v>6.0785358023323223E-2</v>
      </c>
      <c r="AZ65" s="9">
        <f t="shared" si="100"/>
        <v>-6.0266545752561559E-2</v>
      </c>
      <c r="BA65" s="9">
        <f t="shared" si="100"/>
        <v>6.0266545752561559E-2</v>
      </c>
      <c r="BB65" s="9">
        <f t="shared" si="101"/>
        <v>-4.7828142857738107E-2</v>
      </c>
      <c r="BC65" s="9">
        <f t="shared" si="101"/>
        <v>5.3117948052098171E-2</v>
      </c>
      <c r="BD65" s="9">
        <f t="shared" si="102"/>
        <v>-6.2503324208056321E-2</v>
      </c>
      <c r="BE65" s="9">
        <f t="shared" si="102"/>
        <v>6.0456394211967149E-2</v>
      </c>
      <c r="BF65" s="9">
        <f t="shared" si="103"/>
        <v>-6.2218844757312493E-2</v>
      </c>
      <c r="BG65" s="9">
        <f t="shared" si="103"/>
        <v>5.9247008277593272E-2</v>
      </c>
      <c r="BH65" s="9">
        <f t="shared" si="104"/>
        <v>-5.7375443175713248E-2</v>
      </c>
      <c r="BI65" s="9">
        <f t="shared" si="104"/>
        <v>5.9027631274390147E-2</v>
      </c>
      <c r="BJ65" s="9">
        <f t="shared" si="105"/>
        <v>-6.6050927706092069E-2</v>
      </c>
      <c r="BK65" s="9">
        <f t="shared" si="105"/>
        <v>6.3690766205140623E-2</v>
      </c>
      <c r="BL65" s="9">
        <f t="shared" si="106"/>
        <v>-6.5706788934587493E-2</v>
      </c>
      <c r="BM65" s="9">
        <f t="shared" si="106"/>
        <v>6.3020580938298598E-2</v>
      </c>
      <c r="BN65" s="9">
        <f t="shared" si="107"/>
        <v>-6.4134051646485848E-2</v>
      </c>
      <c r="BO65" s="9">
        <f t="shared" si="107"/>
        <v>6.2660835979942833E-2</v>
      </c>
      <c r="BP65" s="9">
        <f t="shared" si="108"/>
        <v>-6.3257706006851419E-2</v>
      </c>
      <c r="BQ65" s="9">
        <f t="shared" si="108"/>
        <v>6.4568090337219969E-2</v>
      </c>
      <c r="BR65" s="9">
        <f t="shared" si="109"/>
        <v>-6.3897352846910435E-2</v>
      </c>
      <c r="BS65" s="9">
        <f t="shared" si="109"/>
        <v>6.1547326452795474E-2</v>
      </c>
      <c r="BT65" s="9">
        <f t="shared" si="110"/>
        <v>-6.2005557843143107E-2</v>
      </c>
      <c r="BU65" s="9">
        <f t="shared" si="110"/>
        <v>5.5948224931521566E-2</v>
      </c>
      <c r="BV65" s="9">
        <f t="shared" si="111"/>
        <v>-6.3418286474689181E-2</v>
      </c>
      <c r="BW65" s="9">
        <f t="shared" si="111"/>
        <v>6.0249407271222119E-2</v>
      </c>
      <c r="BX65" s="9">
        <f t="shared" si="112"/>
        <v>-6.5124551620245899E-2</v>
      </c>
      <c r="BY65" s="9">
        <f t="shared" si="112"/>
        <v>5.8950160010300783E-2</v>
      </c>
      <c r="BZ65" s="9">
        <f t="shared" si="113"/>
        <v>-6.1536420727186521E-2</v>
      </c>
      <c r="CA65" s="9">
        <f t="shared" si="113"/>
        <v>5.6656069770959515E-2</v>
      </c>
    </row>
    <row r="66" spans="1:79">
      <c r="A66" s="8" t="s">
        <v>87</v>
      </c>
      <c r="B66" s="9">
        <f t="shared" si="76"/>
        <v>-5.1031549091198641E-2</v>
      </c>
      <c r="C66" s="9">
        <f t="shared" si="76"/>
        <v>4.923529897650733E-2</v>
      </c>
      <c r="D66" s="9">
        <f t="shared" si="76"/>
        <v>-5.6258525768763556E-2</v>
      </c>
      <c r="E66" s="9">
        <f t="shared" si="76"/>
        <v>5.3267028599265014E-2</v>
      </c>
      <c r="F66" s="9">
        <f t="shared" si="77"/>
        <v>-6.3082869529775501E-2</v>
      </c>
      <c r="G66" s="9">
        <f t="shared" si="77"/>
        <v>6.0675791581130796E-2</v>
      </c>
      <c r="H66" s="9">
        <f t="shared" si="78"/>
        <v>-5.4253298970408717E-2</v>
      </c>
      <c r="I66" s="9">
        <f t="shared" si="78"/>
        <v>5.3041908074855135E-2</v>
      </c>
      <c r="J66" s="9">
        <f t="shared" si="79"/>
        <v>-6.2705576864832357E-2</v>
      </c>
      <c r="K66" s="9">
        <f t="shared" si="79"/>
        <v>5.813567243535029E-2</v>
      </c>
      <c r="L66" s="9">
        <f t="shared" si="80"/>
        <v>-6.3336648259394307E-2</v>
      </c>
      <c r="M66" s="9">
        <f t="shared" si="80"/>
        <v>6.0208860554805427E-2</v>
      </c>
      <c r="N66" s="9">
        <f t="shared" si="81"/>
        <v>-5.4221783898498896E-2</v>
      </c>
      <c r="O66" s="9">
        <f t="shared" si="81"/>
        <v>5.2652757029978771E-2</v>
      </c>
      <c r="P66" s="9">
        <f t="shared" si="82"/>
        <v>-6.3275926067490648E-2</v>
      </c>
      <c r="Q66" s="9">
        <f t="shared" si="82"/>
        <v>5.7036205745665293E-2</v>
      </c>
      <c r="R66" s="9">
        <f t="shared" si="83"/>
        <v>-5.6900790517096685E-2</v>
      </c>
      <c r="S66" s="9">
        <f t="shared" si="83"/>
        <v>5.4695432170441316E-2</v>
      </c>
      <c r="T66" s="9">
        <f t="shared" si="84"/>
        <v>-5.2903324219347042E-2</v>
      </c>
      <c r="U66" s="9">
        <f t="shared" si="84"/>
        <v>4.957216020883725E-2</v>
      </c>
      <c r="V66" s="9">
        <f t="shared" si="85"/>
        <v>-6.1218741039318993E-2</v>
      </c>
      <c r="W66" s="9">
        <f t="shared" si="85"/>
        <v>5.7717964815392604E-2</v>
      </c>
      <c r="X66" s="9">
        <f t="shared" si="86"/>
        <v>-6.073380937950755E-2</v>
      </c>
      <c r="Y66" s="9">
        <f t="shared" si="86"/>
        <v>5.7144587786042103E-2</v>
      </c>
      <c r="Z66" s="9">
        <f t="shared" si="87"/>
        <v>-5.9223306503598735E-2</v>
      </c>
      <c r="AA66" s="9">
        <f t="shared" si="87"/>
        <v>6.0004029320851603E-2</v>
      </c>
      <c r="AB66" s="9">
        <f t="shared" si="88"/>
        <v>-5.9816711320329521E-2</v>
      </c>
      <c r="AC66" s="9">
        <f t="shared" si="88"/>
        <v>5.5838855287987668E-2</v>
      </c>
      <c r="AD66" s="9">
        <f t="shared" si="89"/>
        <v>-6.592998138396651E-2</v>
      </c>
      <c r="AE66" s="9">
        <f t="shared" si="89"/>
        <v>6.1823118060286786E-2</v>
      </c>
      <c r="AF66" s="9">
        <f t="shared" si="90"/>
        <v>-5.9115746965335496E-2</v>
      </c>
      <c r="AG66" s="9">
        <f t="shared" si="90"/>
        <v>6.2228484686666544E-2</v>
      </c>
      <c r="AH66" s="9">
        <f t="shared" si="91"/>
        <v>-4.1812322340755367E-2</v>
      </c>
      <c r="AI66" s="9">
        <f t="shared" si="91"/>
        <v>4.6764391187377539E-2</v>
      </c>
      <c r="AJ66" s="9">
        <f t="shared" si="92"/>
        <v>-6.1801738863857779E-2</v>
      </c>
      <c r="AK66" s="9">
        <f t="shared" si="92"/>
        <v>5.13635445821524E-2</v>
      </c>
      <c r="AL66" s="9">
        <f t="shared" si="93"/>
        <v>-6.2939396239080944E-2</v>
      </c>
      <c r="AM66" s="9">
        <f t="shared" si="93"/>
        <v>5.89857426561421E-2</v>
      </c>
      <c r="AN66" s="9">
        <f t="shared" si="94"/>
        <v>-4.926635854119419E-2</v>
      </c>
      <c r="AO66" s="9">
        <f t="shared" si="94"/>
        <v>5.0771467603764379E-2</v>
      </c>
      <c r="AP66" s="9">
        <f t="shared" si="95"/>
        <v>-5.3889640007640974E-2</v>
      </c>
      <c r="AQ66" s="9">
        <f t="shared" si="95"/>
        <v>5.3293845077561242E-2</v>
      </c>
      <c r="AR66" s="9">
        <f t="shared" si="96"/>
        <v>-5.964503718374714E-2</v>
      </c>
      <c r="AS66" s="9">
        <f t="shared" si="96"/>
        <v>4.8890878944000682E-2</v>
      </c>
      <c r="AT66" s="9">
        <f t="shared" si="97"/>
        <v>-5.1337053699526812E-2</v>
      </c>
      <c r="AU66" s="9">
        <f t="shared" si="97"/>
        <v>5.0823294364969365E-2</v>
      </c>
      <c r="AV66" s="9">
        <f t="shared" si="98"/>
        <v>-4.940522880743798E-2</v>
      </c>
      <c r="AW66" s="9">
        <f t="shared" si="98"/>
        <v>5.0064139600405635E-2</v>
      </c>
      <c r="AX66" s="9">
        <f t="shared" si="99"/>
        <v>-5.5264472399086655E-2</v>
      </c>
      <c r="AY66" s="9">
        <f t="shared" si="99"/>
        <v>5.3012948433691892E-2</v>
      </c>
      <c r="AZ66" s="9">
        <f t="shared" si="100"/>
        <v>-5.1216042113151568E-2</v>
      </c>
      <c r="BA66" s="9">
        <f t="shared" si="100"/>
        <v>5.1216042113151568E-2</v>
      </c>
      <c r="BB66" s="9">
        <f t="shared" si="101"/>
        <v>-4.8802688539071278E-2</v>
      </c>
      <c r="BC66" s="9">
        <f t="shared" si="101"/>
        <v>4.9681668124352055E-2</v>
      </c>
      <c r="BD66" s="9">
        <f t="shared" si="102"/>
        <v>-5.4655455612045364E-2</v>
      </c>
      <c r="BE66" s="9">
        <f t="shared" si="102"/>
        <v>5.3241298396558466E-2</v>
      </c>
      <c r="BF66" s="9">
        <f t="shared" si="103"/>
        <v>-5.1283760603724561E-2</v>
      </c>
      <c r="BG66" s="9">
        <f t="shared" si="103"/>
        <v>5.2254472331930847E-2</v>
      </c>
      <c r="BH66" s="9">
        <f t="shared" si="104"/>
        <v>-5.1315711929594103E-2</v>
      </c>
      <c r="BI66" s="9">
        <f t="shared" si="104"/>
        <v>4.9042415898039905E-2</v>
      </c>
      <c r="BJ66" s="9">
        <f t="shared" si="105"/>
        <v>-6.1292088922668658E-2</v>
      </c>
      <c r="BK66" s="9">
        <f t="shared" si="105"/>
        <v>5.5534621515043944E-2</v>
      </c>
      <c r="BL66" s="9">
        <f t="shared" si="106"/>
        <v>-6.2818872003876786E-2</v>
      </c>
      <c r="BM66" s="9">
        <f t="shared" si="106"/>
        <v>5.6778372826037433E-2</v>
      </c>
      <c r="BN66" s="9">
        <f t="shared" si="107"/>
        <v>-5.7851487488586976E-2</v>
      </c>
      <c r="BO66" s="9">
        <f t="shared" si="107"/>
        <v>5.3233979325633431E-2</v>
      </c>
      <c r="BP66" s="9">
        <f t="shared" si="108"/>
        <v>-5.563214723745883E-2</v>
      </c>
      <c r="BQ66" s="9">
        <f t="shared" si="108"/>
        <v>5.5654902552088985E-2</v>
      </c>
      <c r="BR66" s="9">
        <f t="shared" si="109"/>
        <v>-6.2334239665195849E-2</v>
      </c>
      <c r="BS66" s="9">
        <f t="shared" si="109"/>
        <v>5.7670917996118488E-2</v>
      </c>
      <c r="BT66" s="9">
        <f t="shared" si="110"/>
        <v>-5.0269835870566305E-2</v>
      </c>
      <c r="BU66" s="9">
        <f t="shared" si="110"/>
        <v>4.9187707499109827E-2</v>
      </c>
      <c r="BV66" s="9">
        <f t="shared" si="111"/>
        <v>-5.4057389735050317E-2</v>
      </c>
      <c r="BW66" s="9">
        <f t="shared" si="111"/>
        <v>5.2759179951570701E-2</v>
      </c>
      <c r="BX66" s="9">
        <f t="shared" si="112"/>
        <v>-5.4396594551968394E-2</v>
      </c>
      <c r="BY66" s="9">
        <f t="shared" si="112"/>
        <v>5.2558313545033604E-2</v>
      </c>
      <c r="BZ66" s="9">
        <f t="shared" si="113"/>
        <v>-4.9147837530610278E-2</v>
      </c>
      <c r="CA66" s="9">
        <f t="shared" si="113"/>
        <v>5.1375790526011864E-2</v>
      </c>
    </row>
    <row r="67" spans="1:79">
      <c r="A67" s="8" t="s">
        <v>88</v>
      </c>
      <c r="B67" s="9">
        <f t="shared" si="76"/>
        <v>-4.1965148943112422E-2</v>
      </c>
      <c r="C67" s="9">
        <f t="shared" si="76"/>
        <v>4.0720474223685695E-2</v>
      </c>
      <c r="D67" s="9">
        <f t="shared" si="76"/>
        <v>-4.5999628869215756E-2</v>
      </c>
      <c r="E67" s="9">
        <f t="shared" si="76"/>
        <v>4.427424597184669E-2</v>
      </c>
      <c r="F67" s="9">
        <f t="shared" si="77"/>
        <v>-5.1006489597643916E-2</v>
      </c>
      <c r="G67" s="9">
        <f t="shared" si="77"/>
        <v>4.5200319568793522E-2</v>
      </c>
      <c r="H67" s="9">
        <f t="shared" si="78"/>
        <v>-4.3267989643813322E-2</v>
      </c>
      <c r="I67" s="9">
        <f t="shared" si="78"/>
        <v>4.3264350467258898E-2</v>
      </c>
      <c r="J67" s="9">
        <f t="shared" si="79"/>
        <v>-5.0429739043136988E-2</v>
      </c>
      <c r="K67" s="9">
        <f t="shared" si="79"/>
        <v>4.357470590021046E-2</v>
      </c>
      <c r="L67" s="9">
        <f t="shared" si="80"/>
        <v>-5.130505000687241E-2</v>
      </c>
      <c r="M67" s="9">
        <f t="shared" si="80"/>
        <v>4.6062480966125766E-2</v>
      </c>
      <c r="N67" s="9">
        <f t="shared" si="81"/>
        <v>-3.8977395669503777E-2</v>
      </c>
      <c r="O67" s="9">
        <f t="shared" si="81"/>
        <v>4.2635917307485921E-2</v>
      </c>
      <c r="P67" s="9">
        <f t="shared" si="82"/>
        <v>-5.0471003328113537E-2</v>
      </c>
      <c r="Q67" s="9">
        <f t="shared" si="82"/>
        <v>4.3067664811760227E-2</v>
      </c>
      <c r="R67" s="9">
        <f t="shared" si="83"/>
        <v>-4.2631482281465911E-2</v>
      </c>
      <c r="S67" s="9">
        <f t="shared" si="83"/>
        <v>4.2819446775609261E-2</v>
      </c>
      <c r="T67" s="9">
        <f t="shared" si="84"/>
        <v>-4.1059943666345612E-2</v>
      </c>
      <c r="U67" s="9">
        <f t="shared" si="84"/>
        <v>4.3284358798312418E-2</v>
      </c>
      <c r="V67" s="9">
        <f t="shared" si="85"/>
        <v>-5.047615558837016E-2</v>
      </c>
      <c r="W67" s="9">
        <f t="shared" si="85"/>
        <v>4.4877743152618638E-2</v>
      </c>
      <c r="X67" s="9">
        <f t="shared" si="86"/>
        <v>-5.1066745416651363E-2</v>
      </c>
      <c r="Y67" s="9">
        <f t="shared" si="86"/>
        <v>4.5258819649379535E-2</v>
      </c>
      <c r="Z67" s="9">
        <f t="shared" si="87"/>
        <v>-4.427660449601141E-2</v>
      </c>
      <c r="AA67" s="9">
        <f t="shared" si="87"/>
        <v>4.2076233275552918E-2</v>
      </c>
      <c r="AB67" s="9">
        <f t="shared" si="88"/>
        <v>-5.5699089702645303E-2</v>
      </c>
      <c r="AC67" s="9">
        <f t="shared" si="88"/>
        <v>4.7109879878991227E-2</v>
      </c>
      <c r="AD67" s="9">
        <f t="shared" si="89"/>
        <v>-5.6529112331925931E-2</v>
      </c>
      <c r="AE67" s="9">
        <f t="shared" si="89"/>
        <v>4.9936883215720408E-2</v>
      </c>
      <c r="AF67" s="9">
        <f t="shared" si="90"/>
        <v>-5.01926409852783E-2</v>
      </c>
      <c r="AG67" s="9">
        <f t="shared" si="90"/>
        <v>4.918895574839658E-2</v>
      </c>
      <c r="AH67" s="9">
        <f t="shared" si="91"/>
        <v>-5.1374353197799184E-2</v>
      </c>
      <c r="AI67" s="9">
        <f t="shared" si="91"/>
        <v>4.9758549930327273E-2</v>
      </c>
      <c r="AJ67" s="9">
        <f t="shared" si="92"/>
        <v>-4.4036675613016572E-2</v>
      </c>
      <c r="AK67" s="9">
        <f t="shared" si="92"/>
        <v>4.0764993979268638E-2</v>
      </c>
      <c r="AL67" s="9">
        <f t="shared" si="93"/>
        <v>-5.0373256407765118E-2</v>
      </c>
      <c r="AM67" s="9">
        <f t="shared" si="93"/>
        <v>4.4494240406581169E-2</v>
      </c>
      <c r="AN67" s="9">
        <f t="shared" si="94"/>
        <v>-3.5184056279899963E-2</v>
      </c>
      <c r="AO67" s="9">
        <f t="shared" si="94"/>
        <v>4.3797440993746863E-2</v>
      </c>
      <c r="AP67" s="9">
        <f t="shared" si="95"/>
        <v>-4.1738529149249824E-2</v>
      </c>
      <c r="AQ67" s="9">
        <f t="shared" si="95"/>
        <v>4.3565077922052713E-2</v>
      </c>
      <c r="AR67" s="9">
        <f t="shared" si="96"/>
        <v>-4.2076589042273328E-2</v>
      </c>
      <c r="AS67" s="9">
        <f t="shared" si="96"/>
        <v>4.1534352081562545E-2</v>
      </c>
      <c r="AT67" s="9">
        <f t="shared" si="97"/>
        <v>-3.7126689126661304E-2</v>
      </c>
      <c r="AU67" s="9">
        <f t="shared" si="97"/>
        <v>4.2429987247936826E-2</v>
      </c>
      <c r="AV67" s="9">
        <f t="shared" si="98"/>
        <v>-3.5469221194934279E-2</v>
      </c>
      <c r="AW67" s="9">
        <f t="shared" si="98"/>
        <v>4.3297445013539597E-2</v>
      </c>
      <c r="AX67" s="9">
        <f t="shared" si="99"/>
        <v>-4.2584815672757015E-2</v>
      </c>
      <c r="AY67" s="9">
        <f t="shared" si="99"/>
        <v>4.2577372618325955E-2</v>
      </c>
      <c r="AZ67" s="9">
        <f t="shared" si="100"/>
        <v>-4.2455294288613957E-2</v>
      </c>
      <c r="BA67" s="9">
        <f t="shared" si="100"/>
        <v>4.2455294288613957E-2</v>
      </c>
      <c r="BB67" s="9">
        <f t="shared" si="101"/>
        <v>-6.1176750637140911E-2</v>
      </c>
      <c r="BC67" s="9">
        <f t="shared" si="101"/>
        <v>5.0332082102970251E-2</v>
      </c>
      <c r="BD67" s="9">
        <f t="shared" si="102"/>
        <v>-4.2926476339460305E-2</v>
      </c>
      <c r="BE67" s="9">
        <f t="shared" si="102"/>
        <v>4.4620258114978488E-2</v>
      </c>
      <c r="BF67" s="9">
        <f t="shared" si="103"/>
        <v>-4.0033982743018649E-2</v>
      </c>
      <c r="BG67" s="9">
        <f t="shared" si="103"/>
        <v>4.4106376916381113E-2</v>
      </c>
      <c r="BH67" s="9">
        <f t="shared" si="104"/>
        <v>-4.884255443449028E-2</v>
      </c>
      <c r="BI67" s="9">
        <f t="shared" si="104"/>
        <v>4.4169895909758276E-2</v>
      </c>
      <c r="BJ67" s="9">
        <f t="shared" si="105"/>
        <v>-5.0332637267570632E-2</v>
      </c>
      <c r="BK67" s="9">
        <f t="shared" si="105"/>
        <v>4.2726198370397282E-2</v>
      </c>
      <c r="BL67" s="9">
        <f t="shared" si="106"/>
        <v>-5.3421389430783187E-2</v>
      </c>
      <c r="BM67" s="9">
        <f t="shared" si="106"/>
        <v>4.3934856712102947E-2</v>
      </c>
      <c r="BN67" s="9">
        <f t="shared" si="107"/>
        <v>-4.9000387930657925E-2</v>
      </c>
      <c r="BO67" s="9">
        <f t="shared" si="107"/>
        <v>4.2647934865427256E-2</v>
      </c>
      <c r="BP67" s="9">
        <f t="shared" si="108"/>
        <v>-4.3399901439606932E-2</v>
      </c>
      <c r="BQ67" s="9">
        <f t="shared" si="108"/>
        <v>4.4390791958501659E-2</v>
      </c>
      <c r="BR67" s="9">
        <f t="shared" si="109"/>
        <v>-5.3727551770152981E-2</v>
      </c>
      <c r="BS67" s="9">
        <f t="shared" si="109"/>
        <v>4.5775647089447799E-2</v>
      </c>
      <c r="BT67" s="9">
        <f t="shared" si="110"/>
        <v>-3.5634248567273971E-2</v>
      </c>
      <c r="BU67" s="9">
        <f t="shared" si="110"/>
        <v>4.2510139980465989E-2</v>
      </c>
      <c r="BV67" s="9">
        <f t="shared" si="111"/>
        <v>-4.1064788053712734E-2</v>
      </c>
      <c r="BW67" s="9">
        <f t="shared" si="111"/>
        <v>4.3581772281202413E-2</v>
      </c>
      <c r="BX67" s="9">
        <f t="shared" si="112"/>
        <v>-4.0274186533714347E-2</v>
      </c>
      <c r="BY67" s="9">
        <f t="shared" si="112"/>
        <v>4.3856527320563825E-2</v>
      </c>
      <c r="BZ67" s="9">
        <f t="shared" si="113"/>
        <v>-3.4424916473652561E-2</v>
      </c>
      <c r="CA67" s="9">
        <f t="shared" si="113"/>
        <v>4.4801380989374869E-2</v>
      </c>
    </row>
    <row r="68" spans="1:79">
      <c r="A68" s="8" t="s">
        <v>89</v>
      </c>
      <c r="B68" s="9">
        <f t="shared" si="76"/>
        <v>-3.505657456353807E-2</v>
      </c>
      <c r="C68" s="9">
        <f t="shared" si="76"/>
        <v>3.408470156348567E-2</v>
      </c>
      <c r="D68" s="9">
        <f t="shared" si="76"/>
        <v>-3.880951220555795E-2</v>
      </c>
      <c r="E68" s="9">
        <f t="shared" si="76"/>
        <v>3.7376585857629013E-2</v>
      </c>
      <c r="F68" s="9">
        <f t="shared" si="77"/>
        <v>-3.8114688486165296E-2</v>
      </c>
      <c r="G68" s="9">
        <f t="shared" si="77"/>
        <v>3.6409341947632068E-2</v>
      </c>
      <c r="H68" s="9">
        <f t="shared" si="78"/>
        <v>-3.6458180516349116E-2</v>
      </c>
      <c r="I68" s="9">
        <f t="shared" si="78"/>
        <v>3.5418968161526669E-2</v>
      </c>
      <c r="J68" s="9">
        <f t="shared" si="79"/>
        <v>-3.8139781325166384E-2</v>
      </c>
      <c r="K68" s="9">
        <f t="shared" si="79"/>
        <v>3.6709435832484372E-2</v>
      </c>
      <c r="L68" s="9">
        <f t="shared" si="80"/>
        <v>-3.9099283383057223E-2</v>
      </c>
      <c r="M68" s="9">
        <f t="shared" si="80"/>
        <v>3.8042482259755449E-2</v>
      </c>
      <c r="N68" s="9">
        <f t="shared" si="81"/>
        <v>-3.336569940153665E-2</v>
      </c>
      <c r="O68" s="9">
        <f t="shared" si="81"/>
        <v>3.525460028154892E-2</v>
      </c>
      <c r="P68" s="9">
        <f t="shared" si="82"/>
        <v>-3.8908113961290486E-2</v>
      </c>
      <c r="Q68" s="9">
        <f t="shared" si="82"/>
        <v>3.6793268431310276E-2</v>
      </c>
      <c r="R68" s="9">
        <f t="shared" si="83"/>
        <v>-3.460025644341598E-2</v>
      </c>
      <c r="S68" s="9">
        <f t="shared" si="83"/>
        <v>3.4327166217707254E-2</v>
      </c>
      <c r="T68" s="9">
        <f t="shared" si="84"/>
        <v>-3.5478587388733752E-2</v>
      </c>
      <c r="U68" s="9">
        <f t="shared" si="84"/>
        <v>3.4955766436107885E-2</v>
      </c>
      <c r="V68" s="9">
        <f t="shared" si="85"/>
        <v>-3.9719927796648277E-2</v>
      </c>
      <c r="W68" s="9">
        <f t="shared" si="85"/>
        <v>3.6773182189671481E-2</v>
      </c>
      <c r="X68" s="9">
        <f t="shared" si="86"/>
        <v>-3.9113369434321379E-2</v>
      </c>
      <c r="Y68" s="9">
        <f t="shared" si="86"/>
        <v>3.684387357950597E-2</v>
      </c>
      <c r="Z68" s="9">
        <f t="shared" si="87"/>
        <v>-3.2008294635203993E-2</v>
      </c>
      <c r="AA68" s="9">
        <f t="shared" si="87"/>
        <v>3.5169400760877906E-2</v>
      </c>
      <c r="AB68" s="9">
        <f t="shared" si="88"/>
        <v>-4.3645332307475179E-2</v>
      </c>
      <c r="AC68" s="9">
        <f t="shared" si="88"/>
        <v>3.7361116485737762E-2</v>
      </c>
      <c r="AD68" s="9">
        <f t="shared" si="89"/>
        <v>-3.843345052851762E-2</v>
      </c>
      <c r="AE68" s="9">
        <f t="shared" si="89"/>
        <v>3.5825895654511941E-2</v>
      </c>
      <c r="AF68" s="9">
        <f t="shared" si="90"/>
        <v>-3.5870424054747947E-2</v>
      </c>
      <c r="AG68" s="9">
        <f t="shared" si="90"/>
        <v>3.660122104468868E-2</v>
      </c>
      <c r="AH68" s="9">
        <f t="shared" si="91"/>
        <v>-6.4235625980015087E-2</v>
      </c>
      <c r="AI68" s="9">
        <f t="shared" si="91"/>
        <v>4.9446641158265366E-2</v>
      </c>
      <c r="AJ68" s="9">
        <f t="shared" si="92"/>
        <v>-3.5282517476333444E-2</v>
      </c>
      <c r="AK68" s="9">
        <f t="shared" si="92"/>
        <v>3.4402326345747684E-2</v>
      </c>
      <c r="AL68" s="9">
        <f t="shared" si="93"/>
        <v>-3.6681029222570709E-2</v>
      </c>
      <c r="AM68" s="9">
        <f t="shared" si="93"/>
        <v>3.6386123041852701E-2</v>
      </c>
      <c r="AN68" s="9">
        <f t="shared" si="94"/>
        <v>-3.1180226382722907E-2</v>
      </c>
      <c r="AO68" s="9">
        <f t="shared" si="94"/>
        <v>3.6171757716786872E-2</v>
      </c>
      <c r="AP68" s="9">
        <f t="shared" si="95"/>
        <v>-3.6295763199261206E-2</v>
      </c>
      <c r="AQ68" s="9">
        <f t="shared" si="95"/>
        <v>3.6427413554642948E-2</v>
      </c>
      <c r="AR68" s="9">
        <f t="shared" si="96"/>
        <v>-3.5365736295495269E-2</v>
      </c>
      <c r="AS68" s="9">
        <f t="shared" si="96"/>
        <v>3.4635946027550428E-2</v>
      </c>
      <c r="AT68" s="9">
        <f t="shared" si="97"/>
        <v>-3.2453416959175758E-2</v>
      </c>
      <c r="AU68" s="9">
        <f t="shared" si="97"/>
        <v>3.5735216190077045E-2</v>
      </c>
      <c r="AV68" s="9">
        <f t="shared" si="98"/>
        <v>-3.3996870395439589E-2</v>
      </c>
      <c r="AW68" s="9">
        <f t="shared" si="98"/>
        <v>3.6944454174882728E-2</v>
      </c>
      <c r="AX68" s="9">
        <f t="shared" si="99"/>
        <v>-3.5838927340075641E-2</v>
      </c>
      <c r="AY68" s="9">
        <f t="shared" si="99"/>
        <v>3.6965723080332885E-2</v>
      </c>
      <c r="AZ68" s="9">
        <f t="shared" si="100"/>
        <v>-3.7046124449382559E-2</v>
      </c>
      <c r="BA68" s="9">
        <f t="shared" si="100"/>
        <v>3.7046124449382559E-2</v>
      </c>
      <c r="BB68" s="9">
        <f t="shared" si="101"/>
        <v>-5.9734589698189906E-2</v>
      </c>
      <c r="BC68" s="9">
        <f t="shared" si="101"/>
        <v>4.6317297987587699E-2</v>
      </c>
      <c r="BD68" s="9">
        <f t="shared" si="102"/>
        <v>-3.7863903011341418E-2</v>
      </c>
      <c r="BE68" s="9">
        <f t="shared" si="102"/>
        <v>3.8372311302307394E-2</v>
      </c>
      <c r="BF68" s="9">
        <f t="shared" si="103"/>
        <v>-3.6517872357238627E-2</v>
      </c>
      <c r="BG68" s="9">
        <f t="shared" si="103"/>
        <v>3.7820161249194774E-2</v>
      </c>
      <c r="BH68" s="9">
        <f t="shared" si="104"/>
        <v>-4.2424097484564119E-2</v>
      </c>
      <c r="BI68" s="9">
        <f t="shared" si="104"/>
        <v>3.9632186578363204E-2</v>
      </c>
      <c r="BJ68" s="9">
        <f t="shared" si="105"/>
        <v>-3.8466994863920537E-2</v>
      </c>
      <c r="BK68" s="9">
        <f t="shared" si="105"/>
        <v>3.6879716712147383E-2</v>
      </c>
      <c r="BL68" s="9">
        <f t="shared" si="106"/>
        <v>-3.9551104428898635E-2</v>
      </c>
      <c r="BM68" s="9">
        <f t="shared" si="106"/>
        <v>3.6881049714832442E-2</v>
      </c>
      <c r="BN68" s="9">
        <f t="shared" si="107"/>
        <v>-3.899080890035235E-2</v>
      </c>
      <c r="BO68" s="9">
        <f t="shared" si="107"/>
        <v>3.7800690530737778E-2</v>
      </c>
      <c r="BP68" s="9">
        <f t="shared" si="108"/>
        <v>-3.8108026603950872E-2</v>
      </c>
      <c r="BQ68" s="9">
        <f t="shared" si="108"/>
        <v>3.6783851173806476E-2</v>
      </c>
      <c r="BR68" s="9">
        <f t="shared" si="109"/>
        <v>-4.248693653921181E-2</v>
      </c>
      <c r="BS68" s="9">
        <f t="shared" si="109"/>
        <v>3.8715492357057596E-2</v>
      </c>
      <c r="BT68" s="9">
        <f t="shared" si="110"/>
        <v>-3.1655039754293207E-2</v>
      </c>
      <c r="BU68" s="9">
        <f t="shared" si="110"/>
        <v>3.7084777994601296E-2</v>
      </c>
      <c r="BV68" s="9">
        <f t="shared" si="111"/>
        <v>-3.6735233807417882E-2</v>
      </c>
      <c r="BW68" s="9">
        <f t="shared" si="111"/>
        <v>3.717672360736228E-2</v>
      </c>
      <c r="BX68" s="9">
        <f t="shared" si="112"/>
        <v>-3.5189555977632264E-2</v>
      </c>
      <c r="BY68" s="9">
        <f t="shared" si="112"/>
        <v>3.4824552338648222E-2</v>
      </c>
      <c r="BZ68" s="9">
        <f t="shared" si="113"/>
        <v>-3.2644392828084026E-2</v>
      </c>
      <c r="CA68" s="9">
        <f t="shared" si="113"/>
        <v>3.7663087888564699E-2</v>
      </c>
    </row>
    <row r="69" spans="1:79">
      <c r="A69" s="8" t="s">
        <v>90</v>
      </c>
      <c r="B69" s="9">
        <f t="shared" si="76"/>
        <v>-3.0266937303837817E-2</v>
      </c>
      <c r="C69" s="9">
        <f t="shared" si="76"/>
        <v>2.942751360450592E-2</v>
      </c>
      <c r="D69" s="9">
        <f t="shared" si="76"/>
        <v>-3.3333594177411038E-2</v>
      </c>
      <c r="E69" s="9">
        <f t="shared" si="76"/>
        <v>3.1791328398804053E-2</v>
      </c>
      <c r="F69" s="9">
        <f t="shared" si="77"/>
        <v>-3.0873861845532983E-2</v>
      </c>
      <c r="G69" s="9">
        <f t="shared" si="77"/>
        <v>3.2161056897218002E-2</v>
      </c>
      <c r="H69" s="9">
        <f t="shared" si="78"/>
        <v>-3.1571448749362858E-2</v>
      </c>
      <c r="I69" s="9">
        <f t="shared" si="78"/>
        <v>2.9939278064704103E-2</v>
      </c>
      <c r="J69" s="9">
        <f t="shared" si="79"/>
        <v>-3.0860445299168832E-2</v>
      </c>
      <c r="K69" s="9">
        <f t="shared" si="79"/>
        <v>3.2537359480557256E-2</v>
      </c>
      <c r="L69" s="9">
        <f t="shared" si="80"/>
        <v>-3.1616949513406586E-2</v>
      </c>
      <c r="M69" s="9">
        <f t="shared" si="80"/>
        <v>3.2641915218744696E-2</v>
      </c>
      <c r="N69" s="9">
        <f t="shared" si="81"/>
        <v>-3.0348420524910262E-2</v>
      </c>
      <c r="O69" s="9">
        <f t="shared" si="81"/>
        <v>2.9711811452506034E-2</v>
      </c>
      <c r="P69" s="9">
        <f t="shared" si="82"/>
        <v>-3.2502894268756792E-2</v>
      </c>
      <c r="Q69" s="9">
        <f t="shared" si="82"/>
        <v>3.3193263072283034E-2</v>
      </c>
      <c r="R69" s="9">
        <f t="shared" si="83"/>
        <v>-2.9795037874931554E-2</v>
      </c>
      <c r="S69" s="9">
        <f t="shared" si="83"/>
        <v>2.9008441721032487E-2</v>
      </c>
      <c r="T69" s="9">
        <f t="shared" si="84"/>
        <v>-3.3509062634192732E-2</v>
      </c>
      <c r="U69" s="9">
        <f t="shared" si="84"/>
        <v>3.0571075749599091E-2</v>
      </c>
      <c r="V69" s="9">
        <f t="shared" si="85"/>
        <v>-3.1817980857774805E-2</v>
      </c>
      <c r="W69" s="9">
        <f t="shared" si="85"/>
        <v>3.2273230822089979E-2</v>
      </c>
      <c r="X69" s="9">
        <f t="shared" si="86"/>
        <v>-3.1379306439595821E-2</v>
      </c>
      <c r="Y69" s="9">
        <f t="shared" si="86"/>
        <v>3.2038911918645455E-2</v>
      </c>
      <c r="Z69" s="9">
        <f t="shared" si="87"/>
        <v>-2.6677992566875162E-2</v>
      </c>
      <c r="AA69" s="9">
        <f t="shared" si="87"/>
        <v>3.1522228475901005E-2</v>
      </c>
      <c r="AB69" s="9">
        <f t="shared" si="88"/>
        <v>-3.2067779479953651E-2</v>
      </c>
      <c r="AC69" s="9">
        <f t="shared" si="88"/>
        <v>3.1286093779520928E-2</v>
      </c>
      <c r="AD69" s="9">
        <f t="shared" si="89"/>
        <v>-2.8879631507351851E-2</v>
      </c>
      <c r="AE69" s="9">
        <f t="shared" si="89"/>
        <v>3.0100952676083297E-2</v>
      </c>
      <c r="AF69" s="9">
        <f t="shared" si="90"/>
        <v>-2.6800796335461861E-2</v>
      </c>
      <c r="AG69" s="9">
        <f t="shared" si="90"/>
        <v>3.1733392938467435E-2</v>
      </c>
      <c r="AH69" s="9">
        <f t="shared" si="91"/>
        <v>-5.4444627609262698E-2</v>
      </c>
      <c r="AI69" s="9">
        <f t="shared" si="91"/>
        <v>3.8614430082897826E-2</v>
      </c>
      <c r="AJ69" s="9">
        <f t="shared" si="92"/>
        <v>-3.0712951868047973E-2</v>
      </c>
      <c r="AK69" s="9">
        <f t="shared" si="92"/>
        <v>2.8071788930992249E-2</v>
      </c>
      <c r="AL69" s="9">
        <f t="shared" si="93"/>
        <v>-2.9480343223205582E-2</v>
      </c>
      <c r="AM69" s="9">
        <f t="shared" si="93"/>
        <v>3.2253290520262455E-2</v>
      </c>
      <c r="AN69" s="9">
        <f t="shared" si="94"/>
        <v>-3.245770310866742E-2</v>
      </c>
      <c r="AO69" s="9">
        <f t="shared" si="94"/>
        <v>3.268584204544879E-2</v>
      </c>
      <c r="AP69" s="9">
        <f t="shared" si="95"/>
        <v>-3.1432007615396447E-2</v>
      </c>
      <c r="AQ69" s="9">
        <f t="shared" si="95"/>
        <v>2.9771135048715768E-2</v>
      </c>
      <c r="AR69" s="9">
        <f t="shared" si="96"/>
        <v>-3.2094462806335232E-2</v>
      </c>
      <c r="AS69" s="9">
        <f t="shared" si="96"/>
        <v>2.9626590401355263E-2</v>
      </c>
      <c r="AT69" s="9">
        <f t="shared" si="97"/>
        <v>-3.0670910563890617E-2</v>
      </c>
      <c r="AU69" s="9">
        <f t="shared" si="97"/>
        <v>3.0186714750035464E-2</v>
      </c>
      <c r="AV69" s="9">
        <f t="shared" si="98"/>
        <v>-3.076461586964031E-2</v>
      </c>
      <c r="AW69" s="9">
        <f t="shared" si="98"/>
        <v>3.0248262156039474E-2</v>
      </c>
      <c r="AX69" s="9">
        <f t="shared" si="99"/>
        <v>-3.1178541508674051E-2</v>
      </c>
      <c r="AY69" s="9">
        <f t="shared" si="99"/>
        <v>3.0821895150519234E-2</v>
      </c>
      <c r="AZ69" s="9">
        <f t="shared" si="100"/>
        <v>-3.0983746149044589E-2</v>
      </c>
      <c r="BA69" s="9">
        <f t="shared" si="100"/>
        <v>3.0983746149044589E-2</v>
      </c>
      <c r="BB69" s="9">
        <f t="shared" si="101"/>
        <v>-4.9241136647823612E-2</v>
      </c>
      <c r="BC69" s="9">
        <f t="shared" si="101"/>
        <v>3.8282084502203467E-2</v>
      </c>
      <c r="BD69" s="9">
        <f t="shared" si="102"/>
        <v>-3.263511928040673E-2</v>
      </c>
      <c r="BE69" s="9">
        <f t="shared" si="102"/>
        <v>3.046030504497458E-2</v>
      </c>
      <c r="BF69" s="9">
        <f t="shared" si="103"/>
        <v>-3.2842848611614184E-2</v>
      </c>
      <c r="BG69" s="9">
        <f t="shared" si="103"/>
        <v>3.021024777081804E-2</v>
      </c>
      <c r="BH69" s="9">
        <f t="shared" si="104"/>
        <v>-3.5923133622762345E-2</v>
      </c>
      <c r="BI69" s="9">
        <f t="shared" si="104"/>
        <v>3.4466536443542126E-2</v>
      </c>
      <c r="BJ69" s="9">
        <f t="shared" si="105"/>
        <v>-3.1282945704088815E-2</v>
      </c>
      <c r="BK69" s="9">
        <f t="shared" si="105"/>
        <v>3.2663950448163212E-2</v>
      </c>
      <c r="BL69" s="9">
        <f t="shared" si="106"/>
        <v>-3.0303557449769505E-2</v>
      </c>
      <c r="BM69" s="9">
        <f t="shared" si="106"/>
        <v>3.1422689977095478E-2</v>
      </c>
      <c r="BN69" s="9">
        <f t="shared" si="107"/>
        <v>-3.2305439080601982E-2</v>
      </c>
      <c r="BO69" s="9">
        <f t="shared" si="107"/>
        <v>3.3310682401430078E-2</v>
      </c>
      <c r="BP69" s="9">
        <f t="shared" si="108"/>
        <v>-3.2176014887032506E-2</v>
      </c>
      <c r="BQ69" s="9">
        <f t="shared" si="108"/>
        <v>2.988715202756749E-2</v>
      </c>
      <c r="BR69" s="9">
        <f t="shared" si="109"/>
        <v>-3.5439408129030299E-2</v>
      </c>
      <c r="BS69" s="9">
        <f t="shared" si="109"/>
        <v>3.3575048754821438E-2</v>
      </c>
      <c r="BT69" s="9">
        <f t="shared" si="110"/>
        <v>-3.0113006824967724E-2</v>
      </c>
      <c r="BU69" s="9">
        <f t="shared" si="110"/>
        <v>3.2058848687024209E-2</v>
      </c>
      <c r="BV69" s="9">
        <f t="shared" si="111"/>
        <v>-3.3172132113442852E-2</v>
      </c>
      <c r="BW69" s="9">
        <f t="shared" si="111"/>
        <v>3.1014248139588241E-2</v>
      </c>
      <c r="BX69" s="9">
        <f t="shared" si="112"/>
        <v>-3.4054756624636445E-2</v>
      </c>
      <c r="BY69" s="9">
        <f t="shared" si="112"/>
        <v>3.0409141172134169E-2</v>
      </c>
      <c r="BZ69" s="9">
        <f t="shared" si="113"/>
        <v>-3.1776020895213315E-2</v>
      </c>
      <c r="CA69" s="9">
        <f t="shared" si="113"/>
        <v>3.1566315749841464E-2</v>
      </c>
    </row>
    <row r="70" spans="1:79">
      <c r="A70" s="8" t="s">
        <v>91</v>
      </c>
      <c r="B70" s="9">
        <f t="shared" si="76"/>
        <v>-2.629195270851109E-2</v>
      </c>
      <c r="C70" s="9">
        <f t="shared" si="76"/>
        <v>2.5526956519351541E-2</v>
      </c>
      <c r="D70" s="9">
        <f t="shared" si="76"/>
        <v>-2.8557662672320117E-2</v>
      </c>
      <c r="E70" s="9">
        <f t="shared" si="76"/>
        <v>2.6883849106734879E-2</v>
      </c>
      <c r="F70" s="9">
        <f t="shared" si="77"/>
        <v>-2.6868682129334617E-2</v>
      </c>
      <c r="G70" s="9">
        <f t="shared" si="77"/>
        <v>3.0607038917735269E-2</v>
      </c>
      <c r="H70" s="9">
        <f t="shared" si="78"/>
        <v>-2.7265620539876391E-2</v>
      </c>
      <c r="I70" s="9">
        <f t="shared" si="78"/>
        <v>2.4041992458261489E-2</v>
      </c>
      <c r="J70" s="9">
        <f t="shared" si="79"/>
        <v>-2.8193020394072184E-2</v>
      </c>
      <c r="K70" s="9">
        <f t="shared" si="79"/>
        <v>3.1887491254489246E-2</v>
      </c>
      <c r="L70" s="9">
        <f t="shared" si="80"/>
        <v>-2.7731175666825675E-2</v>
      </c>
      <c r="M70" s="9">
        <f t="shared" si="80"/>
        <v>3.1259348495751238E-2</v>
      </c>
      <c r="N70" s="9">
        <f t="shared" si="81"/>
        <v>-2.5205623684069707E-2</v>
      </c>
      <c r="O70" s="9">
        <f t="shared" si="81"/>
        <v>2.2943486632704218E-2</v>
      </c>
      <c r="P70" s="9">
        <f t="shared" si="82"/>
        <v>-2.8675918344186677E-2</v>
      </c>
      <c r="Q70" s="9">
        <f t="shared" si="82"/>
        <v>3.1761299469535112E-2</v>
      </c>
      <c r="R70" s="9">
        <f t="shared" si="83"/>
        <v>-2.522817135483019E-2</v>
      </c>
      <c r="S70" s="9">
        <f t="shared" si="83"/>
        <v>2.322264351338486E-2</v>
      </c>
      <c r="T70" s="9">
        <f t="shared" si="84"/>
        <v>-2.6766370603633786E-2</v>
      </c>
      <c r="U70" s="9">
        <f t="shared" si="84"/>
        <v>2.2223529611559802E-2</v>
      </c>
      <c r="V70" s="9">
        <f t="shared" si="85"/>
        <v>-2.8286383049138955E-2</v>
      </c>
      <c r="W70" s="9">
        <f t="shared" si="85"/>
        <v>3.0537874548571153E-2</v>
      </c>
      <c r="X70" s="9">
        <f t="shared" si="86"/>
        <v>-2.8038380665117064E-2</v>
      </c>
      <c r="Y70" s="9">
        <f t="shared" si="86"/>
        <v>3.0580881805355984E-2</v>
      </c>
      <c r="Z70" s="9">
        <f t="shared" si="87"/>
        <v>-2.4249002642523818E-2</v>
      </c>
      <c r="AA70" s="9">
        <f t="shared" si="87"/>
        <v>3.0231974236482249E-2</v>
      </c>
      <c r="AB70" s="9">
        <f t="shared" si="88"/>
        <v>-2.7808115964462209E-2</v>
      </c>
      <c r="AC70" s="9">
        <f t="shared" si="88"/>
        <v>2.9877056363772941E-2</v>
      </c>
      <c r="AD70" s="9">
        <f t="shared" si="89"/>
        <v>-2.5406499433771809E-2</v>
      </c>
      <c r="AE70" s="9">
        <f t="shared" si="89"/>
        <v>3.0141112723842421E-2</v>
      </c>
      <c r="AF70" s="9">
        <f t="shared" si="90"/>
        <v>-2.4515102496146163E-2</v>
      </c>
      <c r="AG70" s="9">
        <f t="shared" si="90"/>
        <v>3.0794702661645523E-2</v>
      </c>
      <c r="AH70" s="9">
        <f t="shared" si="91"/>
        <v>-4.7315195603823738E-2</v>
      </c>
      <c r="AI70" s="9">
        <f t="shared" si="91"/>
        <v>2.989132626795156E-2</v>
      </c>
      <c r="AJ70" s="9">
        <f t="shared" si="92"/>
        <v>-2.5667033658614953E-2</v>
      </c>
      <c r="AK70" s="9">
        <f t="shared" si="92"/>
        <v>2.23526099907294E-2</v>
      </c>
      <c r="AL70" s="9">
        <f t="shared" si="93"/>
        <v>-2.6538491836092009E-2</v>
      </c>
      <c r="AM70" s="9">
        <f t="shared" si="93"/>
        <v>3.149439380826808E-2</v>
      </c>
      <c r="AN70" s="9">
        <f t="shared" si="94"/>
        <v>-2.5538220448746419E-2</v>
      </c>
      <c r="AO70" s="9">
        <f t="shared" si="94"/>
        <v>2.3034940212738293E-2</v>
      </c>
      <c r="AP70" s="9">
        <f t="shared" si="95"/>
        <v>-2.6974392806980826E-2</v>
      </c>
      <c r="AQ70" s="9">
        <f t="shared" si="95"/>
        <v>2.3934217297532201E-2</v>
      </c>
      <c r="AR70" s="9">
        <f t="shared" si="96"/>
        <v>-2.6082765886014901E-2</v>
      </c>
      <c r="AS70" s="9">
        <f t="shared" si="96"/>
        <v>2.1835818494240065E-2</v>
      </c>
      <c r="AT70" s="9">
        <f t="shared" si="97"/>
        <v>-2.5495679626833839E-2</v>
      </c>
      <c r="AU70" s="9">
        <f t="shared" si="97"/>
        <v>2.2961415133690464E-2</v>
      </c>
      <c r="AV70" s="9">
        <f t="shared" si="98"/>
        <v>-2.5545208774066762E-2</v>
      </c>
      <c r="AW70" s="9">
        <f t="shared" si="98"/>
        <v>2.2539981385548392E-2</v>
      </c>
      <c r="AX70" s="9">
        <f t="shared" si="99"/>
        <v>-2.685929567202925E-2</v>
      </c>
      <c r="AY70" s="9">
        <f t="shared" si="99"/>
        <v>2.5933669152922514E-2</v>
      </c>
      <c r="AZ70" s="9">
        <f t="shared" si="100"/>
        <v>-2.623222433907409E-2</v>
      </c>
      <c r="BA70" s="9">
        <f t="shared" si="100"/>
        <v>2.623222433907409E-2</v>
      </c>
      <c r="BB70" s="9">
        <f t="shared" si="101"/>
        <v>-4.2688272937845613E-2</v>
      </c>
      <c r="BC70" s="9">
        <f t="shared" si="101"/>
        <v>3.3247861490183238E-2</v>
      </c>
      <c r="BD70" s="9">
        <f t="shared" si="102"/>
        <v>-2.7849432929213921E-2</v>
      </c>
      <c r="BE70" s="9">
        <f t="shared" si="102"/>
        <v>2.4233867813844349E-2</v>
      </c>
      <c r="BF70" s="9">
        <f t="shared" si="103"/>
        <v>-2.7979194707854409E-2</v>
      </c>
      <c r="BG70" s="9">
        <f t="shared" si="103"/>
        <v>2.3606031327688921E-2</v>
      </c>
      <c r="BH70" s="9">
        <f t="shared" si="104"/>
        <v>-3.3416836705497298E-2</v>
      </c>
      <c r="BI70" s="9">
        <f t="shared" si="104"/>
        <v>3.2312644824826549E-2</v>
      </c>
      <c r="BJ70" s="9">
        <f t="shared" si="105"/>
        <v>-2.7841774601794964E-2</v>
      </c>
      <c r="BK70" s="9">
        <f t="shared" si="105"/>
        <v>3.1241006297544255E-2</v>
      </c>
      <c r="BL70" s="9">
        <f t="shared" si="106"/>
        <v>-2.6918823544030121E-2</v>
      </c>
      <c r="BM70" s="9">
        <f t="shared" si="106"/>
        <v>3.1432630458463284E-2</v>
      </c>
      <c r="BN70" s="9">
        <f t="shared" si="107"/>
        <v>-2.9115813238895161E-2</v>
      </c>
      <c r="BO70" s="9">
        <f t="shared" si="107"/>
        <v>3.1762147270566643E-2</v>
      </c>
      <c r="BP70" s="9">
        <f t="shared" si="108"/>
        <v>-2.8296808371749207E-2</v>
      </c>
      <c r="BQ70" s="9">
        <f t="shared" si="108"/>
        <v>2.4826048261493962E-2</v>
      </c>
      <c r="BR70" s="9">
        <f t="shared" si="109"/>
        <v>-3.0594726559137166E-2</v>
      </c>
      <c r="BS70" s="9">
        <f t="shared" si="109"/>
        <v>3.1413269346363355E-2</v>
      </c>
      <c r="BT70" s="9">
        <f t="shared" si="110"/>
        <v>-2.5580599666211137E-2</v>
      </c>
      <c r="BU70" s="9">
        <f t="shared" si="110"/>
        <v>2.3249249571823286E-2</v>
      </c>
      <c r="BV70" s="9">
        <f t="shared" si="111"/>
        <v>-2.8797608274142517E-2</v>
      </c>
      <c r="BW70" s="9">
        <f t="shared" si="111"/>
        <v>2.4319687195449996E-2</v>
      </c>
      <c r="BX70" s="9">
        <f t="shared" si="112"/>
        <v>-2.5765222806952585E-2</v>
      </c>
      <c r="BY70" s="9">
        <f t="shared" si="112"/>
        <v>2.0733919807512387E-2</v>
      </c>
      <c r="BZ70" s="9">
        <f t="shared" si="113"/>
        <v>-2.5412629897342984E-2</v>
      </c>
      <c r="CA70" s="9">
        <f t="shared" si="113"/>
        <v>2.2160448952886172E-2</v>
      </c>
    </row>
    <row r="71" spans="1:79">
      <c r="A71" s="8" t="s">
        <v>92</v>
      </c>
      <c r="B71" s="9">
        <f t="shared" si="76"/>
        <v>-2.1900679270011832E-2</v>
      </c>
      <c r="C71" s="9">
        <f t="shared" si="76"/>
        <v>2.1384075286007522E-2</v>
      </c>
      <c r="D71" s="9">
        <f t="shared" si="76"/>
        <v>-2.3927886222559033E-2</v>
      </c>
      <c r="E71" s="9">
        <f t="shared" si="76"/>
        <v>2.2447303204011875E-2</v>
      </c>
      <c r="F71" s="9">
        <f t="shared" si="77"/>
        <v>-2.4991640837261988E-2</v>
      </c>
      <c r="G71" s="9">
        <f t="shared" si="77"/>
        <v>2.5055833019891584E-2</v>
      </c>
      <c r="H71" s="9">
        <f t="shared" si="78"/>
        <v>-2.1799804803667562E-2</v>
      </c>
      <c r="I71" s="9">
        <f t="shared" si="78"/>
        <v>2.1186831002781924E-2</v>
      </c>
      <c r="J71" s="9">
        <f t="shared" si="79"/>
        <v>-2.5331446915190962E-2</v>
      </c>
      <c r="K71" s="9">
        <f t="shared" si="79"/>
        <v>2.5529478460451231E-2</v>
      </c>
      <c r="L71" s="9">
        <f t="shared" si="80"/>
        <v>-2.580319580432773E-2</v>
      </c>
      <c r="M71" s="9">
        <f t="shared" si="80"/>
        <v>2.5120502952440244E-2</v>
      </c>
      <c r="N71" s="9">
        <f t="shared" si="81"/>
        <v>-2.1460257746705822E-2</v>
      </c>
      <c r="O71" s="9">
        <f t="shared" si="81"/>
        <v>1.9917538273523369E-2</v>
      </c>
      <c r="P71" s="9">
        <f t="shared" si="82"/>
        <v>-2.5992858308107814E-2</v>
      </c>
      <c r="Q71" s="9">
        <f t="shared" si="82"/>
        <v>2.4817024683837095E-2</v>
      </c>
      <c r="R71" s="9">
        <f t="shared" si="83"/>
        <v>-2.0464741781841496E-2</v>
      </c>
      <c r="S71" s="9">
        <f t="shared" si="83"/>
        <v>2.0719947005362747E-2</v>
      </c>
      <c r="T71" s="9">
        <f t="shared" si="84"/>
        <v>-2.4389718744162237E-2</v>
      </c>
      <c r="U71" s="9">
        <f t="shared" si="84"/>
        <v>2.1059312884685835E-2</v>
      </c>
      <c r="V71" s="9">
        <f t="shared" si="85"/>
        <v>-2.5224182817471796E-2</v>
      </c>
      <c r="W71" s="9">
        <f t="shared" si="85"/>
        <v>2.47919227237186E-2</v>
      </c>
      <c r="X71" s="9">
        <f t="shared" si="86"/>
        <v>-2.3977276900115072E-2</v>
      </c>
      <c r="Y71" s="9">
        <f t="shared" si="86"/>
        <v>2.4464087707623865E-2</v>
      </c>
      <c r="Z71" s="9">
        <f t="shared" si="87"/>
        <v>-2.2522629731895963E-2</v>
      </c>
      <c r="AA71" s="9">
        <f t="shared" si="87"/>
        <v>2.5527524250511125E-2</v>
      </c>
      <c r="AB71" s="9">
        <f t="shared" si="88"/>
        <v>-2.2524794733523482E-2</v>
      </c>
      <c r="AC71" s="9">
        <f t="shared" si="88"/>
        <v>2.3964107105054096E-2</v>
      </c>
      <c r="AD71" s="9">
        <f t="shared" si="89"/>
        <v>-2.3750823138567544E-2</v>
      </c>
      <c r="AE71" s="9">
        <f t="shared" si="89"/>
        <v>2.4084920557159425E-2</v>
      </c>
      <c r="AF71" s="9">
        <f t="shared" si="90"/>
        <v>-2.3240114255251739E-2</v>
      </c>
      <c r="AG71" s="9">
        <f t="shared" si="90"/>
        <v>2.6524511139388824E-2</v>
      </c>
      <c r="AH71" s="9">
        <f t="shared" si="91"/>
        <v>-3.070832868814025E-2</v>
      </c>
      <c r="AI71" s="9">
        <f t="shared" si="91"/>
        <v>1.9199763710489919E-2</v>
      </c>
      <c r="AJ71" s="9">
        <f t="shared" si="92"/>
        <v>-2.0835120392519259E-2</v>
      </c>
      <c r="AK71" s="9">
        <f t="shared" si="92"/>
        <v>1.882064410771582E-2</v>
      </c>
      <c r="AL71" s="9">
        <f t="shared" si="93"/>
        <v>-2.4944087698897183E-2</v>
      </c>
      <c r="AM71" s="9">
        <f t="shared" si="93"/>
        <v>2.5751474485838463E-2</v>
      </c>
      <c r="AN71" s="9">
        <f t="shared" si="94"/>
        <v>-2.4228827912993113E-2</v>
      </c>
      <c r="AO71" s="9">
        <f t="shared" si="94"/>
        <v>2.2171693547433816E-2</v>
      </c>
      <c r="AP71" s="9">
        <f t="shared" si="95"/>
        <v>-2.146037809571015E-2</v>
      </c>
      <c r="AQ71" s="9">
        <f t="shared" si="95"/>
        <v>1.9934809667041066E-2</v>
      </c>
      <c r="AR71" s="9">
        <f t="shared" si="96"/>
        <v>-2.2998825312423553E-2</v>
      </c>
      <c r="AS71" s="9">
        <f t="shared" si="96"/>
        <v>2.0270523422858875E-2</v>
      </c>
      <c r="AT71" s="9">
        <f t="shared" si="97"/>
        <v>-2.2099849673223725E-2</v>
      </c>
      <c r="AU71" s="9">
        <f t="shared" si="97"/>
        <v>2.0317219061465042E-2</v>
      </c>
      <c r="AV71" s="9">
        <f t="shared" si="98"/>
        <v>-2.1286232888162088E-2</v>
      </c>
      <c r="AW71" s="9">
        <f t="shared" si="98"/>
        <v>2.0831956907411506E-2</v>
      </c>
      <c r="AX71" s="9">
        <f t="shared" si="99"/>
        <v>-2.2347564177736833E-2</v>
      </c>
      <c r="AY71" s="9">
        <f t="shared" si="99"/>
        <v>2.1595402177176121E-2</v>
      </c>
      <c r="AZ71" s="9">
        <f t="shared" si="100"/>
        <v>-2.2533176152889255E-2</v>
      </c>
      <c r="BA71" s="9">
        <f t="shared" si="100"/>
        <v>2.2533176152889255E-2</v>
      </c>
      <c r="BB71" s="9">
        <f t="shared" si="101"/>
        <v>-2.8625406038298752E-2</v>
      </c>
      <c r="BC71" s="9">
        <f t="shared" si="101"/>
        <v>2.4120828879294644E-2</v>
      </c>
      <c r="BD71" s="9">
        <f t="shared" si="102"/>
        <v>-2.1604614782948769E-2</v>
      </c>
      <c r="BE71" s="9">
        <f t="shared" si="102"/>
        <v>1.962025811497849E-2</v>
      </c>
      <c r="BF71" s="9">
        <f t="shared" si="103"/>
        <v>-2.2249088771996578E-2</v>
      </c>
      <c r="BG71" s="9">
        <f t="shared" si="103"/>
        <v>1.9171426089883693E-2</v>
      </c>
      <c r="BH71" s="9">
        <f t="shared" si="104"/>
        <v>-2.5694497233114483E-2</v>
      </c>
      <c r="BI71" s="9">
        <f t="shared" si="104"/>
        <v>2.5024021810522792E-2</v>
      </c>
      <c r="BJ71" s="9">
        <f t="shared" si="105"/>
        <v>-2.4404455077653164E-2</v>
      </c>
      <c r="BK71" s="9">
        <f t="shared" si="105"/>
        <v>2.5326908045069457E-2</v>
      </c>
      <c r="BL71" s="9">
        <f t="shared" si="106"/>
        <v>-2.48611439008934E-2</v>
      </c>
      <c r="BM71" s="9">
        <f t="shared" si="106"/>
        <v>2.5496713428347768E-2</v>
      </c>
      <c r="BN71" s="9">
        <f t="shared" si="107"/>
        <v>-2.5236270548460282E-2</v>
      </c>
      <c r="BO71" s="9">
        <f t="shared" si="107"/>
        <v>2.5274638614140744E-2</v>
      </c>
      <c r="BP71" s="9">
        <f t="shared" si="108"/>
        <v>-2.1037633153068336E-2</v>
      </c>
      <c r="BQ71" s="9">
        <f t="shared" si="108"/>
        <v>2.0286248066947513E-2</v>
      </c>
      <c r="BR71" s="9">
        <f t="shared" si="109"/>
        <v>-2.6864987501854093E-2</v>
      </c>
      <c r="BS71" s="9">
        <f t="shared" si="109"/>
        <v>2.4615971685408678E-2</v>
      </c>
      <c r="BT71" s="9">
        <f t="shared" si="110"/>
        <v>-2.2565360354715316E-2</v>
      </c>
      <c r="BU71" s="9">
        <f t="shared" si="110"/>
        <v>2.2140067991080398E-2</v>
      </c>
      <c r="BV71" s="9">
        <f t="shared" si="111"/>
        <v>-2.3093363111738277E-2</v>
      </c>
      <c r="BW71" s="9">
        <f t="shared" si="111"/>
        <v>2.0299011686514015E-2</v>
      </c>
      <c r="BX71" s="9">
        <f t="shared" si="112"/>
        <v>-2.4249117608538158E-2</v>
      </c>
      <c r="BY71" s="9">
        <f t="shared" si="112"/>
        <v>2.0644119517830468E-2</v>
      </c>
      <c r="BZ71" s="9">
        <f t="shared" si="113"/>
        <v>-2.2263331435479879E-2</v>
      </c>
      <c r="CA71" s="9">
        <f t="shared" si="113"/>
        <v>2.0989777640309269E-2</v>
      </c>
    </row>
    <row r="72" spans="1:79">
      <c r="A72" s="8" t="s">
        <v>93</v>
      </c>
      <c r="B72" s="9">
        <f t="shared" si="76"/>
        <v>-1.742355152025191E-2</v>
      </c>
      <c r="C72" s="9">
        <f t="shared" si="76"/>
        <v>1.7258725520412535E-2</v>
      </c>
      <c r="D72" s="9">
        <f t="shared" si="76"/>
        <v>-1.8789706360499786E-2</v>
      </c>
      <c r="E72" s="9">
        <f t="shared" si="76"/>
        <v>1.7314482086075344E-2</v>
      </c>
      <c r="F72" s="9">
        <f t="shared" si="77"/>
        <v>-2.2315677561377652E-2</v>
      </c>
      <c r="G72" s="9">
        <f t="shared" si="77"/>
        <v>2.3018955771070569E-2</v>
      </c>
      <c r="H72" s="9">
        <f t="shared" si="78"/>
        <v>-1.7294276780757126E-2</v>
      </c>
      <c r="I72" s="9">
        <f t="shared" si="78"/>
        <v>1.5317521566101434E-2</v>
      </c>
      <c r="J72" s="9">
        <f t="shared" si="79"/>
        <v>-2.2175297100267503E-2</v>
      </c>
      <c r="K72" s="9">
        <f t="shared" si="79"/>
        <v>2.3022667375485459E-2</v>
      </c>
      <c r="L72" s="9">
        <f t="shared" si="80"/>
        <v>-2.270454845586432E-2</v>
      </c>
      <c r="M72" s="9">
        <f t="shared" si="80"/>
        <v>2.288579136448286E-2</v>
      </c>
      <c r="N72" s="9">
        <f t="shared" si="81"/>
        <v>-1.5436163162053256E-2</v>
      </c>
      <c r="O72" s="9">
        <f t="shared" si="81"/>
        <v>1.3494199069854206E-2</v>
      </c>
      <c r="P72" s="9">
        <f t="shared" si="82"/>
        <v>-2.1430986368368498E-2</v>
      </c>
      <c r="Q72" s="9">
        <f t="shared" si="82"/>
        <v>2.1936941587391155E-2</v>
      </c>
      <c r="R72" s="9">
        <f t="shared" si="83"/>
        <v>-1.6491863699774099E-2</v>
      </c>
      <c r="S72" s="9">
        <f t="shared" si="83"/>
        <v>1.4883073358775896E-2</v>
      </c>
      <c r="T72" s="9">
        <f t="shared" si="84"/>
        <v>-1.6463704580687893E-2</v>
      </c>
      <c r="U72" s="9">
        <f t="shared" si="84"/>
        <v>1.2857786635677496E-2</v>
      </c>
      <c r="V72" s="9">
        <f t="shared" si="85"/>
        <v>-2.1544035075973942E-2</v>
      </c>
      <c r="W72" s="9">
        <f t="shared" si="85"/>
        <v>2.1185544676771261E-2</v>
      </c>
      <c r="X72" s="9">
        <f t="shared" si="86"/>
        <v>-2.1213934903597045E-2</v>
      </c>
      <c r="Y72" s="9">
        <f t="shared" si="86"/>
        <v>2.2677284415911114E-2</v>
      </c>
      <c r="Z72" s="9">
        <f t="shared" si="87"/>
        <v>-1.9592488836401193E-2</v>
      </c>
      <c r="AA72" s="9">
        <f t="shared" si="87"/>
        <v>2.2686216135854486E-2</v>
      </c>
      <c r="AB72" s="9">
        <f t="shared" si="88"/>
        <v>-2.079912225391355E-2</v>
      </c>
      <c r="AC72" s="9">
        <f t="shared" si="88"/>
        <v>2.2547557858172074E-2</v>
      </c>
      <c r="AD72" s="9">
        <f t="shared" si="89"/>
        <v>-2.0516657590305992E-2</v>
      </c>
      <c r="AE72" s="9">
        <f t="shared" si="89"/>
        <v>2.2676470655252478E-2</v>
      </c>
      <c r="AF72" s="9">
        <f t="shared" si="90"/>
        <v>-2.2267001560558431E-2</v>
      </c>
      <c r="AG72" s="9">
        <f t="shared" si="90"/>
        <v>2.4923415781818035E-2</v>
      </c>
      <c r="AH72" s="9">
        <f t="shared" si="91"/>
        <v>-2.5081353791625498E-2</v>
      </c>
      <c r="AI72" s="9">
        <f t="shared" si="91"/>
        <v>1.3698751971923247E-2</v>
      </c>
      <c r="AJ72" s="9">
        <f t="shared" si="92"/>
        <v>-1.5698706979774175E-2</v>
      </c>
      <c r="AK72" s="9">
        <f t="shared" si="92"/>
        <v>1.355453072931175E-2</v>
      </c>
      <c r="AL72" s="9">
        <f t="shared" si="93"/>
        <v>-2.2524090464093281E-2</v>
      </c>
      <c r="AM72" s="9">
        <f t="shared" si="93"/>
        <v>2.3847022285786081E-2</v>
      </c>
      <c r="AN72" s="9">
        <f t="shared" si="94"/>
        <v>-1.4970541200946329E-2</v>
      </c>
      <c r="AO72" s="9">
        <f t="shared" si="94"/>
        <v>1.2785236995996169E-2</v>
      </c>
      <c r="AP72" s="9">
        <f t="shared" si="95"/>
        <v>-1.6617745942674206E-2</v>
      </c>
      <c r="AQ72" s="9">
        <f t="shared" si="95"/>
        <v>1.4480054742798251E-2</v>
      </c>
      <c r="AR72" s="9">
        <f t="shared" si="96"/>
        <v>-1.5350352957252098E-2</v>
      </c>
      <c r="AS72" s="9">
        <f t="shared" si="96"/>
        <v>1.221777928950135E-2</v>
      </c>
      <c r="AT72" s="9">
        <f t="shared" si="97"/>
        <v>-1.5433896837224993E-2</v>
      </c>
      <c r="AU72" s="9">
        <f t="shared" si="97"/>
        <v>1.3256133623138646E-2</v>
      </c>
      <c r="AV72" s="9">
        <f t="shared" si="98"/>
        <v>-1.4722842876380621E-2</v>
      </c>
      <c r="AW72" s="9">
        <f t="shared" si="98"/>
        <v>1.2123116107087637E-2</v>
      </c>
      <c r="AX72" s="9">
        <f t="shared" si="99"/>
        <v>-1.7756233351334499E-2</v>
      </c>
      <c r="AY72" s="9">
        <f t="shared" si="99"/>
        <v>1.6428061638414763E-2</v>
      </c>
      <c r="AZ72" s="9">
        <f t="shared" si="100"/>
        <v>-1.712163854397555E-2</v>
      </c>
      <c r="BA72" s="9">
        <f t="shared" si="100"/>
        <v>1.712163854397555E-2</v>
      </c>
      <c r="BB72" s="9">
        <f t="shared" si="101"/>
        <v>-2.3652272745906956E-2</v>
      </c>
      <c r="BC72" s="9">
        <f t="shared" si="101"/>
        <v>2.0190320350726227E-2</v>
      </c>
      <c r="BD72" s="9">
        <f t="shared" si="102"/>
        <v>-1.6795072350410639E-2</v>
      </c>
      <c r="BE72" s="9">
        <f t="shared" si="102"/>
        <v>1.4387172467735628E-2</v>
      </c>
      <c r="BF72" s="9">
        <f t="shared" si="103"/>
        <v>-1.6594523250347371E-2</v>
      </c>
      <c r="BG72" s="9">
        <f t="shared" si="103"/>
        <v>1.3515642174456931E-2</v>
      </c>
      <c r="BH72" s="9">
        <f t="shared" si="104"/>
        <v>-2.1894908742743278E-2</v>
      </c>
      <c r="BI72" s="9">
        <f t="shared" si="104"/>
        <v>2.1153883931736207E-2</v>
      </c>
      <c r="BJ72" s="9">
        <f t="shared" si="105"/>
        <v>-2.0855011833973872E-2</v>
      </c>
      <c r="BK72" s="9">
        <f t="shared" si="105"/>
        <v>2.2557623353744557E-2</v>
      </c>
      <c r="BL72" s="9">
        <f t="shared" si="106"/>
        <v>-2.1472475221279257E-2</v>
      </c>
      <c r="BM72" s="9">
        <f t="shared" si="106"/>
        <v>2.3534503825014392E-2</v>
      </c>
      <c r="BN72" s="9">
        <f t="shared" si="107"/>
        <v>-2.1437005656987605E-2</v>
      </c>
      <c r="BO72" s="9">
        <f t="shared" si="107"/>
        <v>2.2838325471224778E-2</v>
      </c>
      <c r="BP72" s="9">
        <f t="shared" si="108"/>
        <v>-1.7295877932217665E-2</v>
      </c>
      <c r="BQ72" s="9">
        <f t="shared" si="108"/>
        <v>1.6032383341086996E-2</v>
      </c>
      <c r="BR72" s="9">
        <f t="shared" si="109"/>
        <v>-2.2689118393197191E-2</v>
      </c>
      <c r="BS72" s="9">
        <f t="shared" si="109"/>
        <v>2.1716764044519648E-2</v>
      </c>
      <c r="BT72" s="9">
        <f t="shared" si="110"/>
        <v>-1.5067841889905374E-2</v>
      </c>
      <c r="BU72" s="9">
        <f t="shared" si="110"/>
        <v>1.2440298937962615E-2</v>
      </c>
      <c r="BV72" s="9">
        <f t="shared" si="111"/>
        <v>-1.7523698483146086E-2</v>
      </c>
      <c r="BW72" s="9">
        <f t="shared" si="111"/>
        <v>1.4116513261270381E-2</v>
      </c>
      <c r="BX72" s="9">
        <f t="shared" si="112"/>
        <v>-1.4902703458444019E-2</v>
      </c>
      <c r="BY72" s="9">
        <f t="shared" si="112"/>
        <v>1.167072195564584E-2</v>
      </c>
      <c r="BZ72" s="9">
        <f t="shared" si="113"/>
        <v>-1.4222080375735583E-2</v>
      </c>
      <c r="CA72" s="9">
        <f t="shared" si="113"/>
        <v>1.1721160453111966E-2</v>
      </c>
    </row>
    <row r="73" spans="1:79">
      <c r="A73" s="8" t="s">
        <v>94</v>
      </c>
      <c r="B73" s="9">
        <f t="shared" si="76"/>
        <v>-1.3490210453120485E-2</v>
      </c>
      <c r="C73" s="9">
        <f t="shared" si="76"/>
        <v>1.3708363050109291E-2</v>
      </c>
      <c r="D73" s="9">
        <f t="shared" si="76"/>
        <v>-1.4795318626761183E-2</v>
      </c>
      <c r="E73" s="9">
        <f t="shared" si="76"/>
        <v>1.4069522268647891E-2</v>
      </c>
      <c r="F73" s="9">
        <f t="shared" si="77"/>
        <v>-1.7026911992517615E-2</v>
      </c>
      <c r="G73" s="9">
        <f t="shared" si="77"/>
        <v>1.7697191811139896E-2</v>
      </c>
      <c r="H73" s="9">
        <f t="shared" si="78"/>
        <v>-1.2907249444400092E-2</v>
      </c>
      <c r="I73" s="9">
        <f t="shared" si="78"/>
        <v>1.3586410768869302E-2</v>
      </c>
      <c r="J73" s="9">
        <f t="shared" si="79"/>
        <v>-1.6947582003062605E-2</v>
      </c>
      <c r="K73" s="9">
        <f t="shared" si="79"/>
        <v>1.665953611904767E-2</v>
      </c>
      <c r="L73" s="9">
        <f t="shared" si="80"/>
        <v>-1.7753888300467053E-2</v>
      </c>
      <c r="M73" s="9">
        <f t="shared" si="80"/>
        <v>1.6149821182647035E-2</v>
      </c>
      <c r="N73" s="9">
        <f t="shared" si="81"/>
        <v>-1.3354291558285679E-2</v>
      </c>
      <c r="O73" s="9">
        <f t="shared" si="81"/>
        <v>1.248569909063107E-2</v>
      </c>
      <c r="P73" s="9">
        <f t="shared" si="82"/>
        <v>-1.7235971367032681E-2</v>
      </c>
      <c r="Q73" s="9">
        <f t="shared" si="82"/>
        <v>1.5288595438364487E-2</v>
      </c>
      <c r="R73" s="9">
        <f t="shared" si="83"/>
        <v>-1.2721911604064573E-2</v>
      </c>
      <c r="S73" s="9">
        <f t="shared" si="83"/>
        <v>1.3000848849719205E-2</v>
      </c>
      <c r="T73" s="9">
        <f t="shared" si="84"/>
        <v>-1.4971360086562652E-2</v>
      </c>
      <c r="U73" s="9">
        <f t="shared" si="84"/>
        <v>1.3232161615965569E-2</v>
      </c>
      <c r="V73" s="9">
        <f t="shared" si="85"/>
        <v>-1.656887550479819E-2</v>
      </c>
      <c r="W73" s="9">
        <f t="shared" si="85"/>
        <v>1.6074214333805341E-2</v>
      </c>
      <c r="X73" s="9">
        <f t="shared" si="86"/>
        <v>-1.5871713941252558E-2</v>
      </c>
      <c r="Y73" s="9">
        <f t="shared" si="86"/>
        <v>1.6302242075210811E-2</v>
      </c>
      <c r="Z73" s="9">
        <f t="shared" si="87"/>
        <v>-1.5456568647794114E-2</v>
      </c>
      <c r="AA73" s="9">
        <f t="shared" si="87"/>
        <v>1.6144771285758964E-2</v>
      </c>
      <c r="AB73" s="9">
        <f t="shared" si="88"/>
        <v>-1.5021385955607354E-2</v>
      </c>
      <c r="AC73" s="9">
        <f t="shared" si="88"/>
        <v>1.6322981423013975E-2</v>
      </c>
      <c r="AD73" s="9">
        <f t="shared" si="89"/>
        <v>-1.6611448974523151E-2</v>
      </c>
      <c r="AE73" s="9">
        <f t="shared" si="89"/>
        <v>1.5647892651337869E-2</v>
      </c>
      <c r="AF73" s="9">
        <f t="shared" si="90"/>
        <v>-1.7299756076405992E-2</v>
      </c>
      <c r="AG73" s="9">
        <f t="shared" si="90"/>
        <v>1.8714019231714278E-2</v>
      </c>
      <c r="AH73" s="9">
        <f t="shared" si="91"/>
        <v>-1.2936561106506711E-2</v>
      </c>
      <c r="AI73" s="9">
        <f t="shared" si="91"/>
        <v>7.9975229313964096E-3</v>
      </c>
      <c r="AJ73" s="9">
        <f t="shared" si="92"/>
        <v>-1.2274038341078484E-2</v>
      </c>
      <c r="AK73" s="9">
        <f t="shared" si="92"/>
        <v>1.1633202601663402E-2</v>
      </c>
      <c r="AL73" s="9">
        <f t="shared" si="93"/>
        <v>-1.7520239198475285E-2</v>
      </c>
      <c r="AM73" s="9">
        <f t="shared" si="93"/>
        <v>1.7274363874209175E-2</v>
      </c>
      <c r="AN73" s="9">
        <f t="shared" si="94"/>
        <v>-1.587955074698193E-2</v>
      </c>
      <c r="AO73" s="9">
        <f t="shared" si="94"/>
        <v>1.3871049996369365E-2</v>
      </c>
      <c r="AP73" s="9">
        <f t="shared" si="95"/>
        <v>-1.2518316012690957E-2</v>
      </c>
      <c r="AQ73" s="9">
        <f t="shared" si="95"/>
        <v>1.1948211741727352E-2</v>
      </c>
      <c r="AR73" s="9">
        <f t="shared" si="96"/>
        <v>-1.4328102949354731E-2</v>
      </c>
      <c r="AS73" s="9">
        <f t="shared" si="96"/>
        <v>1.2542930459817823E-2</v>
      </c>
      <c r="AT73" s="9">
        <f t="shared" si="97"/>
        <v>-1.3909884923374584E-2</v>
      </c>
      <c r="AU73" s="9">
        <f t="shared" si="97"/>
        <v>1.2590954407337119E-2</v>
      </c>
      <c r="AV73" s="9">
        <f t="shared" si="98"/>
        <v>-1.3424309728866634E-2</v>
      </c>
      <c r="AW73" s="9">
        <f t="shared" si="98"/>
        <v>1.307379224445147E-2</v>
      </c>
      <c r="AX73" s="9">
        <f t="shared" si="99"/>
        <v>-1.3750009303818039E-2</v>
      </c>
      <c r="AY73" s="9">
        <f t="shared" si="99"/>
        <v>1.28599440447708E-2</v>
      </c>
      <c r="AZ73" s="9">
        <f t="shared" si="100"/>
        <v>-1.3760293508729819E-2</v>
      </c>
      <c r="BA73" s="9">
        <f t="shared" si="100"/>
        <v>1.3760293508729819E-2</v>
      </c>
      <c r="BB73" s="9">
        <f t="shared" si="101"/>
        <v>-1.4051643595720736E-2</v>
      </c>
      <c r="BC73" s="9">
        <f t="shared" si="101"/>
        <v>1.3511513698411949E-2</v>
      </c>
      <c r="BD73" s="9">
        <f t="shared" si="102"/>
        <v>-1.2385608134532655E-2</v>
      </c>
      <c r="BE73" s="9">
        <f t="shared" si="102"/>
        <v>1.1587407117716074E-2</v>
      </c>
      <c r="BF73" s="9">
        <f t="shared" si="103"/>
        <v>-1.3002872450358721E-2</v>
      </c>
      <c r="BG73" s="9">
        <f t="shared" si="103"/>
        <v>1.1358563019416497E-2</v>
      </c>
      <c r="BH73" s="9">
        <f t="shared" si="104"/>
        <v>-1.4475265435668096E-2</v>
      </c>
      <c r="BI73" s="9">
        <f t="shared" si="104"/>
        <v>1.5674434216965846E-2</v>
      </c>
      <c r="BJ73" s="9">
        <f t="shared" si="105"/>
        <v>-1.6219851504544112E-2</v>
      </c>
      <c r="BK73" s="9">
        <f t="shared" si="105"/>
        <v>1.6919768845397438E-2</v>
      </c>
      <c r="BL73" s="9">
        <f t="shared" si="106"/>
        <v>-1.7164933295228155E-2</v>
      </c>
      <c r="BM73" s="9">
        <f t="shared" si="106"/>
        <v>1.6942100837899741E-2</v>
      </c>
      <c r="BN73" s="9">
        <f t="shared" si="107"/>
        <v>-1.6239962618879025E-2</v>
      </c>
      <c r="BO73" s="9">
        <f t="shared" si="107"/>
        <v>1.6610302994385512E-2</v>
      </c>
      <c r="BP73" s="9">
        <f t="shared" si="108"/>
        <v>-1.1656927085536079E-2</v>
      </c>
      <c r="BQ73" s="9">
        <f t="shared" si="108"/>
        <v>1.2828251159831491E-2</v>
      </c>
      <c r="BR73" s="9">
        <f t="shared" si="109"/>
        <v>-1.7140041090388781E-2</v>
      </c>
      <c r="BS73" s="9">
        <f t="shared" si="109"/>
        <v>1.539544046925025E-2</v>
      </c>
      <c r="BT73" s="9">
        <f t="shared" si="110"/>
        <v>-1.4615496316984045E-2</v>
      </c>
      <c r="BU73" s="9">
        <f t="shared" si="110"/>
        <v>1.4458945760304587E-2</v>
      </c>
      <c r="BV73" s="9">
        <f t="shared" si="111"/>
        <v>-1.3108800483702132E-2</v>
      </c>
      <c r="BW73" s="9">
        <f t="shared" si="111"/>
        <v>1.1603796221438154E-2</v>
      </c>
      <c r="BX73" s="9">
        <f t="shared" si="112"/>
        <v>-1.5388177639893655E-2</v>
      </c>
      <c r="BY73" s="9">
        <f t="shared" si="112"/>
        <v>1.3139854694842037E-2</v>
      </c>
      <c r="BZ73" s="9">
        <f t="shared" si="113"/>
        <v>-1.4328465240715458E-2</v>
      </c>
      <c r="CA73" s="9">
        <f t="shared" si="113"/>
        <v>1.3558378913556607E-2</v>
      </c>
    </row>
    <row r="74" spans="1:79">
      <c r="A74" s="8" t="s">
        <v>95</v>
      </c>
      <c r="B74" s="9">
        <f t="shared" si="76"/>
        <v>-1.0664257748727984E-2</v>
      </c>
      <c r="C74" s="9">
        <f t="shared" si="76"/>
        <v>1.1103418498924704E-2</v>
      </c>
      <c r="D74" s="9">
        <f t="shared" si="76"/>
        <v>-1.1233437831131832E-2</v>
      </c>
      <c r="E74" s="9">
        <f t="shared" si="76"/>
        <v>1.1247381548759424E-2</v>
      </c>
      <c r="F74" s="9">
        <f t="shared" si="77"/>
        <v>-1.5482174810523497E-2</v>
      </c>
      <c r="G74" s="9">
        <f t="shared" si="77"/>
        <v>1.7132867763845983E-2</v>
      </c>
      <c r="H74" s="9">
        <f t="shared" si="78"/>
        <v>-1.1122005895920915E-2</v>
      </c>
      <c r="I74" s="9">
        <f t="shared" si="78"/>
        <v>1.0285450185472908E-2</v>
      </c>
      <c r="J74" s="9">
        <f t="shared" si="79"/>
        <v>-1.3745013029134287E-2</v>
      </c>
      <c r="K74" s="9">
        <f t="shared" si="79"/>
        <v>1.4641273445205272E-2</v>
      </c>
      <c r="L74" s="9">
        <f t="shared" si="80"/>
        <v>-1.5072470212829033E-2</v>
      </c>
      <c r="M74" s="9">
        <f t="shared" si="80"/>
        <v>1.6103836690032854E-2</v>
      </c>
      <c r="N74" s="9">
        <f t="shared" si="81"/>
        <v>-8.6472109527253125E-3</v>
      </c>
      <c r="O74" s="9">
        <f t="shared" si="81"/>
        <v>7.6739867990685984E-3</v>
      </c>
      <c r="P74" s="9">
        <f t="shared" si="82"/>
        <v>-1.2407330203556345E-2</v>
      </c>
      <c r="Q74" s="9">
        <f t="shared" si="82"/>
        <v>1.3663549236456832E-2</v>
      </c>
      <c r="R74" s="9">
        <f t="shared" si="83"/>
        <v>-9.2699342107073375E-3</v>
      </c>
      <c r="S74" s="9">
        <f t="shared" si="83"/>
        <v>9.3873905231500725E-3</v>
      </c>
      <c r="T74" s="9">
        <f t="shared" si="84"/>
        <v>-9.1134303119700527E-3</v>
      </c>
      <c r="U74" s="9">
        <f t="shared" si="84"/>
        <v>7.4740045173671173E-3</v>
      </c>
      <c r="V74" s="9">
        <f t="shared" si="85"/>
        <v>-1.2126525131591745E-2</v>
      </c>
      <c r="W74" s="9">
        <f t="shared" si="85"/>
        <v>1.2316254722713109E-2</v>
      </c>
      <c r="X74" s="9">
        <f t="shared" si="86"/>
        <v>-1.4183062141219406E-2</v>
      </c>
      <c r="Y74" s="9">
        <f t="shared" si="86"/>
        <v>1.6483616422597769E-2</v>
      </c>
      <c r="Z74" s="9">
        <f t="shared" si="87"/>
        <v>-1.2146625711961217E-2</v>
      </c>
      <c r="AA74" s="9">
        <f t="shared" si="87"/>
        <v>1.424274412170024E-2</v>
      </c>
      <c r="AB74" s="9">
        <f t="shared" si="88"/>
        <v>-1.4818111252495408E-2</v>
      </c>
      <c r="AC74" s="9">
        <f t="shared" si="88"/>
        <v>1.7062327711600316E-2</v>
      </c>
      <c r="AD74" s="9">
        <f t="shared" si="89"/>
        <v>-1.2611394288500669E-2</v>
      </c>
      <c r="AE74" s="9">
        <f t="shared" si="89"/>
        <v>1.6417769311571333E-2</v>
      </c>
      <c r="AF74" s="9">
        <f t="shared" si="90"/>
        <v>-1.5831821124811383E-2</v>
      </c>
      <c r="AG74" s="9">
        <f t="shared" si="90"/>
        <v>1.7995677721924386E-2</v>
      </c>
      <c r="AH74" s="9">
        <f t="shared" si="91"/>
        <v>-1.0978030494667043E-2</v>
      </c>
      <c r="AI74" s="9">
        <f t="shared" si="91"/>
        <v>6.8423435600663282E-3</v>
      </c>
      <c r="AJ74" s="9">
        <f t="shared" si="92"/>
        <v>-8.947234221925485E-3</v>
      </c>
      <c r="AK74" s="9">
        <f t="shared" si="92"/>
        <v>8.4086845917914661E-3</v>
      </c>
      <c r="AL74" s="9">
        <f t="shared" si="93"/>
        <v>-1.5060404392804217E-2</v>
      </c>
      <c r="AM74" s="9">
        <f t="shared" si="93"/>
        <v>1.6801540578351398E-2</v>
      </c>
      <c r="AN74" s="9">
        <f t="shared" si="94"/>
        <v>-7.4912653689822237E-3</v>
      </c>
      <c r="AO74" s="9">
        <f t="shared" si="94"/>
        <v>7.0094886209161695E-3</v>
      </c>
      <c r="AP74" s="9">
        <f t="shared" si="95"/>
        <v>-1.0166307625432931E-2</v>
      </c>
      <c r="AQ74" s="9">
        <f t="shared" si="95"/>
        <v>9.3297055839047221E-3</v>
      </c>
      <c r="AR74" s="9">
        <f t="shared" si="96"/>
        <v>-8.8332979482270597E-3</v>
      </c>
      <c r="AS74" s="9">
        <f t="shared" si="96"/>
        <v>6.9548997842365599E-3</v>
      </c>
      <c r="AT74" s="9">
        <f t="shared" si="97"/>
        <v>-8.0418987133906109E-3</v>
      </c>
      <c r="AU74" s="9">
        <f t="shared" si="97"/>
        <v>7.4936071991893137E-3</v>
      </c>
      <c r="AV74" s="9">
        <f t="shared" si="98"/>
        <v>-9.6275912465075726E-3</v>
      </c>
      <c r="AW74" s="9">
        <f t="shared" si="98"/>
        <v>7.7175924304186214E-3</v>
      </c>
      <c r="AX74" s="9">
        <f t="shared" si="99"/>
        <v>-9.282729384599989E-3</v>
      </c>
      <c r="AY74" s="9">
        <f t="shared" si="99"/>
        <v>1.02038073704433E-2</v>
      </c>
      <c r="AZ74" s="9">
        <f t="shared" si="100"/>
        <v>-1.1771662946801839E-2</v>
      </c>
      <c r="BA74" s="9">
        <f t="shared" si="100"/>
        <v>1.1771662946801839E-2</v>
      </c>
      <c r="BB74" s="9">
        <f t="shared" si="101"/>
        <v>-1.4051845211957133E-2</v>
      </c>
      <c r="BC74" s="9">
        <f t="shared" si="101"/>
        <v>1.3392627324349583E-2</v>
      </c>
      <c r="BD74" s="9">
        <f t="shared" si="102"/>
        <v>-8.928822839264763E-3</v>
      </c>
      <c r="BE74" s="9">
        <f t="shared" si="102"/>
        <v>8.8333985138834576E-3</v>
      </c>
      <c r="BF74" s="9">
        <f t="shared" si="103"/>
        <v>-8.9605900089273459E-3</v>
      </c>
      <c r="BG74" s="9">
        <f t="shared" si="103"/>
        <v>8.1736816848784633E-3</v>
      </c>
      <c r="BH74" s="9">
        <f t="shared" si="104"/>
        <v>-1.3469808534426137E-2</v>
      </c>
      <c r="BI74" s="9">
        <f t="shared" si="104"/>
        <v>1.5459540438209071E-2</v>
      </c>
      <c r="BJ74" s="9">
        <f t="shared" si="105"/>
        <v>-1.238817317294506E-2</v>
      </c>
      <c r="BK74" s="9">
        <f t="shared" si="105"/>
        <v>1.4994193745935783E-2</v>
      </c>
      <c r="BL74" s="9">
        <f t="shared" si="106"/>
        <v>-1.324900491639641E-2</v>
      </c>
      <c r="BM74" s="9">
        <f t="shared" si="106"/>
        <v>1.6858020932997014E-2</v>
      </c>
      <c r="BN74" s="9">
        <f t="shared" si="107"/>
        <v>-1.3277121559240412E-2</v>
      </c>
      <c r="BO74" s="9">
        <f t="shared" si="107"/>
        <v>1.6348455703064698E-2</v>
      </c>
      <c r="BP74" s="9">
        <f t="shared" si="108"/>
        <v>-1.0587887001244876E-2</v>
      </c>
      <c r="BQ74" s="9">
        <f t="shared" si="108"/>
        <v>1.0961625805170376E-2</v>
      </c>
      <c r="BR74" s="9">
        <f t="shared" si="109"/>
        <v>-1.3152929121821436E-2</v>
      </c>
      <c r="BS74" s="9">
        <f t="shared" si="109"/>
        <v>1.3626097358127009E-2</v>
      </c>
      <c r="BT74" s="9">
        <f t="shared" si="110"/>
        <v>-1.0441743101928934E-2</v>
      </c>
      <c r="BU74" s="9">
        <f t="shared" si="110"/>
        <v>8.0121262032213213E-3</v>
      </c>
      <c r="BV74" s="9">
        <f t="shared" si="111"/>
        <v>-9.6041264361138006E-3</v>
      </c>
      <c r="BW74" s="9">
        <f t="shared" si="111"/>
        <v>8.5839403407776058E-3</v>
      </c>
      <c r="BX74" s="9">
        <f t="shared" si="112"/>
        <v>-8.3588872721766655E-3</v>
      </c>
      <c r="BY74" s="9">
        <f t="shared" si="112"/>
        <v>6.6957859072675234E-3</v>
      </c>
      <c r="BZ74" s="9">
        <f t="shared" si="113"/>
        <v>-9.2789054354566747E-3</v>
      </c>
      <c r="CA74" s="9">
        <f t="shared" si="113"/>
        <v>7.0452610686775599E-3</v>
      </c>
    </row>
    <row r="75" spans="1:79">
      <c r="A75" s="8" t="s">
        <v>96</v>
      </c>
      <c r="B75" s="9">
        <f t="shared" si="76"/>
        <v>-8.0748906228155747E-3</v>
      </c>
      <c r="C75" s="9">
        <f t="shared" si="76"/>
        <v>8.658591025545101E-3</v>
      </c>
      <c r="D75" s="9">
        <f t="shared" si="76"/>
        <v>-8.4676119747567006E-3</v>
      </c>
      <c r="E75" s="9">
        <f t="shared" si="76"/>
        <v>8.9310541052396025E-3</v>
      </c>
      <c r="F75" s="9">
        <f t="shared" si="77"/>
        <v>-9.9559755059130273E-3</v>
      </c>
      <c r="G75" s="9">
        <f t="shared" si="77"/>
        <v>1.1717522429238431E-2</v>
      </c>
      <c r="H75" s="9">
        <f t="shared" si="78"/>
        <v>-7.4912449372799292E-3</v>
      </c>
      <c r="I75" s="9">
        <f t="shared" si="78"/>
        <v>9.0890708932063174E-3</v>
      </c>
      <c r="J75" s="9">
        <f t="shared" si="79"/>
        <v>-1.0931623696292327E-2</v>
      </c>
      <c r="K75" s="9">
        <f t="shared" si="79"/>
        <v>1.1157365537992759E-2</v>
      </c>
      <c r="L75" s="9">
        <f t="shared" si="80"/>
        <v>-1.0617027670199893E-2</v>
      </c>
      <c r="M75" s="9">
        <f t="shared" si="80"/>
        <v>9.9607801125996837E-3</v>
      </c>
      <c r="N75" s="9">
        <f t="shared" si="81"/>
        <v>-7.5252603311084651E-3</v>
      </c>
      <c r="O75" s="9">
        <f t="shared" si="81"/>
        <v>7.6956605054547484E-3</v>
      </c>
      <c r="P75" s="9">
        <f t="shared" si="82"/>
        <v>-1.0158903038647256E-2</v>
      </c>
      <c r="Q75" s="9">
        <f t="shared" si="82"/>
        <v>9.8141126830048695E-3</v>
      </c>
      <c r="R75" s="9">
        <f t="shared" si="83"/>
        <v>-7.5330253444238693E-3</v>
      </c>
      <c r="S75" s="9">
        <f t="shared" si="83"/>
        <v>9.8728651498350452E-3</v>
      </c>
      <c r="T75" s="9">
        <f t="shared" si="84"/>
        <v>-9.2165388525111171E-3</v>
      </c>
      <c r="U75" s="9">
        <f t="shared" si="84"/>
        <v>8.6297299526671145E-3</v>
      </c>
      <c r="V75" s="9">
        <f t="shared" si="85"/>
        <v>-9.5524175364711562E-3</v>
      </c>
      <c r="W75" s="9">
        <f t="shared" si="85"/>
        <v>1.039318994559485E-2</v>
      </c>
      <c r="X75" s="9">
        <f t="shared" si="86"/>
        <v>-8.9786307729635886E-3</v>
      </c>
      <c r="Y75" s="9">
        <f t="shared" si="86"/>
        <v>1.0170862528540292E-2</v>
      </c>
      <c r="Z75" s="9">
        <f t="shared" si="87"/>
        <v>-9.5674581052872937E-3</v>
      </c>
      <c r="AA75" s="9">
        <f t="shared" si="87"/>
        <v>1.1381993360671482E-2</v>
      </c>
      <c r="AB75" s="9">
        <f t="shared" si="88"/>
        <v>-8.5113599373558817E-3</v>
      </c>
      <c r="AC75" s="9">
        <f t="shared" si="88"/>
        <v>1.0449640001183683E-2</v>
      </c>
      <c r="AD75" s="9">
        <f t="shared" si="89"/>
        <v>-1.0261034613973647E-2</v>
      </c>
      <c r="AE75" s="9">
        <f t="shared" si="89"/>
        <v>1.0841788779795337E-2</v>
      </c>
      <c r="AF75" s="9">
        <f t="shared" si="90"/>
        <v>-1.1165998260309118E-2</v>
      </c>
      <c r="AG75" s="9">
        <f t="shared" si="90"/>
        <v>1.2959360938753687E-2</v>
      </c>
      <c r="AH75" s="9">
        <f t="shared" si="91"/>
        <v>-4.1646439824048701E-3</v>
      </c>
      <c r="AI75" s="9">
        <f t="shared" si="91"/>
        <v>3.743525772910144E-3</v>
      </c>
      <c r="AJ75" s="9">
        <f t="shared" si="92"/>
        <v>-6.8861838585445008E-3</v>
      </c>
      <c r="AK75" s="9">
        <f t="shared" si="92"/>
        <v>7.3625364596920512E-3</v>
      </c>
      <c r="AL75" s="9">
        <f t="shared" si="93"/>
        <v>-1.0450242062814656E-2</v>
      </c>
      <c r="AM75" s="9">
        <f t="shared" si="93"/>
        <v>1.1319097680822465E-2</v>
      </c>
      <c r="AN75" s="9">
        <f t="shared" si="94"/>
        <v>-9.3879763519047321E-3</v>
      </c>
      <c r="AO75" s="9">
        <f t="shared" si="94"/>
        <v>8.732266883716689E-3</v>
      </c>
      <c r="AP75" s="9">
        <f t="shared" si="95"/>
        <v>-6.7130263173970179E-3</v>
      </c>
      <c r="AQ75" s="9">
        <f t="shared" si="95"/>
        <v>7.015148468602646E-3</v>
      </c>
      <c r="AR75" s="9">
        <f t="shared" si="96"/>
        <v>-8.2626304626829163E-3</v>
      </c>
      <c r="AS75" s="9">
        <f t="shared" si="96"/>
        <v>7.555834391825526E-3</v>
      </c>
      <c r="AT75" s="9">
        <f t="shared" si="97"/>
        <v>-7.97382808589122E-3</v>
      </c>
      <c r="AU75" s="9">
        <f t="shared" si="97"/>
        <v>7.8517232924023486E-3</v>
      </c>
      <c r="AV75" s="9">
        <f t="shared" si="98"/>
        <v>-8.4436801985777986E-3</v>
      </c>
      <c r="AW75" s="9">
        <f t="shared" si="98"/>
        <v>8.4880214363279773E-3</v>
      </c>
      <c r="AX75" s="9">
        <f t="shared" si="99"/>
        <v>-8.1187183721874567E-3</v>
      </c>
      <c r="AY75" s="9">
        <f t="shared" si="99"/>
        <v>8.3562758594453602E-3</v>
      </c>
      <c r="AZ75" s="9">
        <f t="shared" si="100"/>
        <v>-9.0641183150832558E-3</v>
      </c>
      <c r="BA75" s="9">
        <f t="shared" si="100"/>
        <v>9.0641183150832558E-3</v>
      </c>
      <c r="BB75" s="9">
        <f t="shared" si="101"/>
        <v>-6.2964078572804363E-3</v>
      </c>
      <c r="BC75" s="9">
        <f t="shared" si="101"/>
        <v>7.313897796966267E-3</v>
      </c>
      <c r="BD75" s="9">
        <f t="shared" si="102"/>
        <v>-6.4114196323816972E-3</v>
      </c>
      <c r="BE75" s="9">
        <f t="shared" si="102"/>
        <v>7.2510754790770437E-3</v>
      </c>
      <c r="BF75" s="9">
        <f t="shared" si="103"/>
        <v>-7.0404014154950793E-3</v>
      </c>
      <c r="BG75" s="9">
        <f t="shared" si="103"/>
        <v>6.8776588180640454E-3</v>
      </c>
      <c r="BH75" s="9">
        <f t="shared" si="104"/>
        <v>-7.7421547969740634E-3</v>
      </c>
      <c r="BI75" s="9">
        <f t="shared" si="104"/>
        <v>1.072624018735731E-2</v>
      </c>
      <c r="BJ75" s="9">
        <f t="shared" si="105"/>
        <v>-9.7049070603493076E-3</v>
      </c>
      <c r="BK75" s="9">
        <f t="shared" si="105"/>
        <v>1.1585333104806363E-2</v>
      </c>
      <c r="BL75" s="9">
        <f t="shared" si="106"/>
        <v>-1.0131835634140583E-2</v>
      </c>
      <c r="BM75" s="9">
        <f t="shared" si="106"/>
        <v>1.1265050510070949E-2</v>
      </c>
      <c r="BN75" s="9">
        <f t="shared" si="107"/>
        <v>-9.4596761074145289E-3</v>
      </c>
      <c r="BO75" s="9">
        <f t="shared" si="107"/>
        <v>1.0887086206314416E-2</v>
      </c>
      <c r="BP75" s="9">
        <f t="shared" si="108"/>
        <v>-6.3758552780377653E-3</v>
      </c>
      <c r="BQ75" s="9">
        <f t="shared" si="108"/>
        <v>8.4417620244598944E-3</v>
      </c>
      <c r="BR75" s="9">
        <f t="shared" si="109"/>
        <v>-1.0045323395184881E-2</v>
      </c>
      <c r="BS75" s="9">
        <f t="shared" si="109"/>
        <v>9.5187164820566567E-3</v>
      </c>
      <c r="BT75" s="9">
        <f t="shared" si="110"/>
        <v>-9.2066447456103182E-3</v>
      </c>
      <c r="BU75" s="9">
        <f t="shared" si="110"/>
        <v>9.3078953597778447E-3</v>
      </c>
      <c r="BV75" s="9">
        <f t="shared" si="111"/>
        <v>-7.4491966690989637E-3</v>
      </c>
      <c r="BW75" s="9">
        <f t="shared" si="111"/>
        <v>7.5850901837286886E-3</v>
      </c>
      <c r="BX75" s="9">
        <f t="shared" si="112"/>
        <v>-9.481805356076109E-3</v>
      </c>
      <c r="BY75" s="9">
        <f t="shared" si="112"/>
        <v>8.3055597155347865E-3</v>
      </c>
      <c r="BZ75" s="9">
        <f t="shared" si="113"/>
        <v>-8.8761314610472687E-3</v>
      </c>
      <c r="CA75" s="9">
        <f t="shared" si="113"/>
        <v>8.4438061352545644E-3</v>
      </c>
    </row>
    <row r="76" spans="1:79">
      <c r="A76" s="8" t="s">
        <v>97</v>
      </c>
      <c r="B76" s="9">
        <f t="shared" si="76"/>
        <v>-5.639956919541271E-3</v>
      </c>
      <c r="C76" s="9">
        <f t="shared" si="76"/>
        <v>6.2669025246274565E-3</v>
      </c>
      <c r="D76" s="9">
        <f t="shared" si="76"/>
        <v>-6.1110459000916842E-3</v>
      </c>
      <c r="E76" s="9">
        <f t="shared" si="76"/>
        <v>6.715147055425019E-3</v>
      </c>
      <c r="F76" s="9">
        <f t="shared" si="77"/>
        <v>-9.4723428367840291E-3</v>
      </c>
      <c r="G76" s="9">
        <f t="shared" si="77"/>
        <v>1.0887664453797999E-2</v>
      </c>
      <c r="H76" s="9">
        <f t="shared" si="78"/>
        <v>-6.4406601557249138E-3</v>
      </c>
      <c r="I76" s="9">
        <f t="shared" si="78"/>
        <v>6.7643194205339171E-3</v>
      </c>
      <c r="J76" s="9">
        <f t="shared" si="79"/>
        <v>-8.1613000470898544E-3</v>
      </c>
      <c r="K76" s="9">
        <f t="shared" si="79"/>
        <v>9.2743008709858018E-3</v>
      </c>
      <c r="L76" s="9">
        <f t="shared" si="80"/>
        <v>-9.0402480534915869E-3</v>
      </c>
      <c r="M76" s="9">
        <f t="shared" si="80"/>
        <v>9.519800619325211E-3</v>
      </c>
      <c r="N76" s="9">
        <f t="shared" si="81"/>
        <v>-4.6093247160669728E-3</v>
      </c>
      <c r="O76" s="9">
        <f t="shared" si="81"/>
        <v>4.5014046056476593E-3</v>
      </c>
      <c r="P76" s="9">
        <f t="shared" si="82"/>
        <v>-6.9296950792308533E-3</v>
      </c>
      <c r="Q76" s="9">
        <f t="shared" si="82"/>
        <v>7.6425245116389399E-3</v>
      </c>
      <c r="R76" s="9">
        <f t="shared" si="83"/>
        <v>-5.1957651066358865E-3</v>
      </c>
      <c r="S76" s="9">
        <f t="shared" si="83"/>
        <v>6.4071300624874462E-3</v>
      </c>
      <c r="T76" s="9">
        <f t="shared" si="84"/>
        <v>-4.7692248906442952E-3</v>
      </c>
      <c r="U76" s="9">
        <f t="shared" si="84"/>
        <v>4.3898461135358467E-3</v>
      </c>
      <c r="V76" s="9">
        <f t="shared" si="85"/>
        <v>-7.1218071554077353E-3</v>
      </c>
      <c r="W76" s="9">
        <f t="shared" si="85"/>
        <v>7.9934011492408929E-3</v>
      </c>
      <c r="X76" s="9">
        <f t="shared" si="86"/>
        <v>-8.1338758891547069E-3</v>
      </c>
      <c r="Y76" s="9">
        <f t="shared" si="86"/>
        <v>9.5800660497765335E-3</v>
      </c>
      <c r="Z76" s="9">
        <f t="shared" si="87"/>
        <v>-7.5343606872372102E-3</v>
      </c>
      <c r="AA76" s="9">
        <f t="shared" si="87"/>
        <v>9.2473248762291183E-3</v>
      </c>
      <c r="AB76" s="9">
        <f t="shared" si="88"/>
        <v>-8.2500392663900184E-3</v>
      </c>
      <c r="AC76" s="9">
        <f t="shared" si="88"/>
        <v>1.0280737616291113E-2</v>
      </c>
      <c r="AD76" s="9">
        <f t="shared" si="89"/>
        <v>-7.893300734387711E-3</v>
      </c>
      <c r="AE76" s="9">
        <f t="shared" si="89"/>
        <v>9.7309789481599285E-3</v>
      </c>
      <c r="AF76" s="9">
        <f t="shared" si="90"/>
        <v>-1.0234554808302234E-2</v>
      </c>
      <c r="AG76" s="9">
        <f t="shared" si="90"/>
        <v>1.1674408313738598E-2</v>
      </c>
      <c r="AH76" s="9">
        <f t="shared" si="91"/>
        <v>-3.4752594086102126E-3</v>
      </c>
      <c r="AI76" s="9">
        <f t="shared" si="91"/>
        <v>3.4175521490576446E-3</v>
      </c>
      <c r="AJ76" s="9">
        <f t="shared" si="92"/>
        <v>-4.9144496078786836E-3</v>
      </c>
      <c r="AK76" s="9">
        <f t="shared" si="92"/>
        <v>5.1137159187547628E-3</v>
      </c>
      <c r="AL76" s="9">
        <f t="shared" si="93"/>
        <v>-9.0636782840353911E-3</v>
      </c>
      <c r="AM76" s="9">
        <f t="shared" si="93"/>
        <v>1.113451092712122E-2</v>
      </c>
      <c r="AN76" s="9">
        <f t="shared" si="94"/>
        <v>-3.9084202011878087E-3</v>
      </c>
      <c r="AO76" s="9">
        <f t="shared" si="94"/>
        <v>3.9427001450565114E-3</v>
      </c>
      <c r="AP76" s="9">
        <f t="shared" si="95"/>
        <v>-5.0510119436445134E-3</v>
      </c>
      <c r="AQ76" s="9">
        <f t="shared" si="95"/>
        <v>5.3301837727064037E-3</v>
      </c>
      <c r="AR76" s="9">
        <f t="shared" si="96"/>
        <v>-4.3185012191332287E-3</v>
      </c>
      <c r="AS76" s="9">
        <f t="shared" si="96"/>
        <v>3.8212976220473945E-3</v>
      </c>
      <c r="AT76" s="9">
        <f t="shared" si="97"/>
        <v>-4.0500781197402086E-3</v>
      </c>
      <c r="AU76" s="9">
        <f t="shared" si="97"/>
        <v>4.2311857381601209E-3</v>
      </c>
      <c r="AV76" s="9">
        <f t="shared" si="98"/>
        <v>-4.9482604267312037E-3</v>
      </c>
      <c r="AW76" s="9">
        <f t="shared" si="98"/>
        <v>4.6052809527335706E-3</v>
      </c>
      <c r="AX76" s="9">
        <f t="shared" si="99"/>
        <v>-5.7875950746827812E-3</v>
      </c>
      <c r="AY76" s="9">
        <f t="shared" si="99"/>
        <v>6.5205291846299274E-3</v>
      </c>
      <c r="AZ76" s="9">
        <f t="shared" si="100"/>
        <v>-7.2560301914312191E-3</v>
      </c>
      <c r="BA76" s="9">
        <f t="shared" si="100"/>
        <v>7.2560301914312191E-3</v>
      </c>
      <c r="BB76" s="9">
        <f t="shared" si="101"/>
        <v>-5.9023825259476737E-3</v>
      </c>
      <c r="BC76" s="9">
        <f t="shared" si="101"/>
        <v>6.6776641603080262E-3</v>
      </c>
      <c r="BD76" s="9">
        <f t="shared" si="102"/>
        <v>-5.1274931560422368E-3</v>
      </c>
      <c r="BE76" s="9">
        <f t="shared" si="102"/>
        <v>5.8240125146656234E-3</v>
      </c>
      <c r="BF76" s="9">
        <f t="shared" si="103"/>
        <v>-4.9416311055235189E-3</v>
      </c>
      <c r="BG76" s="9">
        <f t="shared" si="103"/>
        <v>4.8981170420392848E-3</v>
      </c>
      <c r="BH76" s="9">
        <f t="shared" si="104"/>
        <v>-7.4203265941300521E-3</v>
      </c>
      <c r="BI76" s="9">
        <f t="shared" si="104"/>
        <v>1.0846327887250803E-2</v>
      </c>
      <c r="BJ76" s="9">
        <f t="shared" si="105"/>
        <v>-7.8469485551125526E-3</v>
      </c>
      <c r="BK76" s="9">
        <f t="shared" si="105"/>
        <v>8.9754609536635884E-3</v>
      </c>
      <c r="BL76" s="9">
        <f t="shared" si="106"/>
        <v>-8.2669599108670163E-3</v>
      </c>
      <c r="BM76" s="9">
        <f t="shared" si="106"/>
        <v>9.7518193151836709E-3</v>
      </c>
      <c r="BN76" s="9">
        <f t="shared" si="107"/>
        <v>-8.1503215952237543E-3</v>
      </c>
      <c r="BO76" s="9">
        <f t="shared" si="107"/>
        <v>9.9975373604612484E-3</v>
      </c>
      <c r="BP76" s="9">
        <f t="shared" si="108"/>
        <v>-6.2213949605482606E-3</v>
      </c>
      <c r="BQ76" s="9">
        <f t="shared" si="108"/>
        <v>7.3226142776497763E-3</v>
      </c>
      <c r="BR76" s="9">
        <f t="shared" si="109"/>
        <v>-7.1315763529646286E-3</v>
      </c>
      <c r="BS76" s="9">
        <f t="shared" si="109"/>
        <v>7.9677194681180893E-3</v>
      </c>
      <c r="BT76" s="9">
        <f t="shared" si="110"/>
        <v>-5.1693511009263731E-3</v>
      </c>
      <c r="BU76" s="9">
        <f t="shared" si="110"/>
        <v>4.4325489891846835E-3</v>
      </c>
      <c r="BV76" s="9">
        <f t="shared" si="111"/>
        <v>-5.2998470705592606E-3</v>
      </c>
      <c r="BW76" s="9">
        <f t="shared" si="111"/>
        <v>5.261770626846584E-3</v>
      </c>
      <c r="BX76" s="9">
        <f t="shared" si="112"/>
        <v>-4.3305844313375934E-3</v>
      </c>
      <c r="BY76" s="9">
        <f t="shared" si="112"/>
        <v>3.8846223773480013E-3</v>
      </c>
      <c r="BZ76" s="9">
        <f t="shared" si="113"/>
        <v>-4.5233268517369295E-3</v>
      </c>
      <c r="CA76" s="9">
        <f t="shared" si="113"/>
        <v>3.8983704947049449E-3</v>
      </c>
    </row>
    <row r="77" spans="1:79">
      <c r="A77" s="8" t="s">
        <v>98</v>
      </c>
      <c r="B77" s="9">
        <f t="shared" si="76"/>
        <v>-3.7356715945604398E-3</v>
      </c>
      <c r="C77" s="9">
        <f t="shared" si="76"/>
        <v>4.1212815132251378E-3</v>
      </c>
      <c r="D77" s="9">
        <f t="shared" si="76"/>
        <v>-4.4169414109879882E-3</v>
      </c>
      <c r="E77" s="9">
        <f t="shared" si="76"/>
        <v>4.9246263580194792E-3</v>
      </c>
      <c r="F77" s="9">
        <f t="shared" si="77"/>
        <v>-5.6112732815894496E-3</v>
      </c>
      <c r="G77" s="9">
        <f t="shared" si="77"/>
        <v>7.0005571056492473E-3</v>
      </c>
      <c r="H77" s="9">
        <f t="shared" si="78"/>
        <v>-4.5796762452068067E-3</v>
      </c>
      <c r="I77" s="9">
        <f t="shared" si="78"/>
        <v>5.9773474906399246E-3</v>
      </c>
      <c r="J77" s="9">
        <f t="shared" si="79"/>
        <v>-4.8454189055527194E-3</v>
      </c>
      <c r="K77" s="9">
        <f t="shared" si="79"/>
        <v>4.6041451779495228E-3</v>
      </c>
      <c r="L77" s="9">
        <f t="shared" si="80"/>
        <v>-5.2956280706860821E-3</v>
      </c>
      <c r="M77" s="9">
        <f t="shared" si="80"/>
        <v>5.5516589453145004E-3</v>
      </c>
      <c r="N77" s="9">
        <f t="shared" si="81"/>
        <v>-4.4193434690545808E-3</v>
      </c>
      <c r="O77" s="9">
        <f t="shared" si="81"/>
        <v>4.2913938644577225E-3</v>
      </c>
      <c r="P77" s="9">
        <f t="shared" si="82"/>
        <v>-5.0398498841898454E-3</v>
      </c>
      <c r="Q77" s="9">
        <f t="shared" si="82"/>
        <v>4.2694897181545718E-3</v>
      </c>
      <c r="R77" s="9">
        <f t="shared" si="83"/>
        <v>-4.0303164544771668E-3</v>
      </c>
      <c r="S77" s="9">
        <f t="shared" si="83"/>
        <v>5.0552646567592931E-3</v>
      </c>
      <c r="T77" s="9">
        <f t="shared" si="84"/>
        <v>-4.7959118070196299E-3</v>
      </c>
      <c r="U77" s="9">
        <f t="shared" si="84"/>
        <v>4.8232052442216764E-3</v>
      </c>
      <c r="V77" s="9">
        <f t="shared" si="85"/>
        <v>-4.3334642829623588E-3</v>
      </c>
      <c r="W77" s="9">
        <f t="shared" si="85"/>
        <v>4.7215130871732947E-3</v>
      </c>
      <c r="X77" s="9">
        <f t="shared" si="86"/>
        <v>-4.752282451165343E-3</v>
      </c>
      <c r="Y77" s="9">
        <f t="shared" si="86"/>
        <v>6.0208733217725057E-3</v>
      </c>
      <c r="Z77" s="9">
        <f t="shared" si="87"/>
        <v>-4.6444459566502734E-3</v>
      </c>
      <c r="AA77" s="9">
        <f t="shared" si="87"/>
        <v>5.3470629703737645E-3</v>
      </c>
      <c r="AB77" s="9">
        <f t="shared" si="88"/>
        <v>-4.6131748412841138E-3</v>
      </c>
      <c r="AC77" s="9">
        <f t="shared" si="88"/>
        <v>6.2680540032369163E-3</v>
      </c>
      <c r="AD77" s="9">
        <f t="shared" si="89"/>
        <v>-5.2196669165514081E-3</v>
      </c>
      <c r="AE77" s="9">
        <f t="shared" si="89"/>
        <v>4.7311954136655815E-3</v>
      </c>
      <c r="AF77" s="9">
        <f t="shared" si="90"/>
        <v>-6.1373812285043889E-3</v>
      </c>
      <c r="AG77" s="9">
        <f t="shared" si="90"/>
        <v>6.7246005017973258E-3</v>
      </c>
      <c r="AH77" s="9">
        <f t="shared" si="91"/>
        <v>-1.4865307326319248E-3</v>
      </c>
      <c r="AI77" s="9">
        <f t="shared" si="91"/>
        <v>2.1463377504551944E-3</v>
      </c>
      <c r="AJ77" s="9">
        <f t="shared" si="92"/>
        <v>-3.9163494176029379E-3</v>
      </c>
      <c r="AK77" s="9">
        <f t="shared" si="92"/>
        <v>4.3452436222252682E-3</v>
      </c>
      <c r="AL77" s="9">
        <f t="shared" si="93"/>
        <v>-5.672797987283343E-3</v>
      </c>
      <c r="AM77" s="9">
        <f t="shared" si="93"/>
        <v>6.3287659528290718E-3</v>
      </c>
      <c r="AN77" s="9">
        <f t="shared" si="94"/>
        <v>-5.9164143516446778E-3</v>
      </c>
      <c r="AO77" s="9">
        <f t="shared" si="94"/>
        <v>5.2436493448815655E-3</v>
      </c>
      <c r="AP77" s="9">
        <f t="shared" si="95"/>
        <v>-3.6792449275506287E-3</v>
      </c>
      <c r="AQ77" s="9">
        <f t="shared" si="95"/>
        <v>4.4465392798188914E-3</v>
      </c>
      <c r="AR77" s="9">
        <f t="shared" si="96"/>
        <v>-4.8471473604792198E-3</v>
      </c>
      <c r="AS77" s="9">
        <f t="shared" si="96"/>
        <v>4.9568289459474748E-3</v>
      </c>
      <c r="AT77" s="9">
        <f t="shared" si="97"/>
        <v>-4.4955183938511856E-3</v>
      </c>
      <c r="AU77" s="9">
        <f t="shared" si="97"/>
        <v>4.5397394584310814E-3</v>
      </c>
      <c r="AV77" s="9">
        <f t="shared" si="98"/>
        <v>-4.2942271699160667E-3</v>
      </c>
      <c r="AW77" s="9">
        <f t="shared" si="98"/>
        <v>4.9848419478751016E-3</v>
      </c>
      <c r="AX77" s="9">
        <f t="shared" si="99"/>
        <v>-3.7264892518158984E-3</v>
      </c>
      <c r="AY77" s="9">
        <f t="shared" si="99"/>
        <v>4.011186083803831E-3</v>
      </c>
      <c r="AZ77" s="9">
        <f t="shared" si="100"/>
        <v>-4.7630646871717492E-3</v>
      </c>
      <c r="BA77" s="9">
        <f t="shared" si="100"/>
        <v>4.7630646871717492E-3</v>
      </c>
      <c r="BB77" s="9">
        <f t="shared" si="101"/>
        <v>-2.3328342659428374E-3</v>
      </c>
      <c r="BC77" s="9">
        <f t="shared" si="101"/>
        <v>3.5468328307040561E-3</v>
      </c>
      <c r="BD77" s="9">
        <f t="shared" si="102"/>
        <v>-3.624560031286664E-3</v>
      </c>
      <c r="BE77" s="9">
        <f t="shared" si="102"/>
        <v>4.019554165037153E-3</v>
      </c>
      <c r="BF77" s="9">
        <f t="shared" si="103"/>
        <v>-3.8502983933389368E-3</v>
      </c>
      <c r="BG77" s="9">
        <f t="shared" si="103"/>
        <v>3.606793694081165E-3</v>
      </c>
      <c r="BH77" s="9">
        <f t="shared" si="104"/>
        <v>-3.9372708319276124E-3</v>
      </c>
      <c r="BI77" s="9">
        <f t="shared" si="104"/>
        <v>6.5771503684198393E-3</v>
      </c>
      <c r="BJ77" s="9">
        <f t="shared" si="105"/>
        <v>-5.0173224727388509E-3</v>
      </c>
      <c r="BK77" s="9">
        <f t="shared" si="105"/>
        <v>5.4399261866444814E-3</v>
      </c>
      <c r="BL77" s="9">
        <f t="shared" si="106"/>
        <v>-4.9331709721376592E-3</v>
      </c>
      <c r="BM77" s="9">
        <f t="shared" si="106"/>
        <v>5.6217564002203476E-3</v>
      </c>
      <c r="BN77" s="9">
        <f t="shared" si="107"/>
        <v>-4.6343901118529466E-3</v>
      </c>
      <c r="BO77" s="9">
        <f t="shared" si="107"/>
        <v>5.6015014781740013E-3</v>
      </c>
      <c r="BP77" s="9">
        <f t="shared" si="108"/>
        <v>-3.9035707915539629E-3</v>
      </c>
      <c r="BQ77" s="9">
        <f t="shared" si="108"/>
        <v>5.5722938644316503E-3</v>
      </c>
      <c r="BR77" s="9">
        <f t="shared" si="109"/>
        <v>-4.4799211505308859E-3</v>
      </c>
      <c r="BS77" s="9">
        <f t="shared" si="109"/>
        <v>4.0844239266000009E-3</v>
      </c>
      <c r="BT77" s="9">
        <f t="shared" si="110"/>
        <v>-4.6919415252838102E-3</v>
      </c>
      <c r="BU77" s="9">
        <f t="shared" si="110"/>
        <v>5.37165340860491E-3</v>
      </c>
      <c r="BV77" s="9">
        <f t="shared" si="111"/>
        <v>-4.010499907598975E-3</v>
      </c>
      <c r="BW77" s="9">
        <f t="shared" si="111"/>
        <v>4.1815156591015991E-3</v>
      </c>
      <c r="BX77" s="9">
        <f t="shared" si="112"/>
        <v>-5.2904804508913991E-3</v>
      </c>
      <c r="BY77" s="9">
        <f t="shared" si="112"/>
        <v>5.0492630573765827E-3</v>
      </c>
      <c r="BZ77" s="9">
        <f t="shared" si="113"/>
        <v>-4.6953813864574695E-3</v>
      </c>
      <c r="CA77" s="9">
        <f t="shared" si="113"/>
        <v>5.0484653107631056E-3</v>
      </c>
    </row>
    <row r="78" spans="1:79">
      <c r="A78" s="8" t="s">
        <v>99</v>
      </c>
      <c r="B78" s="9">
        <f t="shared" si="76"/>
        <v>-1.951447764714981E-3</v>
      </c>
      <c r="C78" s="9">
        <f t="shared" si="76"/>
        <v>2.1982199908613049E-3</v>
      </c>
      <c r="D78" s="9">
        <f t="shared" si="76"/>
        <v>-2.5690029830037204E-3</v>
      </c>
      <c r="E78" s="9">
        <f t="shared" si="76"/>
        <v>2.9087546823228028E-3</v>
      </c>
      <c r="F78" s="9">
        <f t="shared" si="77"/>
        <v>-4.2660732456005794E-3</v>
      </c>
      <c r="G78" s="9">
        <f t="shared" si="77"/>
        <v>4.889175676989062E-3</v>
      </c>
      <c r="H78" s="9">
        <f t="shared" si="78"/>
        <v>-3.0487201584679432E-3</v>
      </c>
      <c r="I78" s="9">
        <f t="shared" si="78"/>
        <v>3.2411416187830638E-3</v>
      </c>
      <c r="J78" s="9">
        <f t="shared" si="79"/>
        <v>-2.8651034529500346E-3</v>
      </c>
      <c r="K78" s="9">
        <f t="shared" si="79"/>
        <v>2.8102123561800315E-3</v>
      </c>
      <c r="L78" s="9">
        <f t="shared" si="80"/>
        <v>-3.7710652770927828E-3</v>
      </c>
      <c r="M78" s="9">
        <f t="shared" si="80"/>
        <v>4.3178259475163657E-3</v>
      </c>
      <c r="N78" s="9">
        <f t="shared" si="81"/>
        <v>-2.3691603187619261E-3</v>
      </c>
      <c r="O78" s="9">
        <f t="shared" si="81"/>
        <v>2.2675181095027394E-3</v>
      </c>
      <c r="P78" s="9">
        <f t="shared" si="82"/>
        <v>-2.8718081279105233E-3</v>
      </c>
      <c r="Q78" s="9">
        <f t="shared" si="82"/>
        <v>3.0629204964665886E-3</v>
      </c>
      <c r="R78" s="9">
        <f t="shared" si="83"/>
        <v>-2.7520547115974609E-3</v>
      </c>
      <c r="S78" s="9">
        <f t="shared" si="83"/>
        <v>3.0559277776096281E-3</v>
      </c>
      <c r="T78" s="9">
        <f t="shared" si="84"/>
        <v>-2.1313141850664869E-3</v>
      </c>
      <c r="U78" s="9">
        <f t="shared" si="84"/>
        <v>2.1457190547009004E-3</v>
      </c>
      <c r="V78" s="9">
        <f t="shared" si="85"/>
        <v>-2.7676267253455744E-3</v>
      </c>
      <c r="W78" s="9">
        <f t="shared" si="85"/>
        <v>3.1728547734929317E-3</v>
      </c>
      <c r="X78" s="9">
        <f t="shared" si="86"/>
        <v>-3.7554957113632315E-3</v>
      </c>
      <c r="Y78" s="9">
        <f t="shared" si="86"/>
        <v>4.6398886975811838E-3</v>
      </c>
      <c r="Z78" s="9">
        <f t="shared" si="87"/>
        <v>-3.4319623027199925E-3</v>
      </c>
      <c r="AA78" s="9">
        <f t="shared" si="87"/>
        <v>3.3441351760045562E-3</v>
      </c>
      <c r="AB78" s="9">
        <f t="shared" si="88"/>
        <v>-3.5487711327158457E-3</v>
      </c>
      <c r="AC78" s="9">
        <f t="shared" si="88"/>
        <v>4.8442205564673451E-3</v>
      </c>
      <c r="AD78" s="9">
        <f t="shared" si="89"/>
        <v>-2.7502512139157696E-3</v>
      </c>
      <c r="AE78" s="9">
        <f t="shared" si="89"/>
        <v>3.3310053797374617E-3</v>
      </c>
      <c r="AF78" s="9">
        <f t="shared" si="90"/>
        <v>-3.7303030735369282E-3</v>
      </c>
      <c r="AG78" s="9">
        <f t="shared" si="90"/>
        <v>4.5238303907827633E-3</v>
      </c>
      <c r="AH78" s="9">
        <f t="shared" si="91"/>
        <v>-1.0976789478332578E-3</v>
      </c>
      <c r="AI78" s="9">
        <f t="shared" si="91"/>
        <v>1.4011074416096644E-3</v>
      </c>
      <c r="AJ78" s="9">
        <f t="shared" si="92"/>
        <v>-2.5827979525091787E-3</v>
      </c>
      <c r="AK78" s="9">
        <f t="shared" si="92"/>
        <v>2.3841211869315496E-3</v>
      </c>
      <c r="AL78" s="9">
        <f t="shared" si="93"/>
        <v>-3.9879030782545089E-3</v>
      </c>
      <c r="AM78" s="9">
        <f t="shared" si="93"/>
        <v>4.4636105421388666E-3</v>
      </c>
      <c r="AN78" s="9">
        <f t="shared" si="94"/>
        <v>-1.9836773429835032E-3</v>
      </c>
      <c r="AO78" s="9">
        <f t="shared" si="94"/>
        <v>1.9384210624080731E-3</v>
      </c>
      <c r="AP78" s="9">
        <f t="shared" si="95"/>
        <v>-2.3853491537553979E-3</v>
      </c>
      <c r="AQ78" s="9">
        <f t="shared" si="95"/>
        <v>2.6793644747510489E-3</v>
      </c>
      <c r="AR78" s="9">
        <f t="shared" si="96"/>
        <v>-2.0234893436956599E-3</v>
      </c>
      <c r="AS78" s="9">
        <f t="shared" si="96"/>
        <v>1.9496581357950592E-3</v>
      </c>
      <c r="AT78" s="9">
        <f t="shared" si="97"/>
        <v>-2.1725461221977073E-3</v>
      </c>
      <c r="AU78" s="9">
        <f t="shared" si="97"/>
        <v>2.1590065265819527E-3</v>
      </c>
      <c r="AV78" s="9">
        <f t="shared" si="98"/>
        <v>-2.116850690193536E-3</v>
      </c>
      <c r="AW78" s="9">
        <f t="shared" si="98"/>
        <v>2.0769435762183755E-3</v>
      </c>
      <c r="AX78" s="9">
        <f t="shared" si="99"/>
        <v>-2.2614480379695018E-3</v>
      </c>
      <c r="AY78" s="9">
        <f t="shared" si="99"/>
        <v>2.4347058050035518E-3</v>
      </c>
      <c r="AZ78" s="9">
        <f t="shared" si="100"/>
        <v>-3.1882018772269984E-3</v>
      </c>
      <c r="BA78" s="9">
        <f t="shared" si="100"/>
        <v>3.1882018772269984E-3</v>
      </c>
      <c r="BB78" s="9">
        <f t="shared" si="101"/>
        <v>-1.6575542848356229E-3</v>
      </c>
      <c r="BC78" s="9">
        <f t="shared" si="101"/>
        <v>2.6525976168692037E-3</v>
      </c>
      <c r="BD78" s="9">
        <f t="shared" si="102"/>
        <v>-2.3206883066093078E-3</v>
      </c>
      <c r="BE78" s="9">
        <f t="shared" si="102"/>
        <v>2.8013296832225263E-3</v>
      </c>
      <c r="BF78" s="9">
        <f t="shared" si="103"/>
        <v>-2.2220021377589109E-3</v>
      </c>
      <c r="BG78" s="9">
        <f t="shared" si="103"/>
        <v>2.1638673489439747E-3</v>
      </c>
      <c r="BH78" s="9">
        <f t="shared" si="104"/>
        <v>-2.8262460807081586E-3</v>
      </c>
      <c r="BI78" s="9">
        <f t="shared" si="104"/>
        <v>4.9032679057508001E-3</v>
      </c>
      <c r="BJ78" s="9">
        <f t="shared" si="105"/>
        <v>-2.9952439429119086E-3</v>
      </c>
      <c r="BK78" s="9">
        <f t="shared" si="105"/>
        <v>3.4163498208695194E-3</v>
      </c>
      <c r="BL78" s="9">
        <f t="shared" si="106"/>
        <v>-3.1310445374983951E-3</v>
      </c>
      <c r="BM78" s="9">
        <f t="shared" si="106"/>
        <v>3.5402610204732497E-3</v>
      </c>
      <c r="BN78" s="9">
        <f t="shared" si="107"/>
        <v>-2.9969591241975468E-3</v>
      </c>
      <c r="BO78" s="9">
        <f t="shared" si="107"/>
        <v>3.9085843647653183E-3</v>
      </c>
      <c r="BP78" s="9">
        <f t="shared" si="108"/>
        <v>-3.1023078945771557E-3</v>
      </c>
      <c r="BQ78" s="9">
        <f t="shared" si="108"/>
        <v>3.559253000483608E-3</v>
      </c>
      <c r="BR78" s="9">
        <f t="shared" si="109"/>
        <v>-2.7077721900279346E-3</v>
      </c>
      <c r="BS78" s="9">
        <f t="shared" si="109"/>
        <v>3.0226650135962534E-3</v>
      </c>
      <c r="BT78" s="9">
        <f t="shared" si="110"/>
        <v>-2.1714178865475929E-3</v>
      </c>
      <c r="BU78" s="9">
        <f t="shared" si="110"/>
        <v>2.0558449851107888E-3</v>
      </c>
      <c r="BV78" s="9">
        <f t="shared" si="111"/>
        <v>-2.6384349531249434E-3</v>
      </c>
      <c r="BW78" s="9">
        <f t="shared" si="111"/>
        <v>2.3781365060201814E-3</v>
      </c>
      <c r="BX78" s="9">
        <f t="shared" si="112"/>
        <v>-2.0369468785695617E-3</v>
      </c>
      <c r="BY78" s="9">
        <f t="shared" si="112"/>
        <v>1.8534779790348099E-3</v>
      </c>
      <c r="BZ78" s="9">
        <f t="shared" si="113"/>
        <v>-2.1038373195917362E-3</v>
      </c>
      <c r="CA78" s="9">
        <f t="shared" si="113"/>
        <v>1.9937311733265561E-3</v>
      </c>
    </row>
    <row r="79" spans="1:79">
      <c r="A79" s="8" t="s">
        <v>39</v>
      </c>
      <c r="B79" s="9">
        <f t="shared" si="76"/>
        <v>-8.7982707410511605E-4</v>
      </c>
      <c r="C79" s="9">
        <f t="shared" si="76"/>
        <v>1.0358942043878093E-3</v>
      </c>
      <c r="D79" s="9">
        <f t="shared" si="76"/>
        <v>-1.6585290178739972E-3</v>
      </c>
      <c r="E79" s="9">
        <f t="shared" si="76"/>
        <v>2.0482209175442124E-3</v>
      </c>
      <c r="F79" s="9">
        <f t="shared" si="77"/>
        <v>-2.0817344366826614E-3</v>
      </c>
      <c r="G79" s="9">
        <f t="shared" si="77"/>
        <v>2.9376302050772665E-3</v>
      </c>
      <c r="H79" s="9">
        <f t="shared" si="78"/>
        <v>-1.686303435905799E-3</v>
      </c>
      <c r="I79" s="9">
        <f t="shared" si="78"/>
        <v>2.2169408672476159E-3</v>
      </c>
      <c r="J79" s="9">
        <f t="shared" si="79"/>
        <v>-1.3583340216782767E-3</v>
      </c>
      <c r="K79" s="9">
        <f t="shared" si="79"/>
        <v>1.3193278082179209E-3</v>
      </c>
      <c r="L79" s="9">
        <f t="shared" si="80"/>
        <v>-1.8641405852057277E-3</v>
      </c>
      <c r="M79" s="9">
        <f t="shared" si="80"/>
        <v>2.107201474737838E-3</v>
      </c>
      <c r="N79" s="9">
        <f t="shared" si="81"/>
        <v>-1.7057954295085869E-3</v>
      </c>
      <c r="O79" s="9">
        <f t="shared" si="81"/>
        <v>1.8600524294431172E-3</v>
      </c>
      <c r="P79" s="9">
        <f t="shared" si="82"/>
        <v>-1.6975506881227406E-3</v>
      </c>
      <c r="Q79" s="9">
        <f t="shared" si="82"/>
        <v>1.7010971032093481E-3</v>
      </c>
      <c r="R79" s="9">
        <f t="shared" si="83"/>
        <v>-1.8777532585098216E-3</v>
      </c>
      <c r="S79" s="9">
        <f t="shared" si="83"/>
        <v>2.2939235017183359E-3</v>
      </c>
      <c r="T79" s="9">
        <f t="shared" si="84"/>
        <v>-1.6890088721866531E-3</v>
      </c>
      <c r="U79" s="9">
        <f t="shared" si="84"/>
        <v>1.8905254168617642E-3</v>
      </c>
      <c r="V79" s="9">
        <f t="shared" si="85"/>
        <v>-1.520363088373315E-3</v>
      </c>
      <c r="W79" s="9">
        <f t="shared" si="85"/>
        <v>1.6941766152594635E-3</v>
      </c>
      <c r="X79" s="9">
        <f t="shared" si="86"/>
        <v>-1.830559638527961E-3</v>
      </c>
      <c r="Y79" s="9">
        <f t="shared" si="86"/>
        <v>2.7080888840690176E-3</v>
      </c>
      <c r="Z79" s="9">
        <f t="shared" si="87"/>
        <v>-1.7977743533392578E-3</v>
      </c>
      <c r="AA79" s="9">
        <f t="shared" si="87"/>
        <v>2.0599148613219724E-3</v>
      </c>
      <c r="AB79" s="9">
        <f t="shared" si="88"/>
        <v>-1.8296999592540069E-3</v>
      </c>
      <c r="AC79" s="9">
        <f t="shared" si="88"/>
        <v>2.9375812359010898E-3</v>
      </c>
      <c r="AD79" s="9">
        <f t="shared" si="89"/>
        <v>-1.6246305845252229E-3</v>
      </c>
      <c r="AE79" s="9">
        <f t="shared" si="89"/>
        <v>1.9923371210999181E-3</v>
      </c>
      <c r="AF79" s="9">
        <f t="shared" si="90"/>
        <v>-1.8515637402402821E-3</v>
      </c>
      <c r="AG79" s="9">
        <f t="shared" si="90"/>
        <v>2.3269101554511864E-3</v>
      </c>
      <c r="AH79" s="9">
        <f t="shared" si="91"/>
        <v>-7.5515843952124071E-4</v>
      </c>
      <c r="AI79" s="9">
        <f t="shared" si="91"/>
        <v>1.031284573939443E-3</v>
      </c>
      <c r="AJ79" s="9">
        <f t="shared" si="92"/>
        <v>-1.4464493897469229E-3</v>
      </c>
      <c r="AK79" s="9">
        <f t="shared" si="92"/>
        <v>1.654264107450526E-3</v>
      </c>
      <c r="AL79" s="9">
        <f t="shared" si="93"/>
        <v>-1.9927798458664555E-3</v>
      </c>
      <c r="AM79" s="9">
        <f t="shared" si="93"/>
        <v>2.2080108848501322E-3</v>
      </c>
      <c r="AN79" s="9">
        <f t="shared" si="94"/>
        <v>-2.2552150264360847E-3</v>
      </c>
      <c r="AO79" s="9">
        <f t="shared" si="94"/>
        <v>2.2123228799205653E-3</v>
      </c>
      <c r="AP79" s="9">
        <f t="shared" si="95"/>
        <v>-1.8086224017751903E-3</v>
      </c>
      <c r="AQ79" s="9">
        <f t="shared" si="95"/>
        <v>2.0769470636547165E-3</v>
      </c>
      <c r="AR79" s="9">
        <f t="shared" si="96"/>
        <v>-1.9545067524333075E-3</v>
      </c>
      <c r="AS79" s="9">
        <f t="shared" si="96"/>
        <v>2.2567371895507904E-3</v>
      </c>
      <c r="AT79" s="9">
        <f t="shared" si="97"/>
        <v>-1.7571662346831771E-3</v>
      </c>
      <c r="AU79" s="9">
        <f t="shared" si="97"/>
        <v>1.8473473944725159E-3</v>
      </c>
      <c r="AV79" s="9">
        <f t="shared" si="98"/>
        <v>-1.5488394346137456E-3</v>
      </c>
      <c r="AW79" s="9">
        <f t="shared" si="98"/>
        <v>1.8197643972673381E-3</v>
      </c>
      <c r="AX79" s="9">
        <f t="shared" si="99"/>
        <v>-1.4793070681725896E-3</v>
      </c>
      <c r="AY79" s="9">
        <f t="shared" si="99"/>
        <v>1.6639361683651994E-3</v>
      </c>
      <c r="AZ79" s="9">
        <f t="shared" si="100"/>
        <v>-1.9646568938946171E-3</v>
      </c>
      <c r="BA79" s="9">
        <f t="shared" si="100"/>
        <v>1.9646568938946171E-3</v>
      </c>
      <c r="BB79" s="9">
        <f t="shared" si="101"/>
        <v>-7.6130290863679606E-4</v>
      </c>
      <c r="BC79" s="9">
        <f t="shared" si="101"/>
        <v>1.5567461666368947E-3</v>
      </c>
      <c r="BD79" s="9">
        <f t="shared" si="102"/>
        <v>-1.7121626906531091E-3</v>
      </c>
      <c r="BE79" s="9">
        <f t="shared" si="102"/>
        <v>1.8247946812671098E-3</v>
      </c>
      <c r="BF79" s="9">
        <f t="shared" si="103"/>
        <v>-1.7814657590445287E-3</v>
      </c>
      <c r="BG79" s="9">
        <f t="shared" si="103"/>
        <v>1.7336002892118715E-3</v>
      </c>
      <c r="BH79" s="9">
        <f t="shared" si="104"/>
        <v>-1.3086655318407497E-3</v>
      </c>
      <c r="BI79" s="9">
        <f t="shared" si="104"/>
        <v>2.825733615417006E-3</v>
      </c>
      <c r="BJ79" s="9">
        <f t="shared" si="105"/>
        <v>-1.660458136662124E-3</v>
      </c>
      <c r="BK79" s="9">
        <f t="shared" si="105"/>
        <v>2.4949667362732428E-3</v>
      </c>
      <c r="BL79" s="9">
        <f t="shared" si="106"/>
        <v>-1.7553233348658241E-3</v>
      </c>
      <c r="BM79" s="9">
        <f t="shared" si="106"/>
        <v>2.1421737347631061E-3</v>
      </c>
      <c r="BN79" s="9">
        <f t="shared" si="107"/>
        <v>-1.6429796002307279E-3</v>
      </c>
      <c r="BO79" s="9">
        <f t="shared" si="107"/>
        <v>2.3271117252100385E-3</v>
      </c>
      <c r="BP79" s="9">
        <f t="shared" si="108"/>
        <v>-1.7689383979155213E-3</v>
      </c>
      <c r="BQ79" s="9">
        <f t="shared" si="108"/>
        <v>2.4060872075597293E-3</v>
      </c>
      <c r="BR79" s="9">
        <f t="shared" si="109"/>
        <v>-1.6048183065857239E-3</v>
      </c>
      <c r="BS79" s="9">
        <f t="shared" si="109"/>
        <v>1.7845202054953071E-3</v>
      </c>
      <c r="BT79" s="9">
        <f t="shared" si="110"/>
        <v>-1.598327475119999E-3</v>
      </c>
      <c r="BU79" s="9">
        <f t="shared" si="110"/>
        <v>2.0371464433981217E-3</v>
      </c>
      <c r="BV79" s="9">
        <f t="shared" si="111"/>
        <v>-1.6195618386064285E-3</v>
      </c>
      <c r="BW79" s="9">
        <f t="shared" si="111"/>
        <v>1.7223025875897709E-3</v>
      </c>
      <c r="BX79" s="9">
        <f t="shared" si="112"/>
        <v>-1.6849297430164387E-3</v>
      </c>
      <c r="BY79" s="9">
        <f t="shared" si="112"/>
        <v>1.831373292343876E-3</v>
      </c>
      <c r="BZ79" s="9">
        <f t="shared" si="113"/>
        <v>-1.7472510128999309E-3</v>
      </c>
      <c r="CA79" s="9">
        <f t="shared" si="113"/>
        <v>1.9943878700239628E-3</v>
      </c>
    </row>
    <row r="80" spans="1:79"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/>
      <c r="BZ80" s="9"/>
      <c r="CA80" s="9"/>
    </row>
    <row r="81" spans="6:79"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</row>
    <row r="82" spans="6:79"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</row>
    <row r="83" spans="6:79"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</row>
    <row r="84" spans="6:79"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/>
      <c r="BL84" s="9"/>
      <c r="BM84" s="9"/>
      <c r="BN84" s="9"/>
      <c r="BO84" s="9"/>
      <c r="BP84" s="9"/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</row>
    <row r="85" spans="6:79"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</row>
    <row r="86" spans="6:79"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</row>
    <row r="87" spans="6:79"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</row>
  </sheetData>
  <phoneticPr fontId="6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nga_admpop_adm1_2020</vt:lpstr>
      <vt:lpstr>Long perc formulas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lsv2010@naver.com</cp:lastModifiedBy>
  <cp:lastPrinted>2016-09-12T13:18:55Z</cp:lastPrinted>
  <dcterms:created xsi:type="dcterms:W3CDTF">2011-02-11T15:45:55Z</dcterms:created>
  <dcterms:modified xsi:type="dcterms:W3CDTF">2025-10-14T20:28:14Z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